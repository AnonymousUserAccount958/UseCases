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Tasks" sheetId="2" state="visible" r:id="rId4"/>
    <sheet name="Participants" sheetId="3" state="visible" r:id="rId5"/>
    <sheet name="Translation" sheetId="4" state="visible" r:id="rId6"/>
    <sheet name="Reasoning" sheetId="5" state="visible" r:id="rId7"/>
    <sheet name="Scores" sheetId="6" state="visible" r:id="rId8"/>
    <sheet name="R_Scores" sheetId="7" state="visible" r:id="rId9"/>
    <sheet name="Helper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<sst xmlns="http://schemas.openxmlformats.org/spreadsheetml/2006/main" count="687" uniqueCount="328">
  <si>
    <t xml:space="preserve">Analysis</t>
  </si>
  <si>
    <t xml:space="preserve">A. Translation per task (0–2 points; 2 = both views correct; tests exploratory)</t>
  </si>
  <si>
    <t xml:space="preserve">Fully solved (2 points)</t>
  </si>
  <si>
    <t xml:space="preserve">Mean points (0–2)</t>
  </si>
  <si>
    <t xml:space="preserve">Test session 1</t>
  </si>
  <si>
    <t xml:space="preserve">Test session 2 (post-test)</t>
  </si>
  <si>
    <t xml:space="preserve">Task</t>
  </si>
  <si>
    <t xml:space="preserve">Level</t>
  </si>
  <si>
    <t xml:space="preserve">Given view</t>
  </si>
  <si>
    <t xml:space="preserve">S1 Tool condition</t>
  </si>
  <si>
    <t xml:space="preserve">S1 Paper condition</t>
  </si>
  <si>
    <t xml:space="preserve">S2 Tool condition</t>
  </si>
  <si>
    <t xml:space="preserve">S2 Paper condition</t>
  </si>
  <si>
    <t xml:space="preserve">U</t>
  </si>
  <si>
    <t xml:space="preserve">p</t>
  </si>
  <si>
    <t xml:space="preserve">p (Holm)</t>
  </si>
  <si>
    <t xml:space="preserve">r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</si>
  <si>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</si>
  <si>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</si>
  <si>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</si>
  <si>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</si>
  <si>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</si>
  <si>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</si>
  <si>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</si>
  <si>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</si>
  <si>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</si>
  <si>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</si>
  <si>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</si>
  <si>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</si>
  <si>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B. Overall scores</t>
  </si>
  <si>
    <t xml:space="preserve">Measure</t>
  </si>
  <si>
    <t xml:space="preserve">U S1</t>
  </si>
  <si>
    <t xml:space="preserve">p S1</t>
  </si>
  <si>
    <t xml:space="preserve">r S1</t>
  </si>
  <si>
    <t xml:space="preserve">U S2</t>
  </si>
  <si>
    <t xml:space="preserve">p S2</t>
  </si>
  <si>
    <t xml:space="preserve">r S2</t>
  </si>
  <si>
    <t xml:space="preserve">n participants</t>
  </si>
  <si>
    <t xml:space="preserve">Mean translation score (0–24)</t>
  </si>
  <si>
    <t xml:space="preserve">SD translation score</t>
  </si>
  <si>
    <t xml:space="preserve">Mean reasoning score (0–7)</t>
  </si>
  <si>
    <t xml:space="preserve">SD reasoning score</t>
  </si>
  <si>
    <t xml:space="preserve">Mean total score (0–31)</t>
  </si>
  <si>
    <t xml:space="preserve">SD total score</t>
  </si>
  <si>
    <t xml:space="preserve">Share fully solved (translation)</t>
  </si>
  <si>
    <t xml:space="preserve">Share correct (reasoning)</t>
  </si>
  <si>
    <t xml:space="preserve">Mean translation, gate-level tasks</t>
  </si>
  <si>
    <t xml:space="preserve">Mean translation, block-level tasks</t>
  </si>
  <si>
    <t xml:space="preserve">Mean translation, given view model</t>
  </si>
  <si>
    <t xml:space="preserve">Mean translation, given view derivation</t>
  </si>
  <si>
    <t xml:space="preserve">Mean translation, given view code</t>
  </si>
  <si>
    <t xml:space="preserve">B2. Primary tests (post-test, Holm over three tests)</t>
  </si>
  <si>
    <t xml:space="preserve">Score</t>
  </si>
  <si>
    <t xml:space="preserve">Translation (0–24)</t>
  </si>
  <si>
    <t xml:space="preserve">Reasoning (0–7)</t>
  </si>
  <si>
    <t xml:space="preserve">Total (0–31)</t>
  </si>
  <si>
    <t xml:space="preserve">E. Reasoning per task (0–1 point; only tasks with a reasoning part; tests exploratory)</t>
  </si>
  <si>
    <t xml:space="preserve">Correct (1 point)</t>
  </si>
  <si>
    <t xml:space="preserve">Active tasks</t>
  </si>
  <si>
    <t xml:space="preserve">of which gate / block</t>
  </si>
  <si>
    <t xml:space="preserve">Tasks with reasoning part</t>
  </si>
  <si>
    <t xml:space="preserve">Max. translation points</t>
  </si>
  <si>
    <t xml:space="preserve">Max. reasoning points</t>
  </si>
  <si>
    <t xml:space="preserve">C. Self-reported prior knowledge per group</t>
  </si>
  <si>
    <t xml:space="preserve">Attribute</t>
  </si>
  <si>
    <t xml:space="preserve">M tool condition</t>
  </si>
  <si>
    <t xml:space="preserve">SD tool condition</t>
  </si>
  <si>
    <t xml:space="preserve">M paper condition</t>
  </si>
  <si>
    <t xml:space="preserve">SD paper condition</t>
  </si>
  <si>
    <t xml:space="preserve">Quantum computing</t>
  </si>
  <si>
    <t xml:space="preserve">Linear algebra</t>
  </si>
  <si>
    <t xml:space="preserve">Programming</t>
  </si>
  <si>
    <t xml:space="preserve">ID</t>
  </si>
  <si>
    <t xml:space="preserve">Task (session 1)</t>
  </si>
  <si>
    <t xml:space="preserve">Isomorphic variant (session 2)</t>
  </si>
  <si>
    <t xml:space="preserve">Reasoning part</t>
  </si>
  <si>
    <t xml:space="preserve">Active</t>
  </si>
  <si>
    <t xml:space="preserve">Reasoning question</t>
  </si>
  <si>
    <t xml:space="preserve">Bell state: model with group (H on q0, CNOT q0-&gt;q1). Expand, write code and state after each gate.</t>
  </si>
  <si>
    <t xml:space="preserve">H on q1, CNOT q1-&gt;q0</t>
  </si>
  <si>
    <t xml:space="preserve">Model</t>
  </si>
  <si>
    <t xml:space="preserve">Gate</t>
  </si>
  <si>
    <t xml:space="preserve">Yes</t>
  </si>
  <si>
    <t xml:space="preserve">Which gate produces |11&gt;?</t>
  </si>
  <si>
    <t xml:space="preserve">Code h q[0]; x q[1]; cx q[0], q[1];  Draw model, derive state.</t>
  </si>
  <si>
    <t xml:space="preserve">x q[0]; h q[1]; cx q[1], q[0];</t>
  </si>
  <si>
    <t xml:space="preserve">Code</t>
  </si>
  <si>
    <t xml:space="preserve">Without which line would |00&gt; appear instead of |01&gt;?</t>
  </si>
  <si>
    <t xml:space="preserve">Model with block Uniform Superposition (2 qubits). Expand, write code and state.</t>
  </si>
  <si>
    <t xml:space="preserve">Same block on 3 qubits</t>
  </si>
  <si>
    <t xml:space="preserve">Block</t>
  </si>
  <si>
    <t xml:space="preserve">No</t>
  </si>
  <si>
    <t xml:space="preserve">Bell model with H replaced by X. Write code and derivation.</t>
  </si>
  <si>
    <t xml:space="preserve">CNOT replaced by X on q1</t>
  </si>
  <si>
    <t xml:space="preserve">Bell derivation with CNOT replaced by CZ. Write code, draw model, final state.</t>
  </si>
  <si>
    <t xml:space="preserve">H0 x I1 replaced by Z0 x I1</t>
  </si>
  <si>
    <t xml:space="preserve">Derivation</t>
  </si>
  <si>
    <t xml:space="preserve">Why does the state stay unchanged?</t>
  </si>
  <si>
    <t xml:space="preserve">Bell code with cx q[0],q[1] changed to cx q[1],q[0]. Draw model, derive state.</t>
  </si>
  <si>
    <t xml:space="preserve">h q[1]; cx q[0], q[1];</t>
  </si>
  <si>
    <t xml:space="preserve">Grover (nested), oracle marks |11&gt; instead of |01&gt;. Code and derivation, collapsed and expanded.</t>
  </si>
  <si>
    <t xml:space="preserve">Oracle marks |10&gt;</t>
  </si>
  <si>
    <t xml:space="preserve">Expanded Grover derivation (oracle |01&gt;), last oracle step X0 x I1 removed. Code, model, final state.</t>
  </si>
  <si>
    <t xml:space="preserve">Oracle |10&gt;, last step I0 x X1 removed</t>
  </si>
  <si>
    <t xml:space="preserve">Grover code (oracle |01&gt;), z q[1]; inserted after cz. Draw model, derive state.</t>
  </si>
  <si>
    <t xml:space="preserve">Oracle |10&gt;, z q[0]; inserted</t>
  </si>
  <si>
    <t xml:space="preserve">Grover should find |11&gt; but yields |01&gt;; oracle cz q[0],q[1]; z q[1];. Find and fix the fault.</t>
  </si>
  <si>
    <t xml:space="preserve">Oracle cz; z q[0]; yields |10&gt;</t>
  </si>
  <si>
    <t xml:space="preserve">Which element is faulty, and how is it fixed?</t>
  </si>
  <si>
    <t xml:space="preserve">Target state 1/sqrt2(|01&gt;-|10&gt;). Write code and draw model producing it from |00&gt;.</t>
  </si>
  <si>
    <t xml:space="preserve">1/sqrt2(|00&gt;-|11&gt;)</t>
  </si>
  <si>
    <t xml:space="preserve">Design a correct circuit (tool does not synthesize it).</t>
  </si>
  <si>
    <t xml:space="preserve">Code h q[0]; cx q[0],q[1]; cx q[1],q[2];  Draw model, derive state, explain.</t>
  </si>
  <si>
    <t xml:space="preserve">w state</t>
  </si>
  <si>
    <t xml:space="preserve">What does the program compute? Describe the final state and the relation between the qubits.</t>
  </si>
  <si>
    <t xml:space="preserve">Given view = the view provided; participants create the other two.</t>
  </si>
  <si>
    <t xml:space="preserve">Group</t>
  </si>
  <si>
    <t xml:space="preserve">Condition post-test</t>
  </si>
  <si>
    <t xml:space="preserve">Prior QC (1–5)</t>
  </si>
  <si>
    <t xml:space="preserve">Linear algebra (1–5)</t>
  </si>
  <si>
    <t xml:space="preserve">Programming (1–5)</t>
  </si>
  <si>
    <t xml:space="preserve">T01</t>
  </si>
  <si>
    <t xml:space="preserve">Tool condition</t>
  </si>
  <si>
    <t xml:space="preserve">Paper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</si>
  <si>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</si>
  <si>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</si>
  <si>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</si>
  <si>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</si>
  <si>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</si>
  <si>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</si>
  <si>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</si>
  <si>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</si>
  <si>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P01</t>
  </si>
  <si>
    <t xml:space="preserve">Paper condition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</si>
  <si>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</si>
  <si>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</si>
  <si>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</si>
  <si>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</si>
  <si>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</si>
  <si>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</si>
  <si>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</si>
  <si>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</si>
  <si>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</si>
  <si>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Translation – points per task (0 / 1 / 2)</t>
  </si>
  <si>
    <t xml:space="preserve">Session</t>
  </si>
  <si>
    <t xml:space="preserve">Condition</t>
  </si>
  <si>
    <t xml:space="preserve">Reasoning – points per task (0 / 1)</t>
  </si>
  <si>
    <t xml:space="preserve">Translation – points with sums</t>
  </si>
  <si>
    <t xml:space="preserve">Level →</t>
  </si>
  <si>
    <t xml:space="preserve">Given view →</t>
  </si>
  <si>
    <t xml:space="preserve">Sum</t>
  </si>
  <si>
    <t xml:space="preserve">Fully solved</t>
  </si>
  <si>
    <t xml:space="preserve">Rated</t>
  </si>
  <si>
    <t xml:space="preserve">Reasoning – points with sums </t>
  </si>
  <si>
    <t xml:space="preserve">Level </t>
  </si>
  <si>
    <t xml:space="preserve">Given view </t>
  </si>
  <si>
    <t xml:space="preserve">Total (T+R)</t>
  </si>
  <si>
    <t xml:space="preserve">Helper calculations (do not edit)</t>
  </si>
  <si>
    <t xml:space="preserve">Scores T1 U S1</t>
  </si>
  <si>
    <t xml:space="preserve">Scores T1 Tie S1</t>
  </si>
  <si>
    <t xml:space="preserve">Scores T1 U S2</t>
  </si>
  <si>
    <t xml:space="preserve">Scores T1 Tie S2</t>
  </si>
  <si>
    <t xml:space="preserve">Scores T1 Sq</t>
  </si>
  <si>
    <t xml:space="preserve">Scores T2 U S1</t>
  </si>
  <si>
    <t xml:space="preserve">Scores T2 Tie S1</t>
  </si>
  <si>
    <t xml:space="preserve">Scores T2 U S2</t>
  </si>
  <si>
    <t xml:space="preserve">Scores T2 Tie S2</t>
  </si>
  <si>
    <t xml:space="preserve">Scores T2 Sq</t>
  </si>
  <si>
    <t xml:space="preserve">Scores T3 U S1</t>
  </si>
  <si>
    <t xml:space="preserve">Scores T3 Tie S1</t>
  </si>
  <si>
    <t xml:space="preserve">Scores T3 U S2</t>
  </si>
  <si>
    <t xml:space="preserve">Scores T3 Tie S2</t>
  </si>
  <si>
    <t xml:space="preserve">Scores T3 Sq</t>
  </si>
  <si>
    <t xml:space="preserve">Scores T4 U S1</t>
  </si>
  <si>
    <t xml:space="preserve">Scores T4 Tie S1</t>
  </si>
  <si>
    <t xml:space="preserve">Scores T4 U S2</t>
  </si>
  <si>
    <t xml:space="preserve">Scores T4 Tie S2</t>
  </si>
  <si>
    <t xml:space="preserve">Scores T4 Sq</t>
  </si>
  <si>
    <t xml:space="preserve">Scores T5 U S1</t>
  </si>
  <si>
    <t xml:space="preserve">Scores T5 Tie S1</t>
  </si>
  <si>
    <t xml:space="preserve">Scores T5 U S2</t>
  </si>
  <si>
    <t xml:space="preserve">Scores T5 Tie S2</t>
  </si>
  <si>
    <t xml:space="preserve">Scores T5 Sq</t>
  </si>
  <si>
    <t xml:space="preserve">Scores T6 U S1</t>
  </si>
  <si>
    <t xml:space="preserve">Scores T6 Tie S1</t>
  </si>
  <si>
    <t xml:space="preserve">Scores T6 U S2</t>
  </si>
  <si>
    <t xml:space="preserve">Scores T6 Tie S2</t>
  </si>
  <si>
    <t xml:space="preserve">Scores T6 Sq</t>
  </si>
  <si>
    <t xml:space="preserve">Scores T7 U S1</t>
  </si>
  <si>
    <t xml:space="preserve">Scores T7 Tie S1</t>
  </si>
  <si>
    <t xml:space="preserve">Scores T7 U S2</t>
  </si>
  <si>
    <t xml:space="preserve">Scores T7 Tie S2</t>
  </si>
  <si>
    <t xml:space="preserve">Scores T7 Sq</t>
  </si>
  <si>
    <t xml:space="preserve">Scores T8 U S1</t>
  </si>
  <si>
    <t xml:space="preserve">Scores T8 Tie S1</t>
  </si>
  <si>
    <t xml:space="preserve">Scores T8 U S2</t>
  </si>
  <si>
    <t xml:space="preserve">Scores T8 Tie S2</t>
  </si>
  <si>
    <t xml:space="preserve">Scores T8 Sq</t>
  </si>
  <si>
    <t xml:space="preserve">Scores T9 U S1</t>
  </si>
  <si>
    <t xml:space="preserve">Scores T9 Tie S1</t>
  </si>
  <si>
    <t xml:space="preserve">Scores T9 U S2</t>
  </si>
  <si>
    <t xml:space="preserve">Scores T9 Tie S2</t>
  </si>
  <si>
    <t xml:space="preserve">Scores T9 Sq</t>
  </si>
  <si>
    <t xml:space="preserve">Scores T10 U S1</t>
  </si>
  <si>
    <t xml:space="preserve">Scores T10 Tie S1</t>
  </si>
  <si>
    <t xml:space="preserve">Scores T10 U S2</t>
  </si>
  <si>
    <t xml:space="preserve">Scores T10 Tie S2</t>
  </si>
  <si>
    <t xml:space="preserve">Scores T10 Sq</t>
  </si>
  <si>
    <t xml:space="preserve">Scores T11 U S1</t>
  </si>
  <si>
    <t xml:space="preserve">Scores T11 Tie S1</t>
  </si>
  <si>
    <t xml:space="preserve">Scores T11 U S2</t>
  </si>
  <si>
    <t xml:space="preserve">Scores T11 Tie S2</t>
  </si>
  <si>
    <t xml:space="preserve">Scores T11 Sq</t>
  </si>
  <si>
    <t xml:space="preserve">Scores T12 U S1</t>
  </si>
  <si>
    <t xml:space="preserve">Scores T12 Tie S1</t>
  </si>
  <si>
    <t xml:space="preserve">Scores T12 U S2</t>
  </si>
  <si>
    <t xml:space="preserve">Scores T12 Tie S2</t>
  </si>
  <si>
    <t xml:space="preserve">Scores T12 Sq</t>
  </si>
  <si>
    <t xml:space="preserve">R_Scores T1 U S1</t>
  </si>
  <si>
    <t xml:space="preserve">R_Scores T1 Tie S1</t>
  </si>
  <si>
    <t xml:space="preserve">R_Scores T1 U S2</t>
  </si>
  <si>
    <t xml:space="preserve">R_Scores T1 Tie S2</t>
  </si>
  <si>
    <t xml:space="preserve">R_Scores T1 Sq</t>
  </si>
  <si>
    <t xml:space="preserve">R_Scores T2 U S1</t>
  </si>
  <si>
    <t xml:space="preserve">R_Scores T2 Tie S1</t>
  </si>
  <si>
    <t xml:space="preserve">R_Scores T2 U S2</t>
  </si>
  <si>
    <t xml:space="preserve">R_Scores T2 Tie S2</t>
  </si>
  <si>
    <t xml:space="preserve">R_Scores T2 Sq</t>
  </si>
  <si>
    <t xml:space="preserve">R_Scores T3 U S1</t>
  </si>
  <si>
    <t xml:space="preserve">R_Scores T3 Tie S1</t>
  </si>
  <si>
    <t xml:space="preserve">R_Scores T3 U S2</t>
  </si>
  <si>
    <t xml:space="preserve">R_Scores T3 Tie S2</t>
  </si>
  <si>
    <t xml:space="preserve">R_Scores T3 Sq</t>
  </si>
  <si>
    <t xml:space="preserve">R_Scores T4 U S1</t>
  </si>
  <si>
    <t xml:space="preserve">R_Scores T4 Tie S1</t>
  </si>
  <si>
    <t xml:space="preserve">R_Scores T4 U S2</t>
  </si>
  <si>
    <t xml:space="preserve">R_Scores T4 Tie S2</t>
  </si>
  <si>
    <t xml:space="preserve">R_Scores T4 Sq</t>
  </si>
  <si>
    <t xml:space="preserve">R_Scores T5 U S1</t>
  </si>
  <si>
    <t xml:space="preserve">R_Scores T5 Tie S1</t>
  </si>
  <si>
    <t xml:space="preserve">R_Scores T5 U S2</t>
  </si>
  <si>
    <t xml:space="preserve">R_Scores T5 Tie S2</t>
  </si>
  <si>
    <t xml:space="preserve">R_Scores T5 Sq</t>
  </si>
  <si>
    <t xml:space="preserve">R_Scores T6 U S1</t>
  </si>
  <si>
    <t xml:space="preserve">R_Scores T6 Tie S1</t>
  </si>
  <si>
    <t xml:space="preserve">R_Scores T6 U S2</t>
  </si>
  <si>
    <t xml:space="preserve">R_Scores T6 Tie S2</t>
  </si>
  <si>
    <t xml:space="preserve">R_Scores T6 Sq</t>
  </si>
  <si>
    <t xml:space="preserve">R_Scores T7 U S1</t>
  </si>
  <si>
    <t xml:space="preserve">R_Scores T7 Tie S1</t>
  </si>
  <si>
    <t xml:space="preserve">R_Scores T7 U S2</t>
  </si>
  <si>
    <t xml:space="preserve">R_Scores T7 Tie S2</t>
  </si>
  <si>
    <t xml:space="preserve">R_Scores T7 Sq</t>
  </si>
  <si>
    <t xml:space="preserve">R_Scores T8 U S1</t>
  </si>
  <si>
    <t xml:space="preserve">R_Scores T8 Tie S1</t>
  </si>
  <si>
    <t xml:space="preserve">R_Scores T8 U S2</t>
  </si>
  <si>
    <t xml:space="preserve">R_Scores T8 Tie S2</t>
  </si>
  <si>
    <t xml:space="preserve">R_Scores T8 Sq</t>
  </si>
  <si>
    <t xml:space="preserve">R_Scores T9 U S1</t>
  </si>
  <si>
    <t xml:space="preserve">R_Scores T9 Tie S1</t>
  </si>
  <si>
    <t xml:space="preserve">R_Scores T9 U S2</t>
  </si>
  <si>
    <t xml:space="preserve">R_Scores T9 Tie S2</t>
  </si>
  <si>
    <t xml:space="preserve">R_Scores T9 Sq</t>
  </si>
  <si>
    <t xml:space="preserve">R_Scores T10 U S1</t>
  </si>
  <si>
    <t xml:space="preserve">R_Scores T10 Tie S1</t>
  </si>
  <si>
    <t xml:space="preserve">R_Scores T10 U S2</t>
  </si>
  <si>
    <t xml:space="preserve">R_Scores T10 Tie S2</t>
  </si>
  <si>
    <t xml:space="preserve">R_Scores T10 Sq</t>
  </si>
  <si>
    <t xml:space="preserve">R_Scores T11 U S1</t>
  </si>
  <si>
    <t xml:space="preserve">R_Scores T11 Tie S1</t>
  </si>
  <si>
    <t xml:space="preserve">R_Scores T11 U S2</t>
  </si>
  <si>
    <t xml:space="preserve">R_Scores T11 Tie S2</t>
  </si>
  <si>
    <t xml:space="preserve">R_Scores T11 Sq</t>
  </si>
  <si>
    <t xml:space="preserve">R_Scores T12 U S1</t>
  </si>
  <si>
    <t xml:space="preserve">R_Scores T12 Tie S1</t>
  </si>
  <si>
    <t xml:space="preserve">R_Scores T12 U S2</t>
  </si>
  <si>
    <t xml:space="preserve">R_Scores T12 Tie S2</t>
  </si>
  <si>
    <t xml:space="preserve">R_Scores T12 Sq</t>
  </si>
  <si>
    <t xml:space="preserve">Scores Sum U S1</t>
  </si>
  <si>
    <t xml:space="preserve">Scores Sum Tie S1</t>
  </si>
  <si>
    <t xml:space="preserve">Scores Sum U S2</t>
  </si>
  <si>
    <t xml:space="preserve">Scores Sum Tie S2</t>
  </si>
  <si>
    <t xml:space="preserve">Scores Sum Sq</t>
  </si>
  <si>
    <t xml:space="preserve">Scores Gate U S1</t>
  </si>
  <si>
    <t xml:space="preserve">Scores Gate Tie S1</t>
  </si>
  <si>
    <t xml:space="preserve">Scores Gate U S2</t>
  </si>
  <si>
    <t xml:space="preserve">Scores Gate Tie S2</t>
  </si>
  <si>
    <t xml:space="preserve">Scores Gate Sq</t>
  </si>
  <si>
    <t xml:space="preserve">Scores Block U S1</t>
  </si>
  <si>
    <t xml:space="preserve">Scores Block Tie S1</t>
  </si>
  <si>
    <t xml:space="preserve">Scores Block U S2</t>
  </si>
  <si>
    <t xml:space="preserve">Scores Block Tie S2</t>
  </si>
  <si>
    <t xml:space="preserve">Scores Block Sq</t>
  </si>
  <si>
    <t xml:space="preserve">Scores Model U S1</t>
  </si>
  <si>
    <t xml:space="preserve">Scores Model Tie S1</t>
  </si>
  <si>
    <t xml:space="preserve">Scores Model U S2</t>
  </si>
  <si>
    <t xml:space="preserve">Scores Model Tie S2</t>
  </si>
  <si>
    <t xml:space="preserve">Scores Model Sq</t>
  </si>
  <si>
    <t xml:space="preserve">Scores Derivation U S1</t>
  </si>
  <si>
    <t xml:space="preserve">Scores Derivation Tie S1</t>
  </si>
  <si>
    <t xml:space="preserve">Scores Derivation U S2</t>
  </si>
  <si>
    <t xml:space="preserve">Scores Derivation Tie S2</t>
  </si>
  <si>
    <t xml:space="preserve">Scores Derivation Sq</t>
  </si>
  <si>
    <t xml:space="preserve">Scores Code U S1</t>
  </si>
  <si>
    <t xml:space="preserve">Scores Code Tie S1</t>
  </si>
  <si>
    <t xml:space="preserve">Scores Code U S2</t>
  </si>
  <si>
    <t xml:space="preserve">Scores Code Tie S2</t>
  </si>
  <si>
    <t xml:space="preserve">Scores Code Sq</t>
  </si>
  <si>
    <t xml:space="preserve">R_Scores Sum U S1</t>
  </si>
  <si>
    <t xml:space="preserve">R_Scores Sum Tie S1</t>
  </si>
  <si>
    <t xml:space="preserve">R_Scores Sum U S2</t>
  </si>
  <si>
    <t xml:space="preserve">R_Scores Sum Tie S2</t>
  </si>
  <si>
    <t xml:space="preserve">R_Scores Sum Sq</t>
  </si>
  <si>
    <t xml:space="preserve">R_Scores Total (T+R) U S1</t>
  </si>
  <si>
    <t xml:space="preserve">R_Scores Total (T+R) Tie S1</t>
  </si>
  <si>
    <t xml:space="preserve">R_Scores Total (T+R) U S2</t>
  </si>
  <si>
    <t xml:space="preserve">R_Scores Total (T+R) Tie S2</t>
  </si>
  <si>
    <t xml:space="preserve">R_Scores Total (T+R) Sq</t>
  </si>
  <si>
    <t xml:space="preserve">QC U</t>
  </si>
  <si>
    <t xml:space="preserve">QC Tie</t>
  </si>
  <si>
    <t xml:space="preserve">LinAlg U</t>
  </si>
  <si>
    <t xml:space="preserve">LinAlg Tie</t>
  </si>
  <si>
    <t xml:space="preserve">Prog U</t>
  </si>
  <si>
    <t xml:space="preserve">Prog Tie</t>
  </si>
  <si>
    <t xml:space="preserve">Holm M7 sortiert</t>
  </si>
  <si>
    <t xml:space="preserve">Holm Q7 sortiert</t>
  </si>
  <si>
    <t xml:space="preserve">Holm I48 sortiert</t>
  </si>
  <si>
    <t xml:space="preserve">Holm M48 sortiert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</si>
</sst>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.0%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true" showOutlineSymbols="true" defaultGridColor="true" view="normal" topLeftCell="A1" colorId="64" zoomScale="92" zoomScaleNormal="92" zoomScalePageLayoutView="100" workbookViewId="0">
      <pane xSplit="1" ySplit="6" topLeftCell="B59" activePane="bottomRight" state="frozen"/>
      <selection pane="topLeft" activeCell="A1" activeCellId="0" sqref="A1"/>
      <selection pane="topRight" activeCell="B1" activeCellId="0" sqref="B1"/>
      <selection pane="bottomLeft" activeCell="A59" activeCellId="0" sqref="A59"/>
      <selection pane="bottomRight" activeCell="A84" activeCellId="0" sqref="A8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14.25" hidden="false" customHeight="true" outlineLevel="0" collapsed="false">
      <c r="A4" s="4" t="s">
        <v>1</v>
      </c>
    </row>
    <row r="5" customFormat="false" ht="15" hidden="false" customHeight="true" outlineLevel="0" collapsed="false">
      <c r="D5" s="5" t="s">
        <v>2</v>
      </c>
      <c r="E5" s="5"/>
      <c r="F5" s="5"/>
      <c r="G5" s="5"/>
      <c r="H5" s="5" t="s">
        <v>3</v>
      </c>
      <c r="I5" s="5"/>
      <c r="J5" s="5"/>
      <c r="K5" s="5"/>
      <c r="L5" s="5" t="s">
        <v>4</v>
      </c>
      <c r="M5" s="5"/>
      <c r="N5" s="5"/>
      <c r="O5" s="5"/>
      <c r="P5" s="5" t="s">
        <v>5</v>
      </c>
      <c r="Q5" s="5"/>
      <c r="R5" s="5"/>
      <c r="S5" s="5"/>
    </row>
    <row r="6" customFormat="false" ht="30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13</v>
      </c>
      <c r="Q6" s="5" t="s">
        <v>14</v>
      </c>
      <c r="R6" s="5" t="s">
        <v>15</v>
      </c>
      <c r="S6" s="5" t="s">
        <v>16</v>
      </c>
    </row>
    <row r="7" customFormat="false" ht="14.25" hidden="false" customHeight="true" outlineLevel="0" collapsed="false">
      <c r="A7" s="6" t="s">
        <v>17</v>
      </c>
      <c r="B7" s="6" t="str">
        <f aca="false">IF(Tasks!$G$2="No","",Tasks!E2&amp;"")</f>
        <v>Gate</v>
      </c>
      <c r="C7" s="6" t="str">
        <f aca="false">IF(Tasks!$G$2="No","",Tasks!D2&amp;"")</f>
        <v>Model</v>
      </c>
      <c r="D7" s="6" t="n">
        <f aca="false">IF(Tasks!$G$2="No","",COUNTIFS(Scores!$B$5:$B$44,1,Scores!$C$5:$C$44,"Tool condition",Scores!E$5:E$44,2))</f>
        <v>10</v>
      </c>
      <c r="E7" s="6" t="n">
        <f aca="false">IF(Tasks!$G$2="No","",COUNTIFS(Scores!$B$5:$B$44,1,Scores!$C$5:$C$44,"Paper condition",Scores!E$5:E$44,2))</f>
        <v>6</v>
      </c>
      <c r="F7" s="6" t="n">
        <f aca="false">IF(Tasks!$G$2="No","",COUNTIFS(Scores!$B$5:$B$44,2,Scores!$C$5:$C$44,"Tool condition",Scores!E$5:E$44,2))</f>
        <v>7</v>
      </c>
      <c r="G7" s="6" t="n">
        <f aca="false">IF(Tasks!$G$2="No","",COUNTIFS(Scores!$B$5:$B$44,2,Scores!$C$5:$C$44,"Paper condition",Scores!E$5:E$44,2))</f>
        <v>5</v>
      </c>
      <c r="H7" s="7" t="n">
        <f aca="false">IF(Tasks!$G$2="No","",IFERROR(AVERAGEIFS(Scores!E$5:E$44,Scores!$B$5:$B$44,1,Scores!$C$5:$C$44,"Tool condition"),""))</f>
        <v>2</v>
      </c>
      <c r="I7" s="7" t="n">
        <f aca="false">IF(Tasks!$G$2="No","",IFERROR(AVERAGEIFS(Scores!E$5:E$44,Scores!$B$5:$B$44,1,Scores!$C$5:$C$44,"Paper condition"),""))</f>
        <v>1.5</v>
      </c>
      <c r="J7" s="7" t="n">
        <f aca="false">IF(Tasks!$G$2="No","",IFERROR(AVERAGEIFS(Scores!E$5:E$44,Scores!$B$5:$B$44,2,Scores!$C$5:$C$44,"Tool condition"),""))</f>
        <v>1.7</v>
      </c>
      <c r="K7" s="7" t="n">
        <f aca="false">IF(Tasks!$G$2="No","",IFERROR(AVERAGEIFS(Scores!E$5:E$44,Scores!$B$5:$B$44,2,Scores!$C$5:$C$44,"Paper condition"),""))</f>
        <v>1.5</v>
      </c>
      <c r="L7" s="8" t="n">
        <f aca="false">IF(Tasks!$G$2="No","",IF(OR(COUNTIFS(Scores!$B$5:$B$44,1,Scores!$C$5:$C$44,"Tool condition",Scores!E$5:E$44,"&gt;=0")=0,COUNTIFS(Scores!$B$5:$B$44,1,Scores!$C$5:$C$44,"Paper condition",Scores!E$5:E$44,"&gt;=0")=0),"",SUM(Helper!B$5:B$44)))</f>
        <v>70</v>
      </c>
      <c r="M7" s="9" t="n">
        <f aca="false">IF(L7="","",IF(SQRT(COUNTIFS(Scores!$B$5:$B$44,1,Scores!$C$5:$C$44,"Tool condition",Scores!E$5:E$44,"&gt;=0")*COUNTIFS(Scores!$B$5:$B$44,1,Scores!$C$5:$C$44,"Paper condition",Scores!E$5:E$44,"&gt;=0")/12*(((COUNTIFS(Scores!$B$5:$B$44,1,Scores!$C$5:$C$44,"Tool condition",Scores!E$5:E$44,"&gt;=0")+COUNTIFS(Scores!$B$5:$B$44,1,Scores!$C$5:$C$44,"Paper condition",Scores!E$5:E$44,"&gt;=0"))+1)-SUM(Helper!C$5:C$44)/((COUNTIFS(Scores!$B$5:$B$44,1,Scores!$C$5:$C$44,"Tool condition",Scores!E$5:E$44,"&gt;=0")+COUNTIFS(Scores!$B$5:$B$44,1,Scores!$C$5:$C$44,"Paper condition",Scores!E$5:E$44,"&gt;=0"))*((COUNTIFS(Scores!$B$5:$B$44,1,Scores!$C$5:$C$44,"Tool condition",Scores!E$5:E$44,"&gt;=0")+COUNTIFS(Scores!$B$5:$B$44,1,Scores!$C$5:$C$44,"Paper condition",Scores!E$5:E$44,"&gt;=0"))-1))))=0,1,MIN(1,2*(1-NORMSDIST((ABS(L7-COUNTIFS(Scores!$B$5:$B$44,1,Scores!$C$5:$C$44,"Tool condition",Scores!E$5:E$44,"&gt;=0")*COUNTIFS(Scores!$B$5:$B$44,1,Scores!$C$5:$C$44,"Paper condition",Scores!E$5:E$44,"&gt;=0")/2)-0.5)/SQRT(COUNTIFS(Scores!$B$5:$B$44,1,Scores!$C$5:$C$44,"Tool condition",Scores!E$5:E$44,"&gt;=0")*COUNTIFS(Scores!$B$5:$B$44,1,Scores!$C$5:$C$44,"Paper condition",Scores!E$5:E$44,"&gt;=0")/12*(((COUNTIFS(Scores!$B$5:$B$44,1,Scores!$C$5:$C$44,"Tool condition",Scores!E$5:E$44,"&gt;=0")+COUNTIFS(Scores!$B$5:$B$44,1,Scores!$C$5:$C$44,"Paper condition",Scores!E$5:E$44,"&gt;=0"))+1)-SUM(Helper!C$5:C$44)/((COUNTIFS(Scores!$B$5:$B$44,1,Scores!$C$5:$C$44,"Tool condition",Scores!E$5:E$44,"&gt;=0")+COUNTIFS(Scores!$B$5:$B$44,1,Scores!$C$5:$C$44,"Paper condition",Scores!E$5:E$44,"&gt;=0"))*((COUNTIFS(Scores!$B$5:$B$44,1,Scores!$C$5:$C$44,"Tool condition",Scores!E$5:E$44,"&gt;=0")+COUNTIFS(Scores!$B$5:$B$44,1,Scores!$C$5:$C$44,"Paper condition",Scores!E$5:E$44,"&gt;=0"))-1)))))))))</f>
        <v>0.0344238143253888</v>
      </c>
      <c r="N7" s="9" t="n">
        <f aca="false">IF(M7="","",INDEX(Helper!$D$100:$D$111,RANK(M7,Analysis!$M$7:$M$18,1)+COUNTIF(Analysis!$M$7:$M$18,M7)-1))</f>
        <v>0.201538084576661</v>
      </c>
      <c r="O7" s="7" t="n">
        <f aca="false">IF(L7="","",2*L7/(COUNTIFS(Scores!$B$5:$B$44,1,Scores!$C$5:$C$44,"Tool condition",Scores!E$5:E$44,"&gt;=0")*COUNTIFS(Scores!$B$5:$B$44,1,Scores!$C$5:$C$44,"Paper condition",Scores!E$5:E$44,"&gt;=0"))-1)</f>
        <v>0.4</v>
      </c>
      <c r="P7" s="8" t="n">
        <f aca="false">IF(Tasks!$G$2="No","",IF(OR(COUNTIFS(Scores!$B$5:$B$44,2,Scores!$C$5:$C$44,"Tool condition",Scores!E$5:E$44,"&gt;=0")=0,COUNTIFS(Scores!$B$5:$B$44,2,Scores!$C$5:$C$44,"Paper condition",Scores!E$5:E$44,"&gt;=0")=0),"",SUM(Helper!D$5:D$44)))</f>
        <v>60</v>
      </c>
      <c r="Q7" s="9" t="n">
        <f aca="false">IF(P7="","",IF(SQRT(COUNTIFS(Scores!$B$5:$B$44,2,Scores!$C$5:$C$44,"Tool condition",Scores!E$5:E$44,"&gt;=0")*COUNTIFS(Scores!$B$5:$B$44,2,Scores!$C$5:$C$44,"Paper condition",Scores!E$5:E$44,"&gt;=0")/12*(((COUNTIFS(Scores!$B$5:$B$44,2,Scores!$C$5:$C$44,"Tool condition",Scores!E$5:E$44,"&gt;=0")+COUNTIFS(Scores!$B$5:$B$44,2,Scores!$C$5:$C$44,"Paper condition",Scores!E$5:E$44,"&gt;=0"))+1)-SUM(Helper!E$5:E$44)/((COUNTIFS(Scores!$B$5:$B$44,2,Scores!$C$5:$C$44,"Tool condition",Scores!E$5:E$44,"&gt;=0")+COUNTIFS(Scores!$B$5:$B$44,2,Scores!$C$5:$C$44,"Paper condition",Scores!E$5:E$44,"&gt;=0"))*((COUNTIFS(Scores!$B$5:$B$44,2,Scores!$C$5:$C$44,"Tool condition",Scores!E$5:E$44,"&gt;=0")+COUNTIFS(Scores!$B$5:$B$44,2,Scores!$C$5:$C$44,"Paper condition",Scores!E$5:E$44,"&gt;=0"))-1))))=0,1,MIN(1,2*(1-NORMSDIST((ABS(P7-COUNTIFS(Scores!$B$5:$B$44,2,Scores!$C$5:$C$44,"Tool condition",Scores!E$5:E$44,"&gt;=0")*COUNTIFS(Scores!$B$5:$B$44,2,Scores!$C$5:$C$44,"Paper condition",Scores!E$5:E$44,"&gt;=0")/2)-0.5)/SQRT(COUNTIFS(Scores!$B$5:$B$44,2,Scores!$C$5:$C$44,"Tool condition",Scores!E$5:E$44,"&gt;=0")*COUNTIFS(Scores!$B$5:$B$44,2,Scores!$C$5:$C$44,"Paper condition",Scores!E$5:E$44,"&gt;=0")/12*(((COUNTIFS(Scores!$B$5:$B$44,2,Scores!$C$5:$C$44,"Tool condition",Scores!E$5:E$44,"&gt;=0")+COUNTIFS(Scores!$B$5:$B$44,2,Scores!$C$5:$C$44,"Paper condition",Scores!E$5:E$44,"&gt;=0"))+1)-SUM(Helper!E$5:E$44)/((COUNTIFS(Scores!$B$5:$B$44,2,Scores!$C$5:$C$44,"Tool condition",Scores!E$5:E$44,"&gt;=0")+COUNTIFS(Scores!$B$5:$B$44,2,Scores!$C$5:$C$44,"Paper condition",Scores!E$5:E$44,"&gt;=0"))*((COUNTIFS(Scores!$B$5:$B$44,2,Scores!$C$5:$C$44,"Tool condition",Scores!E$5:E$44,"&gt;=0")+COUNTIFS(Scores!$B$5:$B$44,2,Scores!$C$5:$C$44,"Paper condition",Scores!E$5:E$44,"&gt;=0"))-1)))))))))</f>
        <v>0.397960835435706</v>
      </c>
      <c r="R7" s="9" t="n">
        <f aca="false">IF(Q7="","",INDEX(Helper!$H$100:$H$111,RANK(Q7,Analysis!$Q$7:$Q$18,1)+COUNTIF(Analysis!$Q$7:$Q$18,Q7)-1))</f>
        <v>1</v>
      </c>
      <c r="S7" s="7" t="n">
        <f aca="false">IF(P7="","",2*P7/(COUNTIFS(Scores!$B$5:$B$44,2,Scores!$C$5:$C$44,"Tool condition",Scores!E$5:E$44,"&gt;=0")*COUNTIFS(Scores!$B$5:$B$44,2,Scores!$C$5:$C$44,"Paper condition",Scores!E$5:E$44,"&gt;=0"))-1)</f>
        <v>0.2</v>
      </c>
    </row>
    <row r="8" customFormat="false" ht="14.25" hidden="false" customHeight="true" outlineLevel="0" collapsed="false">
      <c r="A8" s="6" t="s">
        <v>18</v>
      </c>
      <c r="B8" s="6" t="str">
        <f aca="false">IF(Tasks!$G$3="No","",Tasks!E3&amp;"")</f>
        <v>Gate</v>
      </c>
      <c r="C8" s="6" t="str">
        <f aca="false">IF(Tasks!$G$3="No","",Tasks!D3&amp;"")</f>
        <v>Code</v>
      </c>
      <c r="D8" s="6" t="n">
        <f aca="false">IF(Tasks!$G$3="No","",COUNTIFS(Scores!$B$5:$B$44,1,Scores!$C$5:$C$44,"Tool condition",Scores!F$5:F$44,2))</f>
        <v>10</v>
      </c>
      <c r="E8" s="6" t="n">
        <f aca="false">IF(Tasks!$G$3="No","",COUNTIFS(Scores!$B$5:$B$44,1,Scores!$C$5:$C$44,"Paper condition",Scores!F$5:F$44,2))</f>
        <v>4</v>
      </c>
      <c r="F8" s="6" t="n">
        <f aca="false">IF(Tasks!$G$3="No","",COUNTIFS(Scores!$B$5:$B$44,2,Scores!$C$5:$C$44,"Tool condition",Scores!F$5:F$44,2))</f>
        <v>7</v>
      </c>
      <c r="G8" s="6" t="n">
        <f aca="false">IF(Tasks!$G$3="No","",COUNTIFS(Scores!$B$5:$B$44,2,Scores!$C$5:$C$44,"Paper condition",Scores!F$5:F$44,2))</f>
        <v>4</v>
      </c>
      <c r="H8" s="7" t="n">
        <f aca="false">IF(Tasks!$G$3="No","",IFERROR(AVERAGEIFS(Scores!F$5:F$44,Scores!$B$5:$B$44,1,Scores!$C$5:$C$44,"Tool condition"),""))</f>
        <v>2</v>
      </c>
      <c r="I8" s="7" t="n">
        <f aca="false">IF(Tasks!$G$3="No","",IFERROR(AVERAGEIFS(Scores!F$5:F$44,Scores!$B$5:$B$44,1,Scores!$C$5:$C$44,"Paper condition"),""))</f>
        <v>1.3</v>
      </c>
      <c r="J8" s="7" t="n">
        <f aca="false">IF(Tasks!$G$3="No","",IFERROR(AVERAGEIFS(Scores!F$5:F$44,Scores!$B$5:$B$44,2,Scores!$C$5:$C$44,"Tool condition"),""))</f>
        <v>1.7</v>
      </c>
      <c r="K8" s="7" t="n">
        <f aca="false">IF(Tasks!$G$3="No","",IFERROR(AVERAGEIFS(Scores!F$5:F$44,Scores!$B$5:$B$44,2,Scores!$C$5:$C$44,"Paper condition"),""))</f>
        <v>1.3</v>
      </c>
      <c r="L8" s="8" t="n">
        <f aca="false">IF(Tasks!$G$3="No","",IF(OR(COUNTIFS(Scores!$B$5:$B$44,1,Scores!$C$5:$C$44,"Tool condition",Scores!F$5:F$44,"&gt;=0")=0,COUNTIFS(Scores!$B$5:$B$44,1,Scores!$C$5:$C$44,"Paper condition",Scores!F$5:F$44,"&gt;=0")=0),"",SUM(Helper!G$5:G$44)))</f>
        <v>80</v>
      </c>
      <c r="M8" s="9" t="n">
        <f aca="false">IF(L8="","",IF(SQRT(COUNTIFS(Scores!$B$5:$B$44,1,Scores!$C$5:$C$44,"Tool condition",Scores!F$5:F$44,"&gt;=0")*COUNTIFS(Scores!$B$5:$B$44,1,Scores!$C$5:$C$44,"Paper condition",Scores!F$5:F$44,"&gt;=0")/12*(((COUNTIFS(Scores!$B$5:$B$44,1,Scores!$C$5:$C$44,"Tool condition",Scores!F$5:F$44,"&gt;=0")+COUNTIFS(Scores!$B$5:$B$44,1,Scores!$C$5:$C$44,"Paper condition",Scores!F$5:F$44,"&gt;=0"))+1)-SUM(Helper!H$5:H$44)/((COUNTIFS(Scores!$B$5:$B$44,1,Scores!$C$5:$C$44,"Tool condition",Scores!F$5:F$44,"&gt;=0")+COUNTIFS(Scores!$B$5:$B$44,1,Scores!$C$5:$C$44,"Paper condition",Scores!F$5:F$44,"&gt;=0"))*((COUNTIFS(Scores!$B$5:$B$44,1,Scores!$C$5:$C$44,"Tool condition",Scores!F$5:F$44,"&gt;=0")+COUNTIFS(Scores!$B$5:$B$44,1,Scores!$C$5:$C$44,"Paper condition",Scores!F$5:F$44,"&gt;=0"))-1))))=0,1,MIN(1,2*(1-NORMSDIST((ABS(L8-COUNTIFS(Scores!$B$5:$B$44,1,Scores!$C$5:$C$44,"Tool condition",Scores!F$5:F$44,"&gt;=0")*COUNTIFS(Scores!$B$5:$B$44,1,Scores!$C$5:$C$44,"Paper condition",Scores!F$5:F$44,"&gt;=0")/2)-0.5)/SQRT(COUNTIFS(Scores!$B$5:$B$44,1,Scores!$C$5:$C$44,"Tool condition",Scores!F$5:F$44,"&gt;=0")*COUNTIFS(Scores!$B$5:$B$44,1,Scores!$C$5:$C$44,"Paper condition",Scores!F$5:F$44,"&gt;=0")/12*(((COUNTIFS(Scores!$B$5:$B$44,1,Scores!$C$5:$C$44,"Tool condition",Scores!F$5:F$44,"&gt;=0")+COUNTIFS(Scores!$B$5:$B$44,1,Scores!$C$5:$C$44,"Paper condition",Scores!F$5:F$44,"&gt;=0"))+1)-SUM(Helper!H$5:H$44)/((COUNTIFS(Scores!$B$5:$B$44,1,Scores!$C$5:$C$44,"Tool condition",Scores!F$5:F$44,"&gt;=0")+COUNTIFS(Scores!$B$5:$B$44,1,Scores!$C$5:$C$44,"Paper condition",Scores!F$5:F$44,"&gt;=0"))*((COUNTIFS(Scores!$B$5:$B$44,1,Scores!$C$5:$C$44,"Tool condition",Scores!F$5:F$44,"&gt;=0")+COUNTIFS(Scores!$B$5:$B$44,1,Scores!$C$5:$C$44,"Paper condition",Scores!F$5:F$44,"&gt;=0"))-1)))))))))</f>
        <v>0.00541439022526191</v>
      </c>
      <c r="N8" s="9" t="n">
        <f aca="false">IF(M8="","",INDEX(Helper!$D$100:$D$111,RANK(M8,Analysis!$M$7:$M$18,1)+COUNTIF(Analysis!$M$7:$M$18,M8)-1))</f>
        <v>0.059558292477881</v>
      </c>
      <c r="O8" s="7" t="n">
        <f aca="false">IF(L8="","",2*L8/(COUNTIFS(Scores!$B$5:$B$44,1,Scores!$C$5:$C$44,"Tool condition",Scores!F$5:F$44,"&gt;=0")*COUNTIFS(Scores!$B$5:$B$44,1,Scores!$C$5:$C$44,"Paper condition",Scores!F$5:F$44,"&gt;=0"))-1)</f>
        <v>0.6</v>
      </c>
      <c r="P8" s="8" t="n">
        <f aca="false">IF(Tasks!$G$3="No","",IF(OR(COUNTIFS(Scores!$B$5:$B$44,2,Scores!$C$5:$C$44,"Tool condition",Scores!F$5:F$44,"&gt;=0")=0,COUNTIFS(Scores!$B$5:$B$44,2,Scores!$C$5:$C$44,"Paper condition",Scores!F$5:F$44,"&gt;=0")=0),"",SUM(Helper!I$5:I$44)))</f>
        <v>66.5</v>
      </c>
      <c r="Q8" s="9" t="n">
        <f aca="false">IF(P8="","",IF(SQRT(COUNTIFS(Scores!$B$5:$B$44,2,Scores!$C$5:$C$44,"Tool condition",Scores!F$5:F$44,"&gt;=0")*COUNTIFS(Scores!$B$5:$B$44,2,Scores!$C$5:$C$44,"Paper condition",Scores!F$5:F$44,"&gt;=0")/12*(((COUNTIFS(Scores!$B$5:$B$44,2,Scores!$C$5:$C$44,"Tool condition",Scores!F$5:F$44,"&gt;=0")+COUNTIFS(Scores!$B$5:$B$44,2,Scores!$C$5:$C$44,"Paper condition",Scores!F$5:F$44,"&gt;=0"))+1)-SUM(Helper!J$5:J$44)/((COUNTIFS(Scores!$B$5:$B$44,2,Scores!$C$5:$C$44,"Tool condition",Scores!F$5:F$44,"&gt;=0")+COUNTIFS(Scores!$B$5:$B$44,2,Scores!$C$5:$C$44,"Paper condition",Scores!F$5:F$44,"&gt;=0"))*((COUNTIFS(Scores!$B$5:$B$44,2,Scores!$C$5:$C$44,"Tool condition",Scores!F$5:F$44,"&gt;=0")+COUNTIFS(Scores!$B$5:$B$44,2,Scores!$C$5:$C$44,"Paper condition",Scores!F$5:F$44,"&gt;=0"))-1))))=0,1,MIN(1,2*(1-NORMSDIST((ABS(P8-COUNTIFS(Scores!$B$5:$B$44,2,Scores!$C$5:$C$44,"Tool condition",Scores!F$5:F$44,"&gt;=0")*COUNTIFS(Scores!$B$5:$B$44,2,Scores!$C$5:$C$44,"Paper condition",Scores!F$5:F$44,"&gt;=0")/2)-0.5)/SQRT(COUNTIFS(Scores!$B$5:$B$44,2,Scores!$C$5:$C$44,"Tool condition",Scores!F$5:F$44,"&gt;=0")*COUNTIFS(Scores!$B$5:$B$44,2,Scores!$C$5:$C$44,"Paper condition",Scores!F$5:F$44,"&gt;=0")/12*(((COUNTIFS(Scores!$B$5:$B$44,2,Scores!$C$5:$C$44,"Tool condition",Scores!F$5:F$44,"&gt;=0")+COUNTIFS(Scores!$B$5:$B$44,2,Scores!$C$5:$C$44,"Paper condition",Scores!F$5:F$44,"&gt;=0"))+1)-SUM(Helper!J$5:J$44)/((COUNTIFS(Scores!$B$5:$B$44,2,Scores!$C$5:$C$44,"Tool condition",Scores!F$5:F$44,"&gt;=0")+COUNTIFS(Scores!$B$5:$B$44,2,Scores!$C$5:$C$44,"Paper condition",Scores!F$5:F$44,"&gt;=0"))*((COUNTIFS(Scores!$B$5:$B$44,2,Scores!$C$5:$C$44,"Tool condition",Scores!F$5:F$44,"&gt;=0")+COUNTIFS(Scores!$B$5:$B$44,2,Scores!$C$5:$C$44,"Paper condition",Scores!F$5:F$44,"&gt;=0"))-1)))))))))</f>
        <v>0.16849346784241</v>
      </c>
      <c r="R8" s="9" t="n">
        <f aca="false">IF(Q8="","",INDEX(Helper!$H$100:$H$111,RANK(Q8,Analysis!$Q$7:$Q$18,1)+COUNTIF(Analysis!$Q$7:$Q$18,Q8)-1))</f>
        <v>1</v>
      </c>
      <c r="S8" s="7" t="n">
        <f aca="false">IF(P8="","",2*P8/(COUNTIFS(Scores!$B$5:$B$44,2,Scores!$C$5:$C$44,"Tool condition",Scores!F$5:F$44,"&gt;=0")*COUNTIFS(Scores!$B$5:$B$44,2,Scores!$C$5:$C$44,"Paper condition",Scores!F$5:F$44,"&gt;=0"))-1)</f>
        <v>0.33</v>
      </c>
    </row>
    <row r="9" customFormat="false" ht="14.25" hidden="false" customHeight="true" outlineLevel="0" collapsed="false">
      <c r="A9" s="6" t="s">
        <v>19</v>
      </c>
      <c r="B9" s="6" t="str">
        <f aca="false">IF(Tasks!$G$4="No","",Tasks!E4&amp;"")</f>
        <v>Block</v>
      </c>
      <c r="C9" s="6" t="str">
        <f aca="false">IF(Tasks!$G$4="No","",Tasks!D4&amp;"")</f>
        <v>Model</v>
      </c>
      <c r="D9" s="6" t="n">
        <f aca="false">IF(Tasks!$G$4="No","",COUNTIFS(Scores!$B$5:$B$44,1,Scores!$C$5:$C$44,"Tool condition",Scores!G$5:G$44,2))</f>
        <v>10</v>
      </c>
      <c r="E9" s="6" t="n">
        <f aca="false">IF(Tasks!$G$4="No","",COUNTIFS(Scores!$B$5:$B$44,1,Scores!$C$5:$C$44,"Paper condition",Scores!G$5:G$44,2))</f>
        <v>7</v>
      </c>
      <c r="F9" s="6" t="n">
        <f aca="false">IF(Tasks!$G$4="No","",COUNTIFS(Scores!$B$5:$B$44,2,Scores!$C$5:$C$44,"Tool condition",Scores!G$5:G$44,2))</f>
        <v>8</v>
      </c>
      <c r="G9" s="6" t="n">
        <f aca="false">IF(Tasks!$G$4="No","",COUNTIFS(Scores!$B$5:$B$44,2,Scores!$C$5:$C$44,"Paper condition",Scores!G$5:G$44,2))</f>
        <v>6</v>
      </c>
      <c r="H9" s="7" t="n">
        <f aca="false">IF(Tasks!$G$4="No","",IFERROR(AVERAGEIFS(Scores!G$5:G$44,Scores!$B$5:$B$44,1,Scores!$C$5:$C$44,"Tool condition"),""))</f>
        <v>2</v>
      </c>
      <c r="I9" s="7" t="n">
        <f aca="false">IF(Tasks!$G$4="No","",IFERROR(AVERAGEIFS(Scores!G$5:G$44,Scores!$B$5:$B$44,1,Scores!$C$5:$C$44,"Paper condition"),""))</f>
        <v>1.7</v>
      </c>
      <c r="J9" s="7" t="n">
        <f aca="false">IF(Tasks!$G$4="No","",IFERROR(AVERAGEIFS(Scores!G$5:G$44,Scores!$B$5:$B$44,2,Scores!$C$5:$C$44,"Tool condition"),""))</f>
        <v>1.8</v>
      </c>
      <c r="K9" s="7" t="n">
        <f aca="false">IF(Tasks!$G$4="No","",IFERROR(AVERAGEIFS(Scores!G$5:G$44,Scores!$B$5:$B$44,2,Scores!$C$5:$C$44,"Paper condition"),""))</f>
        <v>1.6</v>
      </c>
      <c r="L9" s="8" t="n">
        <f aca="false">IF(Tasks!$G$4="No","",IF(OR(COUNTIFS(Scores!$B$5:$B$44,1,Scores!$C$5:$C$44,"Tool condition",Scores!G$5:G$44,"&gt;=0")=0,COUNTIFS(Scores!$B$5:$B$44,1,Scores!$C$5:$C$44,"Paper condition",Scores!G$5:G$44,"&gt;=0")=0),"",SUM(Helper!L$5:L$44)))</f>
        <v>65</v>
      </c>
      <c r="M9" s="9" t="n">
        <f aca="false">IF(L9="","",IF(SQRT(COUNTIFS(Scores!$B$5:$B$44,1,Scores!$C$5:$C$44,"Tool condition",Scores!G$5:G$44,"&gt;=0")*COUNTIFS(Scores!$B$5:$B$44,1,Scores!$C$5:$C$44,"Paper condition",Scores!G$5:G$44,"&gt;=0")/12*(((COUNTIFS(Scores!$B$5:$B$44,1,Scores!$C$5:$C$44,"Tool condition",Scores!G$5:G$44,"&gt;=0")+COUNTIFS(Scores!$B$5:$B$44,1,Scores!$C$5:$C$44,"Paper condition",Scores!G$5:G$44,"&gt;=0"))+1)-SUM(Helper!M$5:M$44)/((COUNTIFS(Scores!$B$5:$B$44,1,Scores!$C$5:$C$44,"Tool condition",Scores!G$5:G$44,"&gt;=0")+COUNTIFS(Scores!$B$5:$B$44,1,Scores!$C$5:$C$44,"Paper condition",Scores!G$5:G$44,"&gt;=0"))*((COUNTIFS(Scores!$B$5:$B$44,1,Scores!$C$5:$C$44,"Tool condition",Scores!G$5:G$44,"&gt;=0")+COUNTIFS(Scores!$B$5:$B$44,1,Scores!$C$5:$C$44,"Paper condition",Scores!G$5:G$44,"&gt;=0"))-1))))=0,1,MIN(1,2*(1-NORMSDIST((ABS(L9-COUNTIFS(Scores!$B$5:$B$44,1,Scores!$C$5:$C$44,"Tool condition",Scores!G$5:G$44,"&gt;=0")*COUNTIFS(Scores!$B$5:$B$44,1,Scores!$C$5:$C$44,"Paper condition",Scores!G$5:G$44,"&gt;=0")/2)-0.5)/SQRT(COUNTIFS(Scores!$B$5:$B$44,1,Scores!$C$5:$C$44,"Tool condition",Scores!G$5:G$44,"&gt;=0")*COUNTIFS(Scores!$B$5:$B$44,1,Scores!$C$5:$C$44,"Paper condition",Scores!G$5:G$44,"&gt;=0")/12*(((COUNTIFS(Scores!$B$5:$B$44,1,Scores!$C$5:$C$44,"Tool condition",Scores!G$5:G$44,"&gt;=0")+COUNTIFS(Scores!$B$5:$B$44,1,Scores!$C$5:$C$44,"Paper condition",Scores!G$5:G$44,"&gt;=0"))+1)-SUM(Helper!M$5:M$44)/((COUNTIFS(Scores!$B$5:$B$44,1,Scores!$C$5:$C$44,"Tool condition",Scores!G$5:G$44,"&gt;=0")+COUNTIFS(Scores!$B$5:$B$44,1,Scores!$C$5:$C$44,"Paper condition",Scores!G$5:G$44,"&gt;=0"))*((COUNTIFS(Scores!$B$5:$B$44,1,Scores!$C$5:$C$44,"Tool condition",Scores!G$5:G$44,"&gt;=0")+COUNTIFS(Scores!$B$5:$B$44,1,Scores!$C$5:$C$44,"Paper condition",Scores!G$5:G$44,"&gt;=0"))-1)))))))))</f>
        <v>0.076715976787606</v>
      </c>
      <c r="N9" s="9" t="n">
        <f aca="false">IF(M9="","",INDEX(Helper!$D$100:$D$111,RANK(M9,Analysis!$M$7:$M$18,1)+COUNTIF(Analysis!$M$7:$M$18,M9)-1))</f>
        <v>0.230147930362818</v>
      </c>
      <c r="O9" s="7" t="n">
        <f aca="false">IF(L9="","",2*L9/(COUNTIFS(Scores!$B$5:$B$44,1,Scores!$C$5:$C$44,"Tool condition",Scores!G$5:G$44,"&gt;=0")*COUNTIFS(Scores!$B$5:$B$44,1,Scores!$C$5:$C$44,"Paper condition",Scores!G$5:G$44,"&gt;=0"))-1)</f>
        <v>0.3</v>
      </c>
      <c r="P9" s="8" t="n">
        <f aca="false">IF(Tasks!$G$4="No","",IF(OR(COUNTIFS(Scores!$B$5:$B$44,2,Scores!$C$5:$C$44,"Tool condition",Scores!G$5:G$44,"&gt;=0")=0,COUNTIFS(Scores!$B$5:$B$44,2,Scores!$C$5:$C$44,"Paper condition",Scores!G$5:G$44,"&gt;=0")=0),"",SUM(Helper!N$5:N$44)))</f>
        <v>60</v>
      </c>
      <c r="Q9" s="9" t="n">
        <f aca="false">IF(P9="","",IF(SQRT(COUNTIFS(Scores!$B$5:$B$44,2,Scores!$C$5:$C$44,"Tool condition",Scores!G$5:G$44,"&gt;=0")*COUNTIFS(Scores!$B$5:$B$44,2,Scores!$C$5:$C$44,"Paper condition",Scores!G$5:G$44,"&gt;=0")/12*(((COUNTIFS(Scores!$B$5:$B$44,2,Scores!$C$5:$C$44,"Tool condition",Scores!G$5:G$44,"&gt;=0")+COUNTIFS(Scores!$B$5:$B$44,2,Scores!$C$5:$C$44,"Paper condition",Scores!G$5:G$44,"&gt;=0"))+1)-SUM(Helper!O$5:O$44)/((COUNTIFS(Scores!$B$5:$B$44,2,Scores!$C$5:$C$44,"Tool condition",Scores!G$5:G$44,"&gt;=0")+COUNTIFS(Scores!$B$5:$B$44,2,Scores!$C$5:$C$44,"Paper condition",Scores!G$5:G$44,"&gt;=0"))*((COUNTIFS(Scores!$B$5:$B$44,2,Scores!$C$5:$C$44,"Tool condition",Scores!G$5:G$44,"&gt;=0")+COUNTIFS(Scores!$B$5:$B$44,2,Scores!$C$5:$C$44,"Paper condition",Scores!G$5:G$44,"&gt;=0"))-1))))=0,1,MIN(1,2*(1-NORMSDIST((ABS(P9-COUNTIFS(Scores!$B$5:$B$44,2,Scores!$C$5:$C$44,"Tool condition",Scores!G$5:G$44,"&gt;=0")*COUNTIFS(Scores!$B$5:$B$44,2,Scores!$C$5:$C$44,"Paper condition",Scores!G$5:G$44,"&gt;=0")/2)-0.5)/SQRT(COUNTIFS(Scores!$B$5:$B$44,2,Scores!$C$5:$C$44,"Tool condition",Scores!G$5:G$44,"&gt;=0")*COUNTIFS(Scores!$B$5:$B$44,2,Scores!$C$5:$C$44,"Paper condition",Scores!G$5:G$44,"&gt;=0")/12*(((COUNTIFS(Scores!$B$5:$B$44,2,Scores!$C$5:$C$44,"Tool condition",Scores!G$5:G$44,"&gt;=0")+COUNTIFS(Scores!$B$5:$B$44,2,Scores!$C$5:$C$44,"Paper condition",Scores!G$5:G$44,"&gt;=0"))+1)-SUM(Helper!O$5:O$44)/((COUNTIFS(Scores!$B$5:$B$44,2,Scores!$C$5:$C$44,"Tool condition",Scores!G$5:G$44,"&gt;=0")+COUNTIFS(Scores!$B$5:$B$44,2,Scores!$C$5:$C$44,"Paper condition",Scores!G$5:G$44,"&gt;=0"))*((COUNTIFS(Scores!$B$5:$B$44,2,Scores!$C$5:$C$44,"Tool condition",Scores!G$5:G$44,"&gt;=0")+COUNTIFS(Scores!$B$5:$B$44,2,Scores!$C$5:$C$44,"Paper condition",Scores!G$5:G$44,"&gt;=0"))-1)))))))))</f>
        <v>0.366191498368196</v>
      </c>
      <c r="R9" s="9" t="n">
        <f aca="false">IF(Q9="","",INDEX(Helper!$H$100:$H$111,RANK(Q9,Analysis!$Q$7:$Q$18,1)+COUNTIF(Analysis!$Q$7:$Q$18,Q9)-1))</f>
        <v>1</v>
      </c>
      <c r="S9" s="7" t="n">
        <f aca="false">IF(P9="","",2*P9/(COUNTIFS(Scores!$B$5:$B$44,2,Scores!$C$5:$C$44,"Tool condition",Scores!G$5:G$44,"&gt;=0")*COUNTIFS(Scores!$B$5:$B$44,2,Scores!$C$5:$C$44,"Paper condition",Scores!G$5:G$44,"&gt;=0"))-1)</f>
        <v>0.2</v>
      </c>
    </row>
    <row r="10" customFormat="false" ht="14.25" hidden="false" customHeight="true" outlineLevel="0" collapsed="false">
      <c r="A10" s="6" t="s">
        <v>20</v>
      </c>
      <c r="B10" s="6" t="str">
        <f aca="false">IF(Tasks!$G$5="No","",Tasks!E5&amp;"")</f>
        <v>Gate</v>
      </c>
      <c r="C10" s="6" t="str">
        <f aca="false">IF(Tasks!$G$5="No","",Tasks!D5&amp;"")</f>
        <v>Model</v>
      </c>
      <c r="D10" s="6" t="n">
        <f aca="false">IF(Tasks!$G$5="No","",COUNTIFS(Scores!$B$5:$B$44,1,Scores!$C$5:$C$44,"Tool condition",Scores!H$5:H$44,2))</f>
        <v>10</v>
      </c>
      <c r="E10" s="6" t="n">
        <f aca="false">IF(Tasks!$G$5="No","",COUNTIFS(Scores!$B$5:$B$44,1,Scores!$C$5:$C$44,"Paper condition",Scores!H$5:H$44,2))</f>
        <v>6</v>
      </c>
      <c r="F10" s="6" t="n">
        <f aca="false">IF(Tasks!$G$5="No","",COUNTIFS(Scores!$B$5:$B$44,2,Scores!$C$5:$C$44,"Tool condition",Scores!H$5:H$44,2))</f>
        <v>6</v>
      </c>
      <c r="G10" s="6" t="n">
        <f aca="false">IF(Tasks!$G$5="No","",COUNTIFS(Scores!$B$5:$B$44,2,Scores!$C$5:$C$44,"Paper condition",Scores!H$5:H$44,2))</f>
        <v>4</v>
      </c>
      <c r="H10" s="7" t="n">
        <f aca="false">IF(Tasks!$G$5="No","",IFERROR(AVERAGEIFS(Scores!H$5:H$44,Scores!$B$5:$B$44,1,Scores!$C$5:$C$44,"Tool condition"),""))</f>
        <v>2</v>
      </c>
      <c r="I10" s="7" t="n">
        <f aca="false">IF(Tasks!$G$5="No","",IFERROR(AVERAGEIFS(Scores!H$5:H$44,Scores!$B$5:$B$44,1,Scores!$C$5:$C$44,"Paper condition"),""))</f>
        <v>1.6</v>
      </c>
      <c r="J10" s="7" t="n">
        <f aca="false">IF(Tasks!$G$5="No","",IFERROR(AVERAGEIFS(Scores!H$5:H$44,Scores!$B$5:$B$44,2,Scores!$C$5:$C$44,"Tool condition"),""))</f>
        <v>1.6</v>
      </c>
      <c r="K10" s="7" t="n">
        <f aca="false">IF(Tasks!$G$5="No","",IFERROR(AVERAGEIFS(Scores!H$5:H$44,Scores!$B$5:$B$44,2,Scores!$C$5:$C$44,"Paper condition"),""))</f>
        <v>1.4</v>
      </c>
      <c r="L10" s="8" t="n">
        <f aca="false">IF(Tasks!$G$5="No","",IF(OR(COUNTIFS(Scores!$B$5:$B$44,1,Scores!$C$5:$C$44,"Tool condition",Scores!H$5:H$44,"&gt;=0")=0,COUNTIFS(Scores!$B$5:$B$44,1,Scores!$C$5:$C$44,"Paper condition",Scores!H$5:H$44,"&gt;=0")=0),"",SUM(Helper!Q$5:Q$44)))</f>
        <v>70</v>
      </c>
      <c r="M10" s="9" t="n">
        <f aca="false">IF(L10="","",IF(SQRT(COUNTIFS(Scores!$B$5:$B$44,1,Scores!$C$5:$C$44,"Tool condition",Scores!H$5:H$44,"&gt;=0")*COUNTIFS(Scores!$B$5:$B$44,1,Scores!$C$5:$C$44,"Paper condition",Scores!H$5:H$44,"&gt;=0")/12*(((COUNTIFS(Scores!$B$5:$B$44,1,Scores!$C$5:$C$44,"Tool condition",Scores!H$5:H$44,"&gt;=0")+COUNTIFS(Scores!$B$5:$B$44,1,Scores!$C$5:$C$44,"Paper condition",Scores!H$5:H$44,"&gt;=0"))+1)-SUM(Helper!R$5:R$44)/((COUNTIFS(Scores!$B$5:$B$44,1,Scores!$C$5:$C$44,"Tool condition",Scores!H$5:H$44,"&gt;=0")+COUNTIFS(Scores!$B$5:$B$44,1,Scores!$C$5:$C$44,"Paper condition",Scores!H$5:H$44,"&gt;=0"))*((COUNTIFS(Scores!$B$5:$B$44,1,Scores!$C$5:$C$44,"Tool condition",Scores!H$5:H$44,"&gt;=0")+COUNTIFS(Scores!$B$5:$B$44,1,Scores!$C$5:$C$44,"Paper condition",Scores!H$5:H$44,"&gt;=0"))-1))))=0,1,MIN(1,2*(1-NORMSDIST((ABS(L10-COUNTIFS(Scores!$B$5:$B$44,1,Scores!$C$5:$C$44,"Tool condition",Scores!H$5:H$44,"&gt;=0")*COUNTIFS(Scores!$B$5:$B$44,1,Scores!$C$5:$C$44,"Paper condition",Scores!H$5:H$44,"&gt;=0")/2)-0.5)/SQRT(COUNTIFS(Scores!$B$5:$B$44,1,Scores!$C$5:$C$44,"Tool condition",Scores!H$5:H$44,"&gt;=0")*COUNTIFS(Scores!$B$5:$B$44,1,Scores!$C$5:$C$44,"Paper condition",Scores!H$5:H$44,"&gt;=0")/12*(((COUNTIFS(Scores!$B$5:$B$44,1,Scores!$C$5:$C$44,"Tool condition",Scores!H$5:H$44,"&gt;=0")+COUNTIFS(Scores!$B$5:$B$44,1,Scores!$C$5:$C$44,"Paper condition",Scores!H$5:H$44,"&gt;=0"))+1)-SUM(Helper!R$5:R$44)/((COUNTIFS(Scores!$B$5:$B$44,1,Scores!$C$5:$C$44,"Tool condition",Scores!H$5:H$44,"&gt;=0")+COUNTIFS(Scores!$B$5:$B$44,1,Scores!$C$5:$C$44,"Paper condition",Scores!H$5:H$44,"&gt;=0"))*((COUNTIFS(Scores!$B$5:$B$44,1,Scores!$C$5:$C$44,"Tool condition",Scores!H$5:H$44,"&gt;=0")+COUNTIFS(Scores!$B$5:$B$44,1,Scores!$C$5:$C$44,"Paper condition",Scores!H$5:H$44,"&gt;=0"))-1)))))))))</f>
        <v>0.0335896807627769</v>
      </c>
      <c r="N10" s="9" t="n">
        <f aca="false">IF(M10="","",INDEX(Helper!$D$100:$D$111,RANK(M10,Analysis!$M$7:$M$18,1)+COUNTIF(Analysis!$M$7:$M$18,M10)-1))</f>
        <v>0.201538084576661</v>
      </c>
      <c r="O10" s="7" t="n">
        <f aca="false">IF(L10="","",2*L10/(COUNTIFS(Scores!$B$5:$B$44,1,Scores!$C$5:$C$44,"Tool condition",Scores!H$5:H$44,"&gt;=0")*COUNTIFS(Scores!$B$5:$B$44,1,Scores!$C$5:$C$44,"Paper condition",Scores!H$5:H$44,"&gt;=0"))-1)</f>
        <v>0.4</v>
      </c>
      <c r="P10" s="8" t="n">
        <f aca="false">IF(Tasks!$G$5="No","",IF(OR(COUNTIFS(Scores!$B$5:$B$44,2,Scores!$C$5:$C$44,"Tool condition",Scores!H$5:H$44,"&gt;=0")=0,COUNTIFS(Scores!$B$5:$B$44,2,Scores!$C$5:$C$44,"Paper condition",Scores!H$5:H$44,"&gt;=0")=0),"",SUM(Helper!S$5:S$44)))</f>
        <v>60</v>
      </c>
      <c r="Q10" s="9" t="n">
        <f aca="false">IF(P10="","",IF(SQRT(COUNTIFS(Scores!$B$5:$B$44,2,Scores!$C$5:$C$44,"Tool condition",Scores!H$5:H$44,"&gt;=0")*COUNTIFS(Scores!$B$5:$B$44,2,Scores!$C$5:$C$44,"Paper condition",Scores!H$5:H$44,"&gt;=0")/12*(((COUNTIFS(Scores!$B$5:$B$44,2,Scores!$C$5:$C$44,"Tool condition",Scores!H$5:H$44,"&gt;=0")+COUNTIFS(Scores!$B$5:$B$44,2,Scores!$C$5:$C$44,"Paper condition",Scores!H$5:H$44,"&gt;=0"))+1)-SUM(Helper!T$5:T$44)/((COUNTIFS(Scores!$B$5:$B$44,2,Scores!$C$5:$C$44,"Tool condition",Scores!H$5:H$44,"&gt;=0")+COUNTIFS(Scores!$B$5:$B$44,2,Scores!$C$5:$C$44,"Paper condition",Scores!H$5:H$44,"&gt;=0"))*((COUNTIFS(Scores!$B$5:$B$44,2,Scores!$C$5:$C$44,"Tool condition",Scores!H$5:H$44,"&gt;=0")+COUNTIFS(Scores!$B$5:$B$44,2,Scores!$C$5:$C$44,"Paper condition",Scores!H$5:H$44,"&gt;=0"))-1))))=0,1,MIN(1,2*(1-NORMSDIST((ABS(P10-COUNTIFS(Scores!$B$5:$B$44,2,Scores!$C$5:$C$44,"Tool condition",Scores!H$5:H$44,"&gt;=0")*COUNTIFS(Scores!$B$5:$B$44,2,Scores!$C$5:$C$44,"Paper condition",Scores!H$5:H$44,"&gt;=0")/2)-0.5)/SQRT(COUNTIFS(Scores!$B$5:$B$44,2,Scores!$C$5:$C$44,"Tool condition",Scores!H$5:H$44,"&gt;=0")*COUNTIFS(Scores!$B$5:$B$44,2,Scores!$C$5:$C$44,"Paper condition",Scores!H$5:H$44,"&gt;=0")/12*(((COUNTIFS(Scores!$B$5:$B$44,2,Scores!$C$5:$C$44,"Tool condition",Scores!H$5:H$44,"&gt;=0")+COUNTIFS(Scores!$B$5:$B$44,2,Scores!$C$5:$C$44,"Paper condition",Scores!H$5:H$44,"&gt;=0"))+1)-SUM(Helper!T$5:T$44)/((COUNTIFS(Scores!$B$5:$B$44,2,Scores!$C$5:$C$44,"Tool condition",Scores!H$5:H$44,"&gt;=0")+COUNTIFS(Scores!$B$5:$B$44,2,Scores!$C$5:$C$44,"Paper condition",Scores!H$5:H$44,"&gt;=0"))*((COUNTIFS(Scores!$B$5:$B$44,2,Scores!$C$5:$C$44,"Tool condition",Scores!H$5:H$44,"&gt;=0")+COUNTIFS(Scores!$B$5:$B$44,2,Scores!$C$5:$C$44,"Paper condition",Scores!H$5:H$44,"&gt;=0"))-1)))))))))</f>
        <v>0.407562453620744</v>
      </c>
      <c r="R10" s="9" t="n">
        <f aca="false">IF(Q10="","",INDEX(Helper!$H$100:$H$111,RANK(Q10,Analysis!$Q$7:$Q$18,1)+COUNTIF(Analysis!$Q$7:$Q$18,Q10)-1))</f>
        <v>1</v>
      </c>
      <c r="S10" s="7" t="n">
        <f aca="false">IF(P10="","",2*P10/(COUNTIFS(Scores!$B$5:$B$44,2,Scores!$C$5:$C$44,"Tool condition",Scores!H$5:H$44,"&gt;=0")*COUNTIFS(Scores!$B$5:$B$44,2,Scores!$C$5:$C$44,"Paper condition",Scores!H$5:H$44,"&gt;=0"))-1)</f>
        <v>0.2</v>
      </c>
    </row>
    <row r="11" customFormat="false" ht="14.25" hidden="false" customHeight="true" outlineLevel="0" collapsed="false">
      <c r="A11" s="6" t="s">
        <v>21</v>
      </c>
      <c r="B11" s="6" t="str">
        <f aca="false">IF(Tasks!$G$6="No","",Tasks!E6&amp;"")</f>
        <v>Gate</v>
      </c>
      <c r="C11" s="6" t="str">
        <f aca="false">IF(Tasks!$G$6="No","",Tasks!D6&amp;"")</f>
        <v>Derivation</v>
      </c>
      <c r="D11" s="6" t="n">
        <f aca="false">IF(Tasks!$G$6="No","",COUNTIFS(Scores!$B$5:$B$44,1,Scores!$C$5:$C$44,"Tool condition",Scores!I$5:I$44,2))</f>
        <v>10</v>
      </c>
      <c r="E11" s="6" t="n">
        <f aca="false">IF(Tasks!$G$6="No","",COUNTIFS(Scores!$B$5:$B$44,1,Scores!$C$5:$C$44,"Paper condition",Scores!I$5:I$44,2))</f>
        <v>4</v>
      </c>
      <c r="F11" s="6" t="n">
        <f aca="false">IF(Tasks!$G$6="No","",COUNTIFS(Scores!$B$5:$B$44,2,Scores!$C$5:$C$44,"Tool condition",Scores!I$5:I$44,2))</f>
        <v>7</v>
      </c>
      <c r="G11" s="6" t="n">
        <f aca="false">IF(Tasks!$G$6="No","",COUNTIFS(Scores!$B$5:$B$44,2,Scores!$C$5:$C$44,"Paper condition",Scores!I$5:I$44,2))</f>
        <v>3</v>
      </c>
      <c r="H11" s="7" t="n">
        <f aca="false">IF(Tasks!$G$6="No","",IFERROR(AVERAGEIFS(Scores!I$5:I$44,Scores!$B$5:$B$44,1,Scores!$C$5:$C$44,"Tool condition"),""))</f>
        <v>2</v>
      </c>
      <c r="I11" s="7" t="n">
        <f aca="false">IF(Tasks!$G$6="No","",IFERROR(AVERAGEIFS(Scores!I$5:I$44,Scores!$B$5:$B$44,1,Scores!$C$5:$C$44,"Paper condition"),""))</f>
        <v>1.2</v>
      </c>
      <c r="J11" s="7" t="n">
        <f aca="false">IF(Tasks!$G$6="No","",IFERROR(AVERAGEIFS(Scores!I$5:I$44,Scores!$B$5:$B$44,2,Scores!$C$5:$C$44,"Tool condition"),""))</f>
        <v>1.7</v>
      </c>
      <c r="K11" s="7" t="n">
        <f aca="false">IF(Tasks!$G$6="No","",IFERROR(AVERAGEIFS(Scores!I$5:I$44,Scores!$B$5:$B$44,2,Scores!$C$5:$C$44,"Paper condition"),""))</f>
        <v>1.2</v>
      </c>
      <c r="L11" s="8" t="n">
        <f aca="false">IF(Tasks!$G$6="No","",IF(OR(COUNTIFS(Scores!$B$5:$B$44,1,Scores!$C$5:$C$44,"Tool condition",Scores!I$5:I$44,"&gt;=0")=0,COUNTIFS(Scores!$B$5:$B$44,1,Scores!$C$5:$C$44,"Paper condition",Scores!I$5:I$44,"&gt;=0")=0),"",SUM(Helper!V$5:V$44)))</f>
        <v>80</v>
      </c>
      <c r="M11" s="9" t="n">
        <f aca="false">IF(L11="","",IF(SQRT(COUNTIFS(Scores!$B$5:$B$44,1,Scores!$C$5:$C$44,"Tool condition",Scores!I$5:I$44,"&gt;=0")*COUNTIFS(Scores!$B$5:$B$44,1,Scores!$C$5:$C$44,"Paper condition",Scores!I$5:I$44,"&gt;=0")/12*(((COUNTIFS(Scores!$B$5:$B$44,1,Scores!$C$5:$C$44,"Tool condition",Scores!I$5:I$44,"&gt;=0")+COUNTIFS(Scores!$B$5:$B$44,1,Scores!$C$5:$C$44,"Paper condition",Scores!I$5:I$44,"&gt;=0"))+1)-SUM(Helper!W$5:W$44)/((COUNTIFS(Scores!$B$5:$B$44,1,Scores!$C$5:$C$44,"Tool condition",Scores!I$5:I$44,"&gt;=0")+COUNTIFS(Scores!$B$5:$B$44,1,Scores!$C$5:$C$44,"Paper condition",Scores!I$5:I$44,"&gt;=0"))*((COUNTIFS(Scores!$B$5:$B$44,1,Scores!$C$5:$C$44,"Tool condition",Scores!I$5:I$44,"&gt;=0")+COUNTIFS(Scores!$B$5:$B$44,1,Scores!$C$5:$C$44,"Paper condition",Scores!I$5:I$44,"&gt;=0"))-1))))=0,1,MIN(1,2*(1-NORMSDIST((ABS(L11-COUNTIFS(Scores!$B$5:$B$44,1,Scores!$C$5:$C$44,"Tool condition",Scores!I$5:I$44,"&gt;=0")*COUNTIFS(Scores!$B$5:$B$44,1,Scores!$C$5:$C$44,"Paper condition",Scores!I$5:I$44,"&gt;=0")/2)-0.5)/SQRT(COUNTIFS(Scores!$B$5:$B$44,1,Scores!$C$5:$C$44,"Tool condition",Scores!I$5:I$44,"&gt;=0")*COUNTIFS(Scores!$B$5:$B$44,1,Scores!$C$5:$C$44,"Paper condition",Scores!I$5:I$44,"&gt;=0")/12*(((COUNTIFS(Scores!$B$5:$B$44,1,Scores!$C$5:$C$44,"Tool condition",Scores!I$5:I$44,"&gt;=0")+COUNTIFS(Scores!$B$5:$B$44,1,Scores!$C$5:$C$44,"Paper condition",Scores!I$5:I$44,"&gt;=0"))+1)-SUM(Helper!W$5:W$44)/((COUNTIFS(Scores!$B$5:$B$44,1,Scores!$C$5:$C$44,"Tool condition",Scores!I$5:I$44,"&gt;=0")+COUNTIFS(Scores!$B$5:$B$44,1,Scores!$C$5:$C$44,"Paper condition",Scores!I$5:I$44,"&gt;=0"))*((COUNTIFS(Scores!$B$5:$B$44,1,Scores!$C$5:$C$44,"Tool condition",Scores!I$5:I$44,"&gt;=0")+COUNTIFS(Scores!$B$5:$B$44,1,Scores!$C$5:$C$44,"Paper condition",Scores!I$5:I$44,"&gt;=0"))-1)))))))))</f>
        <v>0.00566159177484504</v>
      </c>
      <c r="N11" s="9" t="n">
        <f aca="false">IF(M11="","",INDEX(Helper!$D$100:$D$111,RANK(M11,Analysis!$M$7:$M$18,1)+COUNTIF(Analysis!$M$7:$M$18,M11)-1))</f>
        <v>0.059558292477881</v>
      </c>
      <c r="O11" s="7" t="n">
        <f aca="false">IF(L11="","",2*L11/(COUNTIFS(Scores!$B$5:$B$44,1,Scores!$C$5:$C$44,"Tool condition",Scores!I$5:I$44,"&gt;=0")*COUNTIFS(Scores!$B$5:$B$44,1,Scores!$C$5:$C$44,"Paper condition",Scores!I$5:I$44,"&gt;=0"))-1)</f>
        <v>0.6</v>
      </c>
      <c r="P11" s="8" t="n">
        <f aca="false">IF(Tasks!$G$6="No","",IF(OR(COUNTIFS(Scores!$B$5:$B$44,2,Scores!$C$5:$C$44,"Tool condition",Scores!I$5:I$44,"&gt;=0")=0,COUNTIFS(Scores!$B$5:$B$44,2,Scores!$C$5:$C$44,"Paper condition",Scores!I$5:I$44,"&gt;=0")=0),"",SUM(Helper!X$5:X$44)))</f>
        <v>71.5</v>
      </c>
      <c r="Q11" s="9" t="n">
        <f aca="false">IF(P11="","",IF(SQRT(COUNTIFS(Scores!$B$5:$B$44,2,Scores!$C$5:$C$44,"Tool condition",Scores!I$5:I$44,"&gt;=0")*COUNTIFS(Scores!$B$5:$B$44,2,Scores!$C$5:$C$44,"Paper condition",Scores!I$5:I$44,"&gt;=0")/12*(((COUNTIFS(Scores!$B$5:$B$44,2,Scores!$C$5:$C$44,"Tool condition",Scores!I$5:I$44,"&gt;=0")+COUNTIFS(Scores!$B$5:$B$44,2,Scores!$C$5:$C$44,"Paper condition",Scores!I$5:I$44,"&gt;=0"))+1)-SUM(Helper!Y$5:Y$44)/((COUNTIFS(Scores!$B$5:$B$44,2,Scores!$C$5:$C$44,"Tool condition",Scores!I$5:I$44,"&gt;=0")+COUNTIFS(Scores!$B$5:$B$44,2,Scores!$C$5:$C$44,"Paper condition",Scores!I$5:I$44,"&gt;=0"))*((COUNTIFS(Scores!$B$5:$B$44,2,Scores!$C$5:$C$44,"Tool condition",Scores!I$5:I$44,"&gt;=0")+COUNTIFS(Scores!$B$5:$B$44,2,Scores!$C$5:$C$44,"Paper condition",Scores!I$5:I$44,"&gt;=0"))-1))))=0,1,MIN(1,2*(1-NORMSDIST((ABS(P11-COUNTIFS(Scores!$B$5:$B$44,2,Scores!$C$5:$C$44,"Tool condition",Scores!I$5:I$44,"&gt;=0")*COUNTIFS(Scores!$B$5:$B$44,2,Scores!$C$5:$C$44,"Paper condition",Scores!I$5:I$44,"&gt;=0")/2)-0.5)/SQRT(COUNTIFS(Scores!$B$5:$B$44,2,Scores!$C$5:$C$44,"Tool condition",Scores!I$5:I$44,"&gt;=0")*COUNTIFS(Scores!$B$5:$B$44,2,Scores!$C$5:$C$44,"Paper condition",Scores!I$5:I$44,"&gt;=0")/12*(((COUNTIFS(Scores!$B$5:$B$44,2,Scores!$C$5:$C$44,"Tool condition",Scores!I$5:I$44,"&gt;=0")+COUNTIFS(Scores!$B$5:$B$44,2,Scores!$C$5:$C$44,"Paper condition",Scores!I$5:I$44,"&gt;=0"))+1)-SUM(Helper!Y$5:Y$44)/((COUNTIFS(Scores!$B$5:$B$44,2,Scores!$C$5:$C$44,"Tool condition",Scores!I$5:I$44,"&gt;=0")+COUNTIFS(Scores!$B$5:$B$44,2,Scores!$C$5:$C$44,"Paper condition",Scores!I$5:I$44,"&gt;=0"))*((COUNTIFS(Scores!$B$5:$B$44,2,Scores!$C$5:$C$44,"Tool condition",Scores!I$5:I$44,"&gt;=0")+COUNTIFS(Scores!$B$5:$B$44,2,Scores!$C$5:$C$44,"Paper condition",Scores!I$5:I$44,"&gt;=0"))-1)))))))))</f>
        <v>0.0733115879579402</v>
      </c>
      <c r="R11" s="9" t="n">
        <f aca="false">IF(Q11="","",INDEX(Helper!$H$100:$H$111,RANK(Q11,Analysis!$Q$7:$Q$18,1)+COUNTIF(Analysis!$Q$7:$Q$18,Q11)-1))</f>
        <v>0.879739055495283</v>
      </c>
      <c r="S11" s="7" t="n">
        <f aca="false">IF(P11="","",2*P11/(COUNTIFS(Scores!$B$5:$B$44,2,Scores!$C$5:$C$44,"Tool condition",Scores!I$5:I$44,"&gt;=0")*COUNTIFS(Scores!$B$5:$B$44,2,Scores!$C$5:$C$44,"Paper condition",Scores!I$5:I$44,"&gt;=0"))-1)</f>
        <v>0.43</v>
      </c>
    </row>
    <row r="12" customFormat="false" ht="14.25" hidden="false" customHeight="true" outlineLevel="0" collapsed="false">
      <c r="A12" s="6" t="s">
        <v>22</v>
      </c>
      <c r="B12" s="6" t="str">
        <f aca="false">IF(Tasks!$G$7="No","",Tasks!E7&amp;"")</f>
        <v>Gate</v>
      </c>
      <c r="C12" s="6" t="str">
        <f aca="false">IF(Tasks!$G$7="No","",Tasks!D7&amp;"")</f>
        <v>Code</v>
      </c>
      <c r="D12" s="6" t="n">
        <f aca="false">IF(Tasks!$G$7="No","",COUNTIFS(Scores!$B$5:$B$44,1,Scores!$C$5:$C$44,"Tool condition",Scores!J$5:J$44,2))</f>
        <v>10</v>
      </c>
      <c r="E12" s="6" t="n">
        <f aca="false">IF(Tasks!$G$7="No","",COUNTIFS(Scores!$B$5:$B$44,1,Scores!$C$5:$C$44,"Paper condition",Scores!J$5:J$44,2))</f>
        <v>5</v>
      </c>
      <c r="F12" s="6" t="n">
        <f aca="false">IF(Tasks!$G$7="No","",COUNTIFS(Scores!$B$5:$B$44,2,Scores!$C$5:$C$44,"Tool condition",Scores!J$5:J$44,2))</f>
        <v>6</v>
      </c>
      <c r="G12" s="6" t="n">
        <f aca="false">IF(Tasks!$G$7="No","",COUNTIFS(Scores!$B$5:$B$44,2,Scores!$C$5:$C$44,"Paper condition",Scores!J$5:J$44,2))</f>
        <v>5</v>
      </c>
      <c r="H12" s="7" t="n">
        <f aca="false">IF(Tasks!$G$7="No","",IFERROR(AVERAGEIFS(Scores!J$5:J$44,Scores!$B$5:$B$44,1,Scores!$C$5:$C$44,"Tool condition"),""))</f>
        <v>2</v>
      </c>
      <c r="I12" s="7" t="n">
        <f aca="false">IF(Tasks!$G$7="No","",IFERROR(AVERAGEIFS(Scores!J$5:J$44,Scores!$B$5:$B$44,1,Scores!$C$5:$C$44,"Paper condition"),""))</f>
        <v>1.4</v>
      </c>
      <c r="J12" s="7" t="n">
        <f aca="false">IF(Tasks!$G$7="No","",IFERROR(AVERAGEIFS(Scores!J$5:J$44,Scores!$B$5:$B$44,2,Scores!$C$5:$C$44,"Tool condition"),""))</f>
        <v>1.6</v>
      </c>
      <c r="K12" s="7" t="n">
        <f aca="false">IF(Tasks!$G$7="No","",IFERROR(AVERAGEIFS(Scores!J$5:J$44,Scores!$B$5:$B$44,2,Scores!$C$5:$C$44,"Paper condition"),""))</f>
        <v>1.5</v>
      </c>
      <c r="L12" s="8" t="n">
        <f aca="false">IF(Tasks!$G$7="No","",IF(OR(COUNTIFS(Scores!$B$5:$B$44,1,Scores!$C$5:$C$44,"Tool condition",Scores!J$5:J$44,"&gt;=0")=0,COUNTIFS(Scores!$B$5:$B$44,1,Scores!$C$5:$C$44,"Paper condition",Scores!J$5:J$44,"&gt;=0")=0),"",SUM(Helper!AA$5:AA$44)))</f>
        <v>75</v>
      </c>
      <c r="M12" s="9" t="n">
        <f aca="false">IF(L12="","",IF(SQRT(COUNTIFS(Scores!$B$5:$B$44,1,Scores!$C$5:$C$44,"Tool condition",Scores!J$5:J$44,"&gt;=0")*COUNTIFS(Scores!$B$5:$B$44,1,Scores!$C$5:$C$44,"Paper condition",Scores!J$5:J$44,"&gt;=0")/12*(((COUNTIFS(Scores!$B$5:$B$44,1,Scores!$C$5:$C$44,"Tool condition",Scores!J$5:J$44,"&gt;=0")+COUNTIFS(Scores!$B$5:$B$44,1,Scores!$C$5:$C$44,"Paper condition",Scores!J$5:J$44,"&gt;=0"))+1)-SUM(Helper!AB$5:AB$44)/((COUNTIFS(Scores!$B$5:$B$44,1,Scores!$C$5:$C$44,"Tool condition",Scores!J$5:J$44,"&gt;=0")+COUNTIFS(Scores!$B$5:$B$44,1,Scores!$C$5:$C$44,"Paper condition",Scores!J$5:J$44,"&gt;=0"))*((COUNTIFS(Scores!$B$5:$B$44,1,Scores!$C$5:$C$44,"Tool condition",Scores!J$5:J$44,"&gt;=0")+COUNTIFS(Scores!$B$5:$B$44,1,Scores!$C$5:$C$44,"Paper condition",Scores!J$5:J$44,"&gt;=0"))-1))))=0,1,MIN(1,2*(1-NORMSDIST((ABS(L12-COUNTIFS(Scores!$B$5:$B$44,1,Scores!$C$5:$C$44,"Tool condition",Scores!J$5:J$44,"&gt;=0")*COUNTIFS(Scores!$B$5:$B$44,1,Scores!$C$5:$C$44,"Paper condition",Scores!J$5:J$44,"&gt;=0")/2)-0.5)/SQRT(COUNTIFS(Scores!$B$5:$B$44,1,Scores!$C$5:$C$44,"Tool condition",Scores!J$5:J$44,"&gt;=0")*COUNTIFS(Scores!$B$5:$B$44,1,Scores!$C$5:$C$44,"Paper condition",Scores!J$5:J$44,"&gt;=0")/12*(((COUNTIFS(Scores!$B$5:$B$44,1,Scores!$C$5:$C$44,"Tool condition",Scores!J$5:J$44,"&gt;=0")+COUNTIFS(Scores!$B$5:$B$44,1,Scores!$C$5:$C$44,"Paper condition",Scores!J$5:J$44,"&gt;=0"))+1)-SUM(Helper!AB$5:AB$44)/((COUNTIFS(Scores!$B$5:$B$44,1,Scores!$C$5:$C$44,"Tool condition",Scores!J$5:J$44,"&gt;=0")+COUNTIFS(Scores!$B$5:$B$44,1,Scores!$C$5:$C$44,"Paper condition",Scores!J$5:J$44,"&gt;=0"))*((COUNTIFS(Scores!$B$5:$B$44,1,Scores!$C$5:$C$44,"Tool condition",Scores!J$5:J$44,"&gt;=0")+COUNTIFS(Scores!$B$5:$B$44,1,Scores!$C$5:$C$44,"Paper condition",Scores!J$5:J$44,"&gt;=0"))-1)))))))))</f>
        <v>0.0142856214705429</v>
      </c>
      <c r="N12" s="9" t="n">
        <f aca="false">IF(M12="","",INDEX(Helper!$D$100:$D$111,RANK(M12,Analysis!$M$7:$M$18,1)+COUNTIF(Analysis!$M$7:$M$18,M12)-1))</f>
        <v>0.114284971764343</v>
      </c>
      <c r="O12" s="7" t="n">
        <f aca="false">IF(L12="","",2*L12/(COUNTIFS(Scores!$B$5:$B$44,1,Scores!$C$5:$C$44,"Tool condition",Scores!J$5:J$44,"&gt;=0")*COUNTIFS(Scores!$B$5:$B$44,1,Scores!$C$5:$C$44,"Paper condition",Scores!J$5:J$44,"&gt;=0"))-1)</f>
        <v>0.5</v>
      </c>
      <c r="P12" s="8" t="n">
        <f aca="false">IF(Tasks!$G$7="No","",IF(OR(COUNTIFS(Scores!$B$5:$B$44,2,Scores!$C$5:$C$44,"Tool condition",Scores!J$5:J$44,"&gt;=0")=0,COUNTIFS(Scores!$B$5:$B$44,2,Scores!$C$5:$C$44,"Paper condition",Scores!J$5:J$44,"&gt;=0")=0),"",SUM(Helper!AC$5:AC$44)))</f>
        <v>55</v>
      </c>
      <c r="Q12" s="9" t="n">
        <f aca="false">IF(P12="","",IF(SQRT(COUNTIFS(Scores!$B$5:$B$44,2,Scores!$C$5:$C$44,"Tool condition",Scores!J$5:J$44,"&gt;=0")*COUNTIFS(Scores!$B$5:$B$44,2,Scores!$C$5:$C$44,"Paper condition",Scores!J$5:J$44,"&gt;=0")/12*(((COUNTIFS(Scores!$B$5:$B$44,2,Scores!$C$5:$C$44,"Tool condition",Scores!J$5:J$44,"&gt;=0")+COUNTIFS(Scores!$B$5:$B$44,2,Scores!$C$5:$C$44,"Paper condition",Scores!J$5:J$44,"&gt;=0"))+1)-SUM(Helper!AD$5:AD$44)/((COUNTIFS(Scores!$B$5:$B$44,2,Scores!$C$5:$C$44,"Tool condition",Scores!J$5:J$44,"&gt;=0")+COUNTIFS(Scores!$B$5:$B$44,2,Scores!$C$5:$C$44,"Paper condition",Scores!J$5:J$44,"&gt;=0"))*((COUNTIFS(Scores!$B$5:$B$44,2,Scores!$C$5:$C$44,"Tool condition",Scores!J$5:J$44,"&gt;=0")+COUNTIFS(Scores!$B$5:$B$44,2,Scores!$C$5:$C$44,"Paper condition",Scores!J$5:J$44,"&gt;=0"))-1))))=0,1,MIN(1,2*(1-NORMSDIST((ABS(P12-COUNTIFS(Scores!$B$5:$B$44,2,Scores!$C$5:$C$44,"Tool condition",Scores!J$5:J$44,"&gt;=0")*COUNTIFS(Scores!$B$5:$B$44,2,Scores!$C$5:$C$44,"Paper condition",Scores!J$5:J$44,"&gt;=0")/2)-0.5)/SQRT(COUNTIFS(Scores!$B$5:$B$44,2,Scores!$C$5:$C$44,"Tool condition",Scores!J$5:J$44,"&gt;=0")*COUNTIFS(Scores!$B$5:$B$44,2,Scores!$C$5:$C$44,"Paper condition",Scores!J$5:J$44,"&gt;=0")/12*(((COUNTIFS(Scores!$B$5:$B$44,2,Scores!$C$5:$C$44,"Tool condition",Scores!J$5:J$44,"&gt;=0")+COUNTIFS(Scores!$B$5:$B$44,2,Scores!$C$5:$C$44,"Paper condition",Scores!J$5:J$44,"&gt;=0"))+1)-SUM(Helper!AD$5:AD$44)/((COUNTIFS(Scores!$B$5:$B$44,2,Scores!$C$5:$C$44,"Tool condition",Scores!J$5:J$44,"&gt;=0")+COUNTIFS(Scores!$B$5:$B$44,2,Scores!$C$5:$C$44,"Paper condition",Scores!J$5:J$44,"&gt;=0"))*((COUNTIFS(Scores!$B$5:$B$44,2,Scores!$C$5:$C$44,"Tool condition",Scores!J$5:J$44,"&gt;=0")+COUNTIFS(Scores!$B$5:$B$44,2,Scores!$C$5:$C$44,"Paper condition",Scores!J$5:J$44,"&gt;=0"))-1)))))))))</f>
        <v>0.693376361757653</v>
      </c>
      <c r="R12" s="9" t="n">
        <f aca="false">IF(Q12="","",INDEX(Helper!$H$100:$H$111,RANK(Q12,Analysis!$Q$7:$Q$18,1)+COUNTIF(Analysis!$Q$7:$Q$18,Q12)-1))</f>
        <v>1</v>
      </c>
      <c r="S12" s="7" t="n">
        <f aca="false">IF(P12="","",2*P12/(COUNTIFS(Scores!$B$5:$B$44,2,Scores!$C$5:$C$44,"Tool condition",Scores!J$5:J$44,"&gt;=0")*COUNTIFS(Scores!$B$5:$B$44,2,Scores!$C$5:$C$44,"Paper condition",Scores!J$5:J$44,"&gt;=0"))-1)</f>
        <v>0.1</v>
      </c>
    </row>
    <row r="13" customFormat="false" ht="14.25" hidden="false" customHeight="true" outlineLevel="0" collapsed="false">
      <c r="A13" s="6" t="s">
        <v>23</v>
      </c>
      <c r="B13" s="6" t="str">
        <f aca="false">IF(Tasks!$G$8="No","",Tasks!E8&amp;"")</f>
        <v>Block</v>
      </c>
      <c r="C13" s="6" t="str">
        <f aca="false">IF(Tasks!$G$8="No","",Tasks!D8&amp;"")</f>
        <v>Model</v>
      </c>
      <c r="D13" s="6" t="n">
        <f aca="false">IF(Tasks!$G$8="No","",COUNTIFS(Scores!$B$5:$B$44,1,Scores!$C$5:$C$44,"Tool condition",Scores!K$5:K$44,2))</f>
        <v>10</v>
      </c>
      <c r="E13" s="6" t="n">
        <f aca="false">IF(Tasks!$G$8="No","",COUNTIFS(Scores!$B$5:$B$44,1,Scores!$C$5:$C$44,"Paper condition",Scores!K$5:K$44,2))</f>
        <v>6</v>
      </c>
      <c r="F13" s="6" t="n">
        <f aca="false">IF(Tasks!$G$8="No","",COUNTIFS(Scores!$B$5:$B$44,2,Scores!$C$5:$C$44,"Tool condition",Scores!K$5:K$44,2))</f>
        <v>6</v>
      </c>
      <c r="G13" s="6" t="n">
        <f aca="false">IF(Tasks!$G$8="No","",COUNTIFS(Scores!$B$5:$B$44,2,Scores!$C$5:$C$44,"Paper condition",Scores!K$5:K$44,2))</f>
        <v>3</v>
      </c>
      <c r="H13" s="7" t="n">
        <f aca="false">IF(Tasks!$G$8="No","",IFERROR(AVERAGEIFS(Scores!K$5:K$44,Scores!$B$5:$B$44,1,Scores!$C$5:$C$44,"Tool condition"),""))</f>
        <v>2</v>
      </c>
      <c r="I13" s="7" t="n">
        <f aca="false">IF(Tasks!$G$8="No","",IFERROR(AVERAGEIFS(Scores!K$5:K$44,Scores!$B$5:$B$44,1,Scores!$C$5:$C$44,"Paper condition"),""))</f>
        <v>1.6</v>
      </c>
      <c r="J13" s="7" t="n">
        <f aca="false">IF(Tasks!$G$8="No","",IFERROR(AVERAGEIFS(Scores!K$5:K$44,Scores!$B$5:$B$44,2,Scores!$C$5:$C$44,"Tool condition"),""))</f>
        <v>1.6</v>
      </c>
      <c r="K13" s="7" t="n">
        <f aca="false">IF(Tasks!$G$8="No","",IFERROR(AVERAGEIFS(Scores!K$5:K$44,Scores!$B$5:$B$44,2,Scores!$C$5:$C$44,"Paper condition"),""))</f>
        <v>1.3</v>
      </c>
      <c r="L13" s="8" t="n">
        <f aca="false">IF(Tasks!$G$8="No","",IF(OR(COUNTIFS(Scores!$B$5:$B$44,1,Scores!$C$5:$C$44,"Tool condition",Scores!K$5:K$44,"&gt;=0")=0,COUNTIFS(Scores!$B$5:$B$44,1,Scores!$C$5:$C$44,"Paper condition",Scores!K$5:K$44,"&gt;=0")=0),"",SUM(Helper!AF$5:AF$44)))</f>
        <v>70</v>
      </c>
      <c r="M13" s="9" t="n">
        <f aca="false">IF(L13="","",IF(SQRT(COUNTIFS(Scores!$B$5:$B$44,1,Scores!$C$5:$C$44,"Tool condition",Scores!K$5:K$44,"&gt;=0")*COUNTIFS(Scores!$B$5:$B$44,1,Scores!$C$5:$C$44,"Paper condition",Scores!K$5:K$44,"&gt;=0")/12*(((COUNTIFS(Scores!$B$5:$B$44,1,Scores!$C$5:$C$44,"Tool condition",Scores!K$5:K$44,"&gt;=0")+COUNTIFS(Scores!$B$5:$B$44,1,Scores!$C$5:$C$44,"Paper condition",Scores!K$5:K$44,"&gt;=0"))+1)-SUM(Helper!AG$5:AG$44)/((COUNTIFS(Scores!$B$5:$B$44,1,Scores!$C$5:$C$44,"Tool condition",Scores!K$5:K$44,"&gt;=0")+COUNTIFS(Scores!$B$5:$B$44,1,Scores!$C$5:$C$44,"Paper condition",Scores!K$5:K$44,"&gt;=0"))*((COUNTIFS(Scores!$B$5:$B$44,1,Scores!$C$5:$C$44,"Tool condition",Scores!K$5:K$44,"&gt;=0")+COUNTIFS(Scores!$B$5:$B$44,1,Scores!$C$5:$C$44,"Paper condition",Scores!K$5:K$44,"&gt;=0"))-1))))=0,1,MIN(1,2*(1-NORMSDIST((ABS(L13-COUNTIFS(Scores!$B$5:$B$44,1,Scores!$C$5:$C$44,"Tool condition",Scores!K$5:K$44,"&gt;=0")*COUNTIFS(Scores!$B$5:$B$44,1,Scores!$C$5:$C$44,"Paper condition",Scores!K$5:K$44,"&gt;=0")/2)-0.5)/SQRT(COUNTIFS(Scores!$B$5:$B$44,1,Scores!$C$5:$C$44,"Tool condition",Scores!K$5:K$44,"&gt;=0")*COUNTIFS(Scores!$B$5:$B$44,1,Scores!$C$5:$C$44,"Paper condition",Scores!K$5:K$44,"&gt;=0")/12*(((COUNTIFS(Scores!$B$5:$B$44,1,Scores!$C$5:$C$44,"Tool condition",Scores!K$5:K$44,"&gt;=0")+COUNTIFS(Scores!$B$5:$B$44,1,Scores!$C$5:$C$44,"Paper condition",Scores!K$5:K$44,"&gt;=0"))+1)-SUM(Helper!AG$5:AG$44)/((COUNTIFS(Scores!$B$5:$B$44,1,Scores!$C$5:$C$44,"Tool condition",Scores!K$5:K$44,"&gt;=0")+COUNTIFS(Scores!$B$5:$B$44,1,Scores!$C$5:$C$44,"Paper condition",Scores!K$5:K$44,"&gt;=0"))*((COUNTIFS(Scores!$B$5:$B$44,1,Scores!$C$5:$C$44,"Tool condition",Scores!K$5:K$44,"&gt;=0")+COUNTIFS(Scores!$B$5:$B$44,1,Scores!$C$5:$C$44,"Paper condition",Scores!K$5:K$44,"&gt;=0"))-1)))))))))</f>
        <v>0.0335896807627769</v>
      </c>
      <c r="N13" s="9" t="n">
        <f aca="false">IF(M13="","",INDEX(Helper!$D$100:$D$111,RANK(M13,Analysis!$M$7:$M$18,1)+COUNTIF(Analysis!$M$7:$M$18,M13)-1))</f>
        <v>0.201538084576661</v>
      </c>
      <c r="O13" s="7" t="n">
        <f aca="false">IF(L13="","",2*L13/(COUNTIFS(Scores!$B$5:$B$44,1,Scores!$C$5:$C$44,"Tool condition",Scores!K$5:K$44,"&gt;=0")*COUNTIFS(Scores!$B$5:$B$44,1,Scores!$C$5:$C$44,"Paper condition",Scores!K$5:K$44,"&gt;=0"))-1)</f>
        <v>0.4</v>
      </c>
      <c r="P13" s="8" t="n">
        <f aca="false">IF(Tasks!$G$8="No","",IF(OR(COUNTIFS(Scores!$B$5:$B$44,2,Scores!$C$5:$C$44,"Tool condition",Scores!K$5:K$44,"&gt;=0")=0,COUNTIFS(Scores!$B$5:$B$44,2,Scores!$C$5:$C$44,"Paper condition",Scores!K$5:K$44,"&gt;=0")=0),"",SUM(Helper!AH$5:AH$44)))</f>
        <v>65</v>
      </c>
      <c r="Q13" s="9" t="n">
        <f aca="false">IF(P13="","",IF(SQRT(COUNTIFS(Scores!$B$5:$B$44,2,Scores!$C$5:$C$44,"Tool condition",Scores!K$5:K$44,"&gt;=0")*COUNTIFS(Scores!$B$5:$B$44,2,Scores!$C$5:$C$44,"Paper condition",Scores!K$5:K$44,"&gt;=0")/12*(((COUNTIFS(Scores!$B$5:$B$44,2,Scores!$C$5:$C$44,"Tool condition",Scores!K$5:K$44,"&gt;=0")+COUNTIFS(Scores!$B$5:$B$44,2,Scores!$C$5:$C$44,"Paper condition",Scores!K$5:K$44,"&gt;=0"))+1)-SUM(Helper!AI$5:AI$44)/((COUNTIFS(Scores!$B$5:$B$44,2,Scores!$C$5:$C$44,"Tool condition",Scores!K$5:K$44,"&gt;=0")+COUNTIFS(Scores!$B$5:$B$44,2,Scores!$C$5:$C$44,"Paper condition",Scores!K$5:K$44,"&gt;=0"))*((COUNTIFS(Scores!$B$5:$B$44,2,Scores!$C$5:$C$44,"Tool condition",Scores!K$5:K$44,"&gt;=0")+COUNTIFS(Scores!$B$5:$B$44,2,Scores!$C$5:$C$44,"Paper condition",Scores!K$5:K$44,"&gt;=0"))-1))))=0,1,MIN(1,2*(1-NORMSDIST((ABS(P13-COUNTIFS(Scores!$B$5:$B$44,2,Scores!$C$5:$C$44,"Tool condition",Scores!K$5:K$44,"&gt;=0")*COUNTIFS(Scores!$B$5:$B$44,2,Scores!$C$5:$C$44,"Paper condition",Scores!K$5:K$44,"&gt;=0")/2)-0.5)/SQRT(COUNTIFS(Scores!$B$5:$B$44,2,Scores!$C$5:$C$44,"Tool condition",Scores!K$5:K$44,"&gt;=0")*COUNTIFS(Scores!$B$5:$B$44,2,Scores!$C$5:$C$44,"Paper condition",Scores!K$5:K$44,"&gt;=0")/12*(((COUNTIFS(Scores!$B$5:$B$44,2,Scores!$C$5:$C$44,"Tool condition",Scores!K$5:K$44,"&gt;=0")+COUNTIFS(Scores!$B$5:$B$44,2,Scores!$C$5:$C$44,"Paper condition",Scores!K$5:K$44,"&gt;=0"))+1)-SUM(Helper!AI$5:AI$44)/((COUNTIFS(Scores!$B$5:$B$44,2,Scores!$C$5:$C$44,"Tool condition",Scores!K$5:K$44,"&gt;=0")+COUNTIFS(Scores!$B$5:$B$44,2,Scores!$C$5:$C$44,"Paper condition",Scores!K$5:K$44,"&gt;=0"))*((COUNTIFS(Scores!$B$5:$B$44,2,Scores!$C$5:$C$44,"Tool condition",Scores!K$5:K$44,"&gt;=0")+COUNTIFS(Scores!$B$5:$B$44,2,Scores!$C$5:$C$44,"Paper condition",Scores!K$5:K$44,"&gt;=0"))-1)))))))))</f>
        <v>0.203924774586119</v>
      </c>
      <c r="R13" s="9" t="n">
        <f aca="false">IF(Q13="","",INDEX(Helper!$H$100:$H$111,RANK(Q13,Analysis!$Q$7:$Q$18,1)+COUNTIF(Analysis!$Q$7:$Q$18,Q13)-1))</f>
        <v>1</v>
      </c>
      <c r="S13" s="7" t="n">
        <f aca="false">IF(P13="","",2*P13/(COUNTIFS(Scores!$B$5:$B$44,2,Scores!$C$5:$C$44,"Tool condition",Scores!K$5:K$44,"&gt;=0")*COUNTIFS(Scores!$B$5:$B$44,2,Scores!$C$5:$C$44,"Paper condition",Scores!K$5:K$44,"&gt;=0"))-1)</f>
        <v>0.3</v>
      </c>
    </row>
    <row r="14" customFormat="false" ht="14.25" hidden="false" customHeight="true" outlineLevel="0" collapsed="false">
      <c r="A14" s="6" t="s">
        <v>24</v>
      </c>
      <c r="B14" s="6" t="str">
        <f aca="false">IF(Tasks!$G$9="No","",Tasks!E9&amp;"")</f>
        <v>Block</v>
      </c>
      <c r="C14" s="6" t="str">
        <f aca="false">IF(Tasks!$G$9="No","",Tasks!D9&amp;"")</f>
        <v>Derivation</v>
      </c>
      <c r="D14" s="6" t="n">
        <f aca="false">IF(Tasks!$G$9="No","",COUNTIFS(Scores!$B$5:$B$44,1,Scores!$C$5:$C$44,"Tool condition",Scores!L$5:L$44,2))</f>
        <v>10</v>
      </c>
      <c r="E14" s="6" t="n">
        <f aca="false">IF(Tasks!$G$9="No","",COUNTIFS(Scores!$B$5:$B$44,1,Scores!$C$5:$C$44,"Paper condition",Scores!L$5:L$44,2))</f>
        <v>7</v>
      </c>
      <c r="F14" s="6" t="n">
        <f aca="false">IF(Tasks!$G$9="No","",COUNTIFS(Scores!$B$5:$B$44,2,Scores!$C$5:$C$44,"Tool condition",Scores!L$5:L$44,2))</f>
        <v>5</v>
      </c>
      <c r="G14" s="6" t="n">
        <f aca="false">IF(Tasks!$G$9="No","",COUNTIFS(Scores!$B$5:$B$44,2,Scores!$C$5:$C$44,"Paper condition",Scores!L$5:L$44,2))</f>
        <v>5</v>
      </c>
      <c r="H14" s="7" t="n">
        <f aca="false">IF(Tasks!$G$9="No","",IFERROR(AVERAGEIFS(Scores!L$5:L$44,Scores!$B$5:$B$44,1,Scores!$C$5:$C$44,"Tool condition"),""))</f>
        <v>2</v>
      </c>
      <c r="I14" s="7" t="n">
        <f aca="false">IF(Tasks!$G$9="No","",IFERROR(AVERAGEIFS(Scores!L$5:L$44,Scores!$B$5:$B$44,1,Scores!$C$5:$C$44,"Paper condition"),""))</f>
        <v>1.7</v>
      </c>
      <c r="J14" s="7" t="n">
        <f aca="false">IF(Tasks!$G$9="No","",IFERROR(AVERAGEIFS(Scores!L$5:L$44,Scores!$B$5:$B$44,2,Scores!$C$5:$C$44,"Tool condition"),""))</f>
        <v>1.5</v>
      </c>
      <c r="K14" s="7" t="n">
        <f aca="false">IF(Tasks!$G$9="No","",IFERROR(AVERAGEIFS(Scores!L$5:L$44,Scores!$B$5:$B$44,2,Scores!$C$5:$C$44,"Paper condition"),""))</f>
        <v>1.5</v>
      </c>
      <c r="L14" s="8" t="n">
        <f aca="false">IF(Tasks!$G$9="No","",IF(OR(COUNTIFS(Scores!$B$5:$B$44,1,Scores!$C$5:$C$44,"Tool condition",Scores!L$5:L$44,"&gt;=0")=0,COUNTIFS(Scores!$B$5:$B$44,1,Scores!$C$5:$C$44,"Paper condition",Scores!L$5:L$44,"&gt;=0")=0),"",SUM(Helper!AK$5:AK$44)))</f>
        <v>65</v>
      </c>
      <c r="M14" s="9" t="n">
        <f aca="false">IF(L14="","",IF(SQRT(COUNTIFS(Scores!$B$5:$B$44,1,Scores!$C$5:$C$44,"Tool condition",Scores!L$5:L$44,"&gt;=0")*COUNTIFS(Scores!$B$5:$B$44,1,Scores!$C$5:$C$44,"Paper condition",Scores!L$5:L$44,"&gt;=0")/12*(((COUNTIFS(Scores!$B$5:$B$44,1,Scores!$C$5:$C$44,"Tool condition",Scores!L$5:L$44,"&gt;=0")+COUNTIFS(Scores!$B$5:$B$44,1,Scores!$C$5:$C$44,"Paper condition",Scores!L$5:L$44,"&gt;=0"))+1)-SUM(Helper!AL$5:AL$44)/((COUNTIFS(Scores!$B$5:$B$44,1,Scores!$C$5:$C$44,"Tool condition",Scores!L$5:L$44,"&gt;=0")+COUNTIFS(Scores!$B$5:$B$44,1,Scores!$C$5:$C$44,"Paper condition",Scores!L$5:L$44,"&gt;=0"))*((COUNTIFS(Scores!$B$5:$B$44,1,Scores!$C$5:$C$44,"Tool condition",Scores!L$5:L$44,"&gt;=0")+COUNTIFS(Scores!$B$5:$B$44,1,Scores!$C$5:$C$44,"Paper condition",Scores!L$5:L$44,"&gt;=0"))-1))))=0,1,MIN(1,2*(1-NORMSDIST((ABS(L14-COUNTIFS(Scores!$B$5:$B$44,1,Scores!$C$5:$C$44,"Tool condition",Scores!L$5:L$44,"&gt;=0")*COUNTIFS(Scores!$B$5:$B$44,1,Scores!$C$5:$C$44,"Paper condition",Scores!L$5:L$44,"&gt;=0")/2)-0.5)/SQRT(COUNTIFS(Scores!$B$5:$B$44,1,Scores!$C$5:$C$44,"Tool condition",Scores!L$5:L$44,"&gt;=0")*COUNTIFS(Scores!$B$5:$B$44,1,Scores!$C$5:$C$44,"Paper condition",Scores!L$5:L$44,"&gt;=0")/12*(((COUNTIFS(Scores!$B$5:$B$44,1,Scores!$C$5:$C$44,"Tool condition",Scores!L$5:L$44,"&gt;=0")+COUNTIFS(Scores!$B$5:$B$44,1,Scores!$C$5:$C$44,"Paper condition",Scores!L$5:L$44,"&gt;=0"))+1)-SUM(Helper!AL$5:AL$44)/((COUNTIFS(Scores!$B$5:$B$44,1,Scores!$C$5:$C$44,"Tool condition",Scores!L$5:L$44,"&gt;=0")+COUNTIFS(Scores!$B$5:$B$44,1,Scores!$C$5:$C$44,"Paper condition",Scores!L$5:L$44,"&gt;=0"))*((COUNTIFS(Scores!$B$5:$B$44,1,Scores!$C$5:$C$44,"Tool condition",Scores!L$5:L$44,"&gt;=0")+COUNTIFS(Scores!$B$5:$B$44,1,Scores!$C$5:$C$44,"Paper condition",Scores!L$5:L$44,"&gt;=0"))-1)))))))))</f>
        <v>0.076715976787606</v>
      </c>
      <c r="N14" s="9" t="n">
        <f aca="false">IF(M14="","",INDEX(Helper!$D$100:$D$111,RANK(M14,Analysis!$M$7:$M$18,1)+COUNTIF(Analysis!$M$7:$M$18,M14)-1))</f>
        <v>0.230147930362818</v>
      </c>
      <c r="O14" s="7" t="n">
        <f aca="false">IF(L14="","",2*L14/(COUNTIFS(Scores!$B$5:$B$44,1,Scores!$C$5:$C$44,"Tool condition",Scores!L$5:L$44,"&gt;=0")*COUNTIFS(Scores!$B$5:$B$44,1,Scores!$C$5:$C$44,"Paper condition",Scores!L$5:L$44,"&gt;=0"))-1)</f>
        <v>0.3</v>
      </c>
      <c r="P14" s="8" t="n">
        <f aca="false">IF(Tasks!$G$9="No","",IF(OR(COUNTIFS(Scores!$B$5:$B$44,2,Scores!$C$5:$C$44,"Tool condition",Scores!L$5:L$44,"&gt;=0")=0,COUNTIFS(Scores!$B$5:$B$44,2,Scores!$C$5:$C$44,"Paper condition",Scores!L$5:L$44,"&gt;=0")=0),"",SUM(Helper!AM$5:AM$44)))</f>
        <v>50</v>
      </c>
      <c r="Q14" s="9" t="n">
        <f aca="false">IF(P14="","",IF(SQRT(COUNTIFS(Scores!$B$5:$B$44,2,Scores!$C$5:$C$44,"Tool condition",Scores!L$5:L$44,"&gt;=0")*COUNTIFS(Scores!$B$5:$B$44,2,Scores!$C$5:$C$44,"Paper condition",Scores!L$5:L$44,"&gt;=0")/12*(((COUNTIFS(Scores!$B$5:$B$44,2,Scores!$C$5:$C$44,"Tool condition",Scores!L$5:L$44,"&gt;=0")+COUNTIFS(Scores!$B$5:$B$44,2,Scores!$C$5:$C$44,"Paper condition",Scores!L$5:L$44,"&gt;=0"))+1)-SUM(Helper!AN$5:AN$44)/((COUNTIFS(Scores!$B$5:$B$44,2,Scores!$C$5:$C$44,"Tool condition",Scores!L$5:L$44,"&gt;=0")+COUNTIFS(Scores!$B$5:$B$44,2,Scores!$C$5:$C$44,"Paper condition",Scores!L$5:L$44,"&gt;=0"))*((COUNTIFS(Scores!$B$5:$B$44,2,Scores!$C$5:$C$44,"Tool condition",Scores!L$5:L$44,"&gt;=0")+COUNTIFS(Scores!$B$5:$B$44,2,Scores!$C$5:$C$44,"Paper condition",Scores!L$5:L$44,"&gt;=0"))-1))))=0,1,MIN(1,2*(1-NORMSDIST((ABS(P14-COUNTIFS(Scores!$B$5:$B$44,2,Scores!$C$5:$C$44,"Tool condition",Scores!L$5:L$44,"&gt;=0")*COUNTIFS(Scores!$B$5:$B$44,2,Scores!$C$5:$C$44,"Paper condition",Scores!L$5:L$44,"&gt;=0")/2)-0.5)/SQRT(COUNTIFS(Scores!$B$5:$B$44,2,Scores!$C$5:$C$44,"Tool condition",Scores!L$5:L$44,"&gt;=0")*COUNTIFS(Scores!$B$5:$B$44,2,Scores!$C$5:$C$44,"Paper condition",Scores!L$5:L$44,"&gt;=0")/12*(((COUNTIFS(Scores!$B$5:$B$44,2,Scores!$C$5:$C$44,"Tool condition",Scores!L$5:L$44,"&gt;=0")+COUNTIFS(Scores!$B$5:$B$44,2,Scores!$C$5:$C$44,"Paper condition",Scores!L$5:L$44,"&gt;=0"))+1)-SUM(Helper!AN$5:AN$44)/((COUNTIFS(Scores!$B$5:$B$44,2,Scores!$C$5:$C$44,"Tool condition",Scores!L$5:L$44,"&gt;=0")+COUNTIFS(Scores!$B$5:$B$44,2,Scores!$C$5:$C$44,"Paper condition",Scores!L$5:L$44,"&gt;=0"))*((COUNTIFS(Scores!$B$5:$B$44,2,Scores!$C$5:$C$44,"Tool condition",Scores!L$5:L$44,"&gt;=0")+COUNTIFS(Scores!$B$5:$B$44,2,Scores!$C$5:$C$44,"Paper condition",Scores!L$5:L$44,"&gt;=0"))-1)))))))))</f>
        <v>1</v>
      </c>
      <c r="R14" s="9" t="n">
        <f aca="false">IF(Q14="","",INDEX(Helper!$H$100:$H$111,RANK(Q14,Analysis!$Q$7:$Q$18,1)+COUNTIF(Analysis!$Q$7:$Q$18,Q14)-1))</f>
        <v>1</v>
      </c>
      <c r="S14" s="7" t="n">
        <f aca="false">IF(P14="","",2*P14/(COUNTIFS(Scores!$B$5:$B$44,2,Scores!$C$5:$C$44,"Tool condition",Scores!L$5:L$44,"&gt;=0")*COUNTIFS(Scores!$B$5:$B$44,2,Scores!$C$5:$C$44,"Paper condition",Scores!L$5:L$44,"&gt;=0"))-1)</f>
        <v>0</v>
      </c>
    </row>
    <row r="15" customFormat="false" ht="14.25" hidden="false" customHeight="true" outlineLevel="0" collapsed="false">
      <c r="A15" s="6" t="s">
        <v>25</v>
      </c>
      <c r="B15" s="6" t="str">
        <f aca="false">IF(Tasks!$G$10="No","",Tasks!E10&amp;"")</f>
        <v>Block</v>
      </c>
      <c r="C15" s="6" t="str">
        <f aca="false">IF(Tasks!$G$10="No","",Tasks!D10&amp;"")</f>
        <v>Code</v>
      </c>
      <c r="D15" s="6" t="n">
        <f aca="false">IF(Tasks!$G$10="No","",COUNTIFS(Scores!$B$5:$B$44,1,Scores!$C$5:$C$44,"Tool condition",Scores!M$5:M$44,2))</f>
        <v>10</v>
      </c>
      <c r="E15" s="6" t="n">
        <f aca="false">IF(Tasks!$G$10="No","",COUNTIFS(Scores!$B$5:$B$44,1,Scores!$C$5:$C$44,"Paper condition",Scores!M$5:M$44,2))</f>
        <v>7</v>
      </c>
      <c r="F15" s="6" t="n">
        <f aca="false">IF(Tasks!$G$10="No","",COUNTIFS(Scores!$B$5:$B$44,2,Scores!$C$5:$C$44,"Tool condition",Scores!M$5:M$44,2))</f>
        <v>4</v>
      </c>
      <c r="G15" s="6" t="n">
        <f aca="false">IF(Tasks!$G$10="No","",COUNTIFS(Scores!$B$5:$B$44,2,Scores!$C$5:$C$44,"Paper condition",Scores!M$5:M$44,2))</f>
        <v>4</v>
      </c>
      <c r="H15" s="7" t="n">
        <f aca="false">IF(Tasks!$G$10="No","",IFERROR(AVERAGEIFS(Scores!M$5:M$44,Scores!$B$5:$B$44,1,Scores!$C$5:$C$44,"Tool condition"),""))</f>
        <v>2</v>
      </c>
      <c r="I15" s="7" t="n">
        <f aca="false">IF(Tasks!$G$10="No","",IFERROR(AVERAGEIFS(Scores!M$5:M$44,Scores!$B$5:$B$44,1,Scores!$C$5:$C$44,"Paper condition"),""))</f>
        <v>1.7</v>
      </c>
      <c r="J15" s="7" t="n">
        <f aca="false">IF(Tasks!$G$10="No","",IFERROR(AVERAGEIFS(Scores!M$5:M$44,Scores!$B$5:$B$44,2,Scores!$C$5:$C$44,"Tool condition"),""))</f>
        <v>1.2</v>
      </c>
      <c r="K15" s="7" t="n">
        <f aca="false">IF(Tasks!$G$10="No","",IFERROR(AVERAGEIFS(Scores!M$5:M$44,Scores!$B$5:$B$44,2,Scores!$C$5:$C$44,"Paper condition"),""))</f>
        <v>1.3</v>
      </c>
      <c r="L15" s="8" t="n">
        <f aca="false">IF(Tasks!$G$10="No","",IF(OR(COUNTIFS(Scores!$B$5:$B$44,1,Scores!$C$5:$C$44,"Tool condition",Scores!M$5:M$44,"&gt;=0")=0,COUNTIFS(Scores!$B$5:$B$44,1,Scores!$C$5:$C$44,"Paper condition",Scores!M$5:M$44,"&gt;=0")=0),"",SUM(Helper!AP$5:AP$44)))</f>
        <v>65</v>
      </c>
      <c r="M15" s="9" t="n">
        <f aca="false">IF(L15="","",IF(SQRT(COUNTIFS(Scores!$B$5:$B$44,1,Scores!$C$5:$C$44,"Tool condition",Scores!M$5:M$44,"&gt;=0")*COUNTIFS(Scores!$B$5:$B$44,1,Scores!$C$5:$C$44,"Paper condition",Scores!M$5:M$44,"&gt;=0")/12*(((COUNTIFS(Scores!$B$5:$B$44,1,Scores!$C$5:$C$44,"Tool condition",Scores!M$5:M$44,"&gt;=0")+COUNTIFS(Scores!$B$5:$B$44,1,Scores!$C$5:$C$44,"Paper condition",Scores!M$5:M$44,"&gt;=0"))+1)-SUM(Helper!AQ$5:AQ$44)/((COUNTIFS(Scores!$B$5:$B$44,1,Scores!$C$5:$C$44,"Tool condition",Scores!M$5:M$44,"&gt;=0")+COUNTIFS(Scores!$B$5:$B$44,1,Scores!$C$5:$C$44,"Paper condition",Scores!M$5:M$44,"&gt;=0"))*((COUNTIFS(Scores!$B$5:$B$44,1,Scores!$C$5:$C$44,"Tool condition",Scores!M$5:M$44,"&gt;=0")+COUNTIFS(Scores!$B$5:$B$44,1,Scores!$C$5:$C$44,"Paper condition",Scores!M$5:M$44,"&gt;=0"))-1))))=0,1,MIN(1,2*(1-NORMSDIST((ABS(L15-COUNTIFS(Scores!$B$5:$B$44,1,Scores!$C$5:$C$44,"Tool condition",Scores!M$5:M$44,"&gt;=0")*COUNTIFS(Scores!$B$5:$B$44,1,Scores!$C$5:$C$44,"Paper condition",Scores!M$5:M$44,"&gt;=0")/2)-0.5)/SQRT(COUNTIFS(Scores!$B$5:$B$44,1,Scores!$C$5:$C$44,"Tool condition",Scores!M$5:M$44,"&gt;=0")*COUNTIFS(Scores!$B$5:$B$44,1,Scores!$C$5:$C$44,"Paper condition",Scores!M$5:M$44,"&gt;=0")/12*(((COUNTIFS(Scores!$B$5:$B$44,1,Scores!$C$5:$C$44,"Tool condition",Scores!M$5:M$44,"&gt;=0")+COUNTIFS(Scores!$B$5:$B$44,1,Scores!$C$5:$C$44,"Paper condition",Scores!M$5:M$44,"&gt;=0"))+1)-SUM(Helper!AQ$5:AQ$44)/((COUNTIFS(Scores!$B$5:$B$44,1,Scores!$C$5:$C$44,"Tool condition",Scores!M$5:M$44,"&gt;=0")+COUNTIFS(Scores!$B$5:$B$44,1,Scores!$C$5:$C$44,"Paper condition",Scores!M$5:M$44,"&gt;=0"))*((COUNTIFS(Scores!$B$5:$B$44,1,Scores!$C$5:$C$44,"Tool condition",Scores!M$5:M$44,"&gt;=0")+COUNTIFS(Scores!$B$5:$B$44,1,Scores!$C$5:$C$44,"Paper condition",Scores!M$5:M$44,"&gt;=0"))-1)))))))))</f>
        <v>0.076715976787606</v>
      </c>
      <c r="N15" s="9" t="n">
        <f aca="false">IF(M15="","",INDEX(Helper!$D$100:$D$111,RANK(M15,Analysis!$M$7:$M$18,1)+COUNTIF(Analysis!$M$7:$M$18,M15)-1))</f>
        <v>0.230147930362818</v>
      </c>
      <c r="O15" s="7" t="n">
        <f aca="false">IF(L15="","",2*L15/(COUNTIFS(Scores!$B$5:$B$44,1,Scores!$C$5:$C$44,"Tool condition",Scores!M$5:M$44,"&gt;=0")*COUNTIFS(Scores!$B$5:$B$44,1,Scores!$C$5:$C$44,"Paper condition",Scores!M$5:M$44,"&gt;=0"))-1)</f>
        <v>0.3</v>
      </c>
      <c r="P15" s="8" t="n">
        <f aca="false">IF(Tasks!$G$10="No","",IF(OR(COUNTIFS(Scores!$B$5:$B$44,2,Scores!$C$5:$C$44,"Tool condition",Scores!M$5:M$44,"&gt;=0")=0,COUNTIFS(Scores!$B$5:$B$44,2,Scores!$C$5:$C$44,"Paper condition",Scores!M$5:M$44,"&gt;=0")=0),"",SUM(Helper!AR$5:AR$44)))</f>
        <v>47</v>
      </c>
      <c r="Q15" s="9" t="n">
        <f aca="false">IF(P15="","",IF(SQRT(COUNTIFS(Scores!$B$5:$B$44,2,Scores!$C$5:$C$44,"Tool condition",Scores!M$5:M$44,"&gt;=0")*COUNTIFS(Scores!$B$5:$B$44,2,Scores!$C$5:$C$44,"Paper condition",Scores!M$5:M$44,"&gt;=0")/12*(((COUNTIFS(Scores!$B$5:$B$44,2,Scores!$C$5:$C$44,"Tool condition",Scores!M$5:M$44,"&gt;=0")+COUNTIFS(Scores!$B$5:$B$44,2,Scores!$C$5:$C$44,"Paper condition",Scores!M$5:M$44,"&gt;=0"))+1)-SUM(Helper!AS$5:AS$44)/((COUNTIFS(Scores!$B$5:$B$44,2,Scores!$C$5:$C$44,"Tool condition",Scores!M$5:M$44,"&gt;=0")+COUNTIFS(Scores!$B$5:$B$44,2,Scores!$C$5:$C$44,"Paper condition",Scores!M$5:M$44,"&gt;=0"))*((COUNTIFS(Scores!$B$5:$B$44,2,Scores!$C$5:$C$44,"Tool condition",Scores!M$5:M$44,"&gt;=0")+COUNTIFS(Scores!$B$5:$B$44,2,Scores!$C$5:$C$44,"Paper condition",Scores!M$5:M$44,"&gt;=0"))-1))))=0,1,MIN(1,2*(1-NORMSDIST((ABS(P15-COUNTIFS(Scores!$B$5:$B$44,2,Scores!$C$5:$C$44,"Tool condition",Scores!M$5:M$44,"&gt;=0")*COUNTIFS(Scores!$B$5:$B$44,2,Scores!$C$5:$C$44,"Paper condition",Scores!M$5:M$44,"&gt;=0")/2)-0.5)/SQRT(COUNTIFS(Scores!$B$5:$B$44,2,Scores!$C$5:$C$44,"Tool condition",Scores!M$5:M$44,"&gt;=0")*COUNTIFS(Scores!$B$5:$B$44,2,Scores!$C$5:$C$44,"Paper condition",Scores!M$5:M$44,"&gt;=0")/12*(((COUNTIFS(Scores!$B$5:$B$44,2,Scores!$C$5:$C$44,"Tool condition",Scores!M$5:M$44,"&gt;=0")+COUNTIFS(Scores!$B$5:$B$44,2,Scores!$C$5:$C$44,"Paper condition",Scores!M$5:M$44,"&gt;=0"))+1)-SUM(Helper!AS$5:AS$44)/((COUNTIFS(Scores!$B$5:$B$44,2,Scores!$C$5:$C$44,"Tool condition",Scores!M$5:M$44,"&gt;=0")+COUNTIFS(Scores!$B$5:$B$44,2,Scores!$C$5:$C$44,"Paper condition",Scores!M$5:M$44,"&gt;=0"))*((COUNTIFS(Scores!$B$5:$B$44,2,Scores!$C$5:$C$44,"Tool condition",Scores!M$5:M$44,"&gt;=0")+COUNTIFS(Scores!$B$5:$B$44,2,Scores!$C$5:$C$44,"Paper condition",Scores!M$5:M$44,"&gt;=0"))-1)))))))))</f>
        <v>0.836982301710675</v>
      </c>
      <c r="R15" s="9" t="n">
        <f aca="false">IF(Q15="","",INDEX(Helper!$H$100:$H$111,RANK(Q15,Analysis!$Q$7:$Q$18,1)+COUNTIF(Analysis!$Q$7:$Q$18,Q15)-1))</f>
        <v>1</v>
      </c>
      <c r="S15" s="7" t="n">
        <f aca="false">IF(P15="","",2*P15/(COUNTIFS(Scores!$B$5:$B$44,2,Scores!$C$5:$C$44,"Tool condition",Scores!M$5:M$44,"&gt;=0")*COUNTIFS(Scores!$B$5:$B$44,2,Scores!$C$5:$C$44,"Paper condition",Scores!M$5:M$44,"&gt;=0"))-1)</f>
        <v>-0.0600000000000001</v>
      </c>
    </row>
    <row r="16" customFormat="false" ht="14.25" hidden="false" customHeight="true" outlineLevel="0" collapsed="false">
      <c r="A16" s="6" t="s">
        <v>26</v>
      </c>
      <c r="B16" s="6" t="str">
        <f aca="false">IF(Tasks!$G$11="No","",Tasks!E11&amp;"")</f>
        <v>Block</v>
      </c>
      <c r="C16" s="6" t="str">
        <f aca="false">IF(Tasks!$G$11="No","",Tasks!D11&amp;"")</f>
        <v>Code</v>
      </c>
      <c r="D16" s="6" t="n">
        <f aca="false">IF(Tasks!$G$11="No","",COUNTIFS(Scores!$B$5:$B$44,1,Scores!$C$5:$C$44,"Tool condition",Scores!N$5:N$44,2))</f>
        <v>10</v>
      </c>
      <c r="E16" s="6" t="n">
        <f aca="false">IF(Tasks!$G$11="No","",COUNTIFS(Scores!$B$5:$B$44,1,Scores!$C$5:$C$44,"Paper condition",Scores!N$5:N$44,2))</f>
        <v>4</v>
      </c>
      <c r="F16" s="6" t="n">
        <f aca="false">IF(Tasks!$G$11="No","",COUNTIFS(Scores!$B$5:$B$44,2,Scores!$C$5:$C$44,"Tool condition",Scores!N$5:N$44,2))</f>
        <v>3</v>
      </c>
      <c r="G16" s="6" t="n">
        <f aca="false">IF(Tasks!$G$11="No","",COUNTIFS(Scores!$B$5:$B$44,2,Scores!$C$5:$C$44,"Paper condition",Scores!N$5:N$44,2))</f>
        <v>3</v>
      </c>
      <c r="H16" s="7" t="n">
        <f aca="false">IF(Tasks!$G$11="No","",IFERROR(AVERAGEIFS(Scores!N$5:N$44,Scores!$B$5:$B$44,1,Scores!$C$5:$C$44,"Tool condition"),""))</f>
        <v>2</v>
      </c>
      <c r="I16" s="7" t="n">
        <f aca="false">IF(Tasks!$G$11="No","",IFERROR(AVERAGEIFS(Scores!N$5:N$44,Scores!$B$5:$B$44,1,Scores!$C$5:$C$44,"Paper condition"),""))</f>
        <v>1.2</v>
      </c>
      <c r="J16" s="7" t="n">
        <f aca="false">IF(Tasks!$G$11="No","",IFERROR(AVERAGEIFS(Scores!N$5:N$44,Scores!$B$5:$B$44,2,Scores!$C$5:$C$44,"Tool condition"),""))</f>
        <v>1</v>
      </c>
      <c r="K16" s="7" t="n">
        <f aca="false">IF(Tasks!$G$11="No","",IFERROR(AVERAGEIFS(Scores!N$5:N$44,Scores!$B$5:$B$44,2,Scores!$C$5:$C$44,"Paper condition"),""))</f>
        <v>1.1</v>
      </c>
      <c r="L16" s="8" t="n">
        <f aca="false">IF(Tasks!$G$11="No","",IF(OR(COUNTIFS(Scores!$B$5:$B$44,1,Scores!$C$5:$C$44,"Tool condition",Scores!N$5:N$44,"&gt;=0")=0,COUNTIFS(Scores!$B$5:$B$44,1,Scores!$C$5:$C$44,"Paper condition",Scores!N$5:N$44,"&gt;=0")=0),"",SUM(Helper!AU$5:AU$44)))</f>
        <v>80</v>
      </c>
      <c r="M16" s="9" t="n">
        <f aca="false">IF(L16="","",IF(SQRT(COUNTIFS(Scores!$B$5:$B$44,1,Scores!$C$5:$C$44,"Tool condition",Scores!N$5:N$44,"&gt;=0")*COUNTIFS(Scores!$B$5:$B$44,1,Scores!$C$5:$C$44,"Paper condition",Scores!N$5:N$44,"&gt;=0")/12*(((COUNTIFS(Scores!$B$5:$B$44,1,Scores!$C$5:$C$44,"Tool condition",Scores!N$5:N$44,"&gt;=0")+COUNTIFS(Scores!$B$5:$B$44,1,Scores!$C$5:$C$44,"Paper condition",Scores!N$5:N$44,"&gt;=0"))+1)-SUM(Helper!AV$5:AV$44)/((COUNTIFS(Scores!$B$5:$B$44,1,Scores!$C$5:$C$44,"Tool condition",Scores!N$5:N$44,"&gt;=0")+COUNTIFS(Scores!$B$5:$B$44,1,Scores!$C$5:$C$44,"Paper condition",Scores!N$5:N$44,"&gt;=0"))*((COUNTIFS(Scores!$B$5:$B$44,1,Scores!$C$5:$C$44,"Tool condition",Scores!N$5:N$44,"&gt;=0")+COUNTIFS(Scores!$B$5:$B$44,1,Scores!$C$5:$C$44,"Paper condition",Scores!N$5:N$44,"&gt;=0"))-1))))=0,1,MIN(1,2*(1-NORMSDIST((ABS(L16-COUNTIFS(Scores!$B$5:$B$44,1,Scores!$C$5:$C$44,"Tool condition",Scores!N$5:N$44,"&gt;=0")*COUNTIFS(Scores!$B$5:$B$44,1,Scores!$C$5:$C$44,"Paper condition",Scores!N$5:N$44,"&gt;=0")/2)-0.5)/SQRT(COUNTIFS(Scores!$B$5:$B$44,1,Scores!$C$5:$C$44,"Tool condition",Scores!N$5:N$44,"&gt;=0")*COUNTIFS(Scores!$B$5:$B$44,1,Scores!$C$5:$C$44,"Paper condition",Scores!N$5:N$44,"&gt;=0")/12*(((COUNTIFS(Scores!$B$5:$B$44,1,Scores!$C$5:$C$44,"Tool condition",Scores!N$5:N$44,"&gt;=0")+COUNTIFS(Scores!$B$5:$B$44,1,Scores!$C$5:$C$44,"Paper condition",Scores!N$5:N$44,"&gt;=0"))+1)-SUM(Helper!AV$5:AV$44)/((COUNTIFS(Scores!$B$5:$B$44,1,Scores!$C$5:$C$44,"Tool condition",Scores!N$5:N$44,"&gt;=0")+COUNTIFS(Scores!$B$5:$B$44,1,Scores!$C$5:$C$44,"Paper condition",Scores!N$5:N$44,"&gt;=0"))*((COUNTIFS(Scores!$B$5:$B$44,1,Scores!$C$5:$C$44,"Tool condition",Scores!N$5:N$44,"&gt;=0")+COUNTIFS(Scores!$B$5:$B$44,1,Scores!$C$5:$C$44,"Paper condition",Scores!N$5:N$44,"&gt;=0"))-1)))))))))</f>
        <v>0.00566159177484504</v>
      </c>
      <c r="N16" s="9" t="n">
        <f aca="false">IF(M16="","",INDEX(Helper!$D$100:$D$111,RANK(M16,Analysis!$M$7:$M$18,1)+COUNTIF(Analysis!$M$7:$M$18,M16)-1))</f>
        <v>0.059558292477881</v>
      </c>
      <c r="O16" s="7" t="n">
        <f aca="false">IF(L16="","",2*L16/(COUNTIFS(Scores!$B$5:$B$44,1,Scores!$C$5:$C$44,"Tool condition",Scores!N$5:N$44,"&gt;=0")*COUNTIFS(Scores!$B$5:$B$44,1,Scores!$C$5:$C$44,"Paper condition",Scores!N$5:N$44,"&gt;=0"))-1)</f>
        <v>0.6</v>
      </c>
      <c r="P16" s="8" t="n">
        <f aca="false">IF(Tasks!$G$11="No","",IF(OR(COUNTIFS(Scores!$B$5:$B$44,2,Scores!$C$5:$C$44,"Tool condition",Scores!N$5:N$44,"&gt;=0")=0,COUNTIFS(Scores!$B$5:$B$44,2,Scores!$C$5:$C$44,"Paper condition",Scores!N$5:N$44,"&gt;=0")=0),"",SUM(Helper!AW$5:AW$44)))</f>
        <v>46.5</v>
      </c>
      <c r="Q16" s="9" t="n">
        <f aca="false">IF(P16="","",IF(SQRT(COUNTIFS(Scores!$B$5:$B$44,2,Scores!$C$5:$C$44,"Tool condition",Scores!N$5:N$44,"&gt;=0")*COUNTIFS(Scores!$B$5:$B$44,2,Scores!$C$5:$C$44,"Paper condition",Scores!N$5:N$44,"&gt;=0")/12*(((COUNTIFS(Scores!$B$5:$B$44,2,Scores!$C$5:$C$44,"Tool condition",Scores!N$5:N$44,"&gt;=0")+COUNTIFS(Scores!$B$5:$B$44,2,Scores!$C$5:$C$44,"Paper condition",Scores!N$5:N$44,"&gt;=0"))+1)-SUM(Helper!AX$5:AX$44)/((COUNTIFS(Scores!$B$5:$B$44,2,Scores!$C$5:$C$44,"Tool condition",Scores!N$5:N$44,"&gt;=0")+COUNTIFS(Scores!$B$5:$B$44,2,Scores!$C$5:$C$44,"Paper condition",Scores!N$5:N$44,"&gt;=0"))*((COUNTIFS(Scores!$B$5:$B$44,2,Scores!$C$5:$C$44,"Tool condition",Scores!N$5:N$44,"&gt;=0")+COUNTIFS(Scores!$B$5:$B$44,2,Scores!$C$5:$C$44,"Paper condition",Scores!N$5:N$44,"&gt;=0"))-1))))=0,1,MIN(1,2*(1-NORMSDIST((ABS(P16-COUNTIFS(Scores!$B$5:$B$44,2,Scores!$C$5:$C$44,"Tool condition",Scores!N$5:N$44,"&gt;=0")*COUNTIFS(Scores!$B$5:$B$44,2,Scores!$C$5:$C$44,"Paper condition",Scores!N$5:N$44,"&gt;=0")/2)-0.5)/SQRT(COUNTIFS(Scores!$B$5:$B$44,2,Scores!$C$5:$C$44,"Tool condition",Scores!N$5:N$44,"&gt;=0")*COUNTIFS(Scores!$B$5:$B$44,2,Scores!$C$5:$C$44,"Paper condition",Scores!N$5:N$44,"&gt;=0")/12*(((COUNTIFS(Scores!$B$5:$B$44,2,Scores!$C$5:$C$44,"Tool condition",Scores!N$5:N$44,"&gt;=0")+COUNTIFS(Scores!$B$5:$B$44,2,Scores!$C$5:$C$44,"Paper condition",Scores!N$5:N$44,"&gt;=0"))+1)-SUM(Helper!AX$5:AX$44)/((COUNTIFS(Scores!$B$5:$B$44,2,Scores!$C$5:$C$44,"Tool condition",Scores!N$5:N$44,"&gt;=0")+COUNTIFS(Scores!$B$5:$B$44,2,Scores!$C$5:$C$44,"Paper condition",Scores!N$5:N$44,"&gt;=0"))*((COUNTIFS(Scores!$B$5:$B$44,2,Scores!$C$5:$C$44,"Tool condition",Scores!N$5:N$44,"&gt;=0")+COUNTIFS(Scores!$B$5:$B$44,2,Scores!$C$5:$C$44,"Paper condition",Scores!N$5:N$44,"&gt;=0"))-1)))))))))</f>
        <v>0.807731796287729</v>
      </c>
      <c r="R16" s="9" t="n">
        <f aca="false">IF(Q16="","",INDEX(Helper!$H$100:$H$111,RANK(Q16,Analysis!$Q$7:$Q$18,1)+COUNTIF(Analysis!$Q$7:$Q$18,Q16)-1))</f>
        <v>1</v>
      </c>
      <c r="S16" s="7" t="n">
        <f aca="false">IF(P16="","",2*P16/(COUNTIFS(Scores!$B$5:$B$44,2,Scores!$C$5:$C$44,"Tool condition",Scores!N$5:N$44,"&gt;=0")*COUNTIFS(Scores!$B$5:$B$44,2,Scores!$C$5:$C$44,"Paper condition",Scores!N$5:N$44,"&gt;=0"))-1)</f>
        <v>-0.07</v>
      </c>
    </row>
    <row r="17" customFormat="false" ht="14.25" hidden="false" customHeight="true" outlineLevel="0" collapsed="false">
      <c r="A17" s="6" t="s">
        <v>27</v>
      </c>
      <c r="B17" s="6" t="str">
        <f aca="false">IF(Tasks!$G$12="No","",Tasks!E12&amp;"")</f>
        <v>Gate</v>
      </c>
      <c r="C17" s="6" t="str">
        <f aca="false">IF(Tasks!$G$12="No","",Tasks!D12&amp;"")</f>
        <v>Derivation</v>
      </c>
      <c r="D17" s="6" t="n">
        <f aca="false">IF(Tasks!$G$12="No","",COUNTIFS(Scores!$B$5:$B$44,1,Scores!$C$5:$C$44,"Tool condition",Scores!O$5:O$44,2))</f>
        <v>10</v>
      </c>
      <c r="E17" s="6" t="n">
        <f aca="false">IF(Tasks!$G$12="No","",COUNTIFS(Scores!$B$5:$B$44,1,Scores!$C$5:$C$44,"Paper condition",Scores!O$5:O$44,2))</f>
        <v>5</v>
      </c>
      <c r="F17" s="6" t="n">
        <f aca="false">IF(Tasks!$G$12="No","",COUNTIFS(Scores!$B$5:$B$44,2,Scores!$C$5:$C$44,"Tool condition",Scores!O$5:O$44,2))</f>
        <v>4</v>
      </c>
      <c r="G17" s="6" t="n">
        <f aca="false">IF(Tasks!$G$12="No","",COUNTIFS(Scores!$B$5:$B$44,2,Scores!$C$5:$C$44,"Paper condition",Scores!O$5:O$44,2))</f>
        <v>0</v>
      </c>
      <c r="H17" s="7" t="n">
        <f aca="false">IF(Tasks!$G$12="No","",IFERROR(AVERAGEIFS(Scores!O$5:O$44,Scores!$B$5:$B$44,1,Scores!$C$5:$C$44,"Tool condition"),""))</f>
        <v>2</v>
      </c>
      <c r="I17" s="7" t="n">
        <f aca="false">IF(Tasks!$G$12="No","",IFERROR(AVERAGEIFS(Scores!O$5:O$44,Scores!$B$5:$B$44,1,Scores!$C$5:$C$44,"Paper condition"),""))</f>
        <v>1.4</v>
      </c>
      <c r="J17" s="7" t="n">
        <f aca="false">IF(Tasks!$G$12="No","",IFERROR(AVERAGEIFS(Scores!O$5:O$44,Scores!$B$5:$B$44,2,Scores!$C$5:$C$44,"Tool condition"),""))</f>
        <v>1.2</v>
      </c>
      <c r="K17" s="7" t="n">
        <f aca="false">IF(Tasks!$G$12="No","",IFERROR(AVERAGEIFS(Scores!O$5:O$44,Scores!$B$5:$B$44,2,Scores!$C$5:$C$44,"Paper condition"),""))</f>
        <v>0.7</v>
      </c>
      <c r="L17" s="8" t="n">
        <f aca="false">IF(Tasks!$G$12="No","",IF(OR(COUNTIFS(Scores!$B$5:$B$44,1,Scores!$C$5:$C$44,"Tool condition",Scores!O$5:O$44,"&gt;=0")=0,COUNTIFS(Scores!$B$5:$B$44,1,Scores!$C$5:$C$44,"Paper condition",Scores!O$5:O$44,"&gt;=0")=0),"",SUM(Helper!AZ$5:AZ$44)))</f>
        <v>75</v>
      </c>
      <c r="M17" s="9" t="n">
        <f aca="false">IF(L17="","",IF(SQRT(COUNTIFS(Scores!$B$5:$B$44,1,Scores!$C$5:$C$44,"Tool condition",Scores!O$5:O$44,"&gt;=0")*COUNTIFS(Scores!$B$5:$B$44,1,Scores!$C$5:$C$44,"Paper condition",Scores!O$5:O$44,"&gt;=0")/12*(((COUNTIFS(Scores!$B$5:$B$44,1,Scores!$C$5:$C$44,"Tool condition",Scores!O$5:O$44,"&gt;=0")+COUNTIFS(Scores!$B$5:$B$44,1,Scores!$C$5:$C$44,"Paper condition",Scores!O$5:O$44,"&gt;=0"))+1)-SUM(Helper!BA$5:BA$44)/((COUNTIFS(Scores!$B$5:$B$44,1,Scores!$C$5:$C$44,"Tool condition",Scores!O$5:O$44,"&gt;=0")+COUNTIFS(Scores!$B$5:$B$44,1,Scores!$C$5:$C$44,"Paper condition",Scores!O$5:O$44,"&gt;=0"))*((COUNTIFS(Scores!$B$5:$B$44,1,Scores!$C$5:$C$44,"Tool condition",Scores!O$5:O$44,"&gt;=0")+COUNTIFS(Scores!$B$5:$B$44,1,Scores!$C$5:$C$44,"Paper condition",Scores!O$5:O$44,"&gt;=0"))-1))))=0,1,MIN(1,2*(1-NORMSDIST((ABS(L17-COUNTIFS(Scores!$B$5:$B$44,1,Scores!$C$5:$C$44,"Tool condition",Scores!O$5:O$44,"&gt;=0")*COUNTIFS(Scores!$B$5:$B$44,1,Scores!$C$5:$C$44,"Paper condition",Scores!O$5:O$44,"&gt;=0")/2)-0.5)/SQRT(COUNTIFS(Scores!$B$5:$B$44,1,Scores!$C$5:$C$44,"Tool condition",Scores!O$5:O$44,"&gt;=0")*COUNTIFS(Scores!$B$5:$B$44,1,Scores!$C$5:$C$44,"Paper condition",Scores!O$5:O$44,"&gt;=0")/12*(((COUNTIFS(Scores!$B$5:$B$44,1,Scores!$C$5:$C$44,"Tool condition",Scores!O$5:O$44,"&gt;=0")+COUNTIFS(Scores!$B$5:$B$44,1,Scores!$C$5:$C$44,"Paper condition",Scores!O$5:O$44,"&gt;=0"))+1)-SUM(Helper!BA$5:BA$44)/((COUNTIFS(Scores!$B$5:$B$44,1,Scores!$C$5:$C$44,"Tool condition",Scores!O$5:O$44,"&gt;=0")+COUNTIFS(Scores!$B$5:$B$44,1,Scores!$C$5:$C$44,"Paper condition",Scores!O$5:O$44,"&gt;=0"))*((COUNTIFS(Scores!$B$5:$B$44,1,Scores!$C$5:$C$44,"Tool condition",Scores!O$5:O$44,"&gt;=0")+COUNTIFS(Scores!$B$5:$B$44,1,Scores!$C$5:$C$44,"Paper condition",Scores!O$5:O$44,"&gt;=0"))-1)))))))))</f>
        <v>0.0142856214705429</v>
      </c>
      <c r="N17" s="9" t="n">
        <f aca="false">IF(M17="","",INDEX(Helper!$D$100:$D$111,RANK(M17,Analysis!$M$7:$M$18,1)+COUNTIF(Analysis!$M$7:$M$18,M17)-1))</f>
        <v>0.114284971764343</v>
      </c>
      <c r="O17" s="7" t="n">
        <f aca="false">IF(L17="","",2*L17/(COUNTIFS(Scores!$B$5:$B$44,1,Scores!$C$5:$C$44,"Tool condition",Scores!O$5:O$44,"&gt;=0")*COUNTIFS(Scores!$B$5:$B$44,1,Scores!$C$5:$C$44,"Paper condition",Scores!O$5:O$44,"&gt;=0"))-1)</f>
        <v>0.5</v>
      </c>
      <c r="P17" s="8" t="n">
        <f aca="false">IF(Tasks!$G$12="No","",IF(OR(COUNTIFS(Scores!$B$5:$B$44,2,Scores!$C$5:$C$44,"Tool condition",Scores!O$5:O$44,"&gt;=0")=0,COUNTIFS(Scores!$B$5:$B$44,2,Scores!$C$5:$C$44,"Paper condition",Scores!O$5:O$44,"&gt;=0")=0),"",SUM(Helper!BB$5:BB$44)))</f>
        <v>69</v>
      </c>
      <c r="Q17" s="9" t="n">
        <f aca="false">IF(P17="","",IF(SQRT(COUNTIFS(Scores!$B$5:$B$44,2,Scores!$C$5:$C$44,"Tool condition",Scores!O$5:O$44,"&gt;=0")*COUNTIFS(Scores!$B$5:$B$44,2,Scores!$C$5:$C$44,"Paper condition",Scores!O$5:O$44,"&gt;=0")/12*(((COUNTIFS(Scores!$B$5:$B$44,2,Scores!$C$5:$C$44,"Tool condition",Scores!O$5:O$44,"&gt;=0")+COUNTIFS(Scores!$B$5:$B$44,2,Scores!$C$5:$C$44,"Paper condition",Scores!O$5:O$44,"&gt;=0"))+1)-SUM(Helper!BC$5:BC$44)/((COUNTIFS(Scores!$B$5:$B$44,2,Scores!$C$5:$C$44,"Tool condition",Scores!O$5:O$44,"&gt;=0")+COUNTIFS(Scores!$B$5:$B$44,2,Scores!$C$5:$C$44,"Paper condition",Scores!O$5:O$44,"&gt;=0"))*((COUNTIFS(Scores!$B$5:$B$44,2,Scores!$C$5:$C$44,"Tool condition",Scores!O$5:O$44,"&gt;=0")+COUNTIFS(Scores!$B$5:$B$44,2,Scores!$C$5:$C$44,"Paper condition",Scores!O$5:O$44,"&gt;=0"))-1))))=0,1,MIN(1,2*(1-NORMSDIST((ABS(P17-COUNTIFS(Scores!$B$5:$B$44,2,Scores!$C$5:$C$44,"Tool condition",Scores!O$5:O$44,"&gt;=0")*COUNTIFS(Scores!$B$5:$B$44,2,Scores!$C$5:$C$44,"Paper condition",Scores!O$5:O$44,"&gt;=0")/2)-0.5)/SQRT(COUNTIFS(Scores!$B$5:$B$44,2,Scores!$C$5:$C$44,"Tool condition",Scores!O$5:O$44,"&gt;=0")*COUNTIFS(Scores!$B$5:$B$44,2,Scores!$C$5:$C$44,"Paper condition",Scores!O$5:O$44,"&gt;=0")/12*(((COUNTIFS(Scores!$B$5:$B$44,2,Scores!$C$5:$C$44,"Tool condition",Scores!O$5:O$44,"&gt;=0")+COUNTIFS(Scores!$B$5:$B$44,2,Scores!$C$5:$C$44,"Paper condition",Scores!O$5:O$44,"&gt;=0"))+1)-SUM(Helper!BC$5:BC$44)/((COUNTIFS(Scores!$B$5:$B$44,2,Scores!$C$5:$C$44,"Tool condition",Scores!O$5:O$44,"&gt;=0")+COUNTIFS(Scores!$B$5:$B$44,2,Scores!$C$5:$C$44,"Paper condition",Scores!O$5:O$44,"&gt;=0"))*((COUNTIFS(Scores!$B$5:$B$44,2,Scores!$C$5:$C$44,"Tool condition",Scores!O$5:O$44,"&gt;=0")+COUNTIFS(Scores!$B$5:$B$44,2,Scores!$C$5:$C$44,"Paper condition",Scores!O$5:O$44,"&gt;=0"))-1)))))))))</f>
        <v>0.120683661306117</v>
      </c>
      <c r="R17" s="9" t="n">
        <f aca="false">IF(Q17="","",INDEX(Helper!$H$100:$H$111,RANK(Q17,Analysis!$Q$7:$Q$18,1)+COUNTIF(Analysis!$Q$7:$Q$18,Q17)-1))</f>
        <v>1</v>
      </c>
      <c r="S17" s="7" t="n">
        <f aca="false">IF(P17="","",2*P17/(COUNTIFS(Scores!$B$5:$B$44,2,Scores!$C$5:$C$44,"Tool condition",Scores!O$5:O$44,"&gt;=0")*COUNTIFS(Scores!$B$5:$B$44,2,Scores!$C$5:$C$44,"Paper condition",Scores!O$5:O$44,"&gt;=0"))-1)</f>
        <v>0.38</v>
      </c>
    </row>
    <row r="18" customFormat="false" ht="14.25" hidden="false" customHeight="true" outlineLevel="0" collapsed="false">
      <c r="A18" s="6" t="s">
        <v>28</v>
      </c>
      <c r="B18" s="6" t="str">
        <f aca="false">IF(Tasks!$G$13="No","",Tasks!E13&amp;"")</f>
        <v>Gate</v>
      </c>
      <c r="C18" s="6" t="str">
        <f aca="false">IF(Tasks!$G$13="No","",Tasks!D13&amp;"")</f>
        <v>Code</v>
      </c>
      <c r="D18" s="6" t="n">
        <f aca="false">IF(Tasks!$G$13="No","",COUNTIFS(Scores!$B$5:$B$44,1,Scores!$C$5:$C$44,"Tool condition",Scores!P$5:P$44,2))</f>
        <v>10</v>
      </c>
      <c r="E18" s="6" t="n">
        <f aca="false">IF(Tasks!$G$13="No","",COUNTIFS(Scores!$B$5:$B$44,1,Scores!$C$5:$C$44,"Paper condition",Scores!P$5:P$44,2))</f>
        <v>3</v>
      </c>
      <c r="F18" s="6" t="n">
        <f aca="false">IF(Tasks!$G$13="No","",COUNTIFS(Scores!$B$5:$B$44,2,Scores!$C$5:$C$44,"Tool condition",Scores!P$5:P$44,2))</f>
        <v>0</v>
      </c>
      <c r="G18" s="6" t="n">
        <f aca="false">IF(Tasks!$G$13="No","",COUNTIFS(Scores!$B$5:$B$44,2,Scores!$C$5:$C$44,"Paper condition",Scores!P$5:P$44,2))</f>
        <v>0</v>
      </c>
      <c r="H18" s="7" t="n">
        <f aca="false">IF(Tasks!$G$13="No","",IFERROR(AVERAGEIFS(Scores!P$5:P$44,Scores!$B$5:$B$44,1,Scores!$C$5:$C$44,"Tool condition"),""))</f>
        <v>2</v>
      </c>
      <c r="I18" s="7" t="n">
        <f aca="false">IF(Tasks!$G$13="No","",IFERROR(AVERAGEIFS(Scores!P$5:P$44,Scores!$B$5:$B$44,1,Scores!$C$5:$C$44,"Paper condition"),""))</f>
        <v>1.2</v>
      </c>
      <c r="J18" s="7" t="n">
        <f aca="false">IF(Tasks!$G$13="No","",IFERROR(AVERAGEIFS(Scores!P$5:P$44,Scores!$B$5:$B$44,2,Scores!$C$5:$C$44,"Tool condition"),""))</f>
        <v>0.7</v>
      </c>
      <c r="K18" s="7" t="n">
        <f aca="false">IF(Tasks!$G$13="No","",IFERROR(AVERAGEIFS(Scores!P$5:P$44,Scores!$B$5:$B$44,2,Scores!$C$5:$C$44,"Paper condition"),""))</f>
        <v>0.5</v>
      </c>
      <c r="L18" s="8" t="n">
        <f aca="false">IF(Tasks!$G$13="No","",IF(OR(COUNTIFS(Scores!$B$5:$B$44,1,Scores!$C$5:$C$44,"Tool condition",Scores!P$5:P$44,"&gt;=0")=0,COUNTIFS(Scores!$B$5:$B$44,1,Scores!$C$5:$C$44,"Paper condition",Scores!P$5:P$44,"&gt;=0")=0),"",SUM(Helper!BE$5:BE$44)))</f>
        <v>85</v>
      </c>
      <c r="M18" s="9" t="n">
        <f aca="false">IF(L18="","",IF(SQRT(COUNTIFS(Scores!$B$5:$B$44,1,Scores!$C$5:$C$44,"Tool condition",Scores!P$5:P$44,"&gt;=0")*COUNTIFS(Scores!$B$5:$B$44,1,Scores!$C$5:$C$44,"Paper condition",Scores!P$5:P$44,"&gt;=0")/12*(((COUNTIFS(Scores!$B$5:$B$44,1,Scores!$C$5:$C$44,"Tool condition",Scores!P$5:P$44,"&gt;=0")+COUNTIFS(Scores!$B$5:$B$44,1,Scores!$C$5:$C$44,"Paper condition",Scores!P$5:P$44,"&gt;=0"))+1)-SUM(Helper!BF$5:BF$44)/((COUNTIFS(Scores!$B$5:$B$44,1,Scores!$C$5:$C$44,"Tool condition",Scores!P$5:P$44,"&gt;=0")+COUNTIFS(Scores!$B$5:$B$44,1,Scores!$C$5:$C$44,"Paper condition",Scores!P$5:P$44,"&gt;=0"))*((COUNTIFS(Scores!$B$5:$B$44,1,Scores!$C$5:$C$44,"Tool condition",Scores!P$5:P$44,"&gt;=0")+COUNTIFS(Scores!$B$5:$B$44,1,Scores!$C$5:$C$44,"Paper condition",Scores!P$5:P$44,"&gt;=0"))-1))))=0,1,MIN(1,2*(1-NORMSDIST((ABS(L18-COUNTIFS(Scores!$B$5:$B$44,1,Scores!$C$5:$C$44,"Tool condition",Scores!P$5:P$44,"&gt;=0")*COUNTIFS(Scores!$B$5:$B$44,1,Scores!$C$5:$C$44,"Paper condition",Scores!P$5:P$44,"&gt;=0")/2)-0.5)/SQRT(COUNTIFS(Scores!$B$5:$B$44,1,Scores!$C$5:$C$44,"Tool condition",Scores!P$5:P$44,"&gt;=0")*COUNTIFS(Scores!$B$5:$B$44,1,Scores!$C$5:$C$44,"Paper condition",Scores!P$5:P$44,"&gt;=0")/12*(((COUNTIFS(Scores!$B$5:$B$44,1,Scores!$C$5:$C$44,"Tool condition",Scores!P$5:P$44,"&gt;=0")+COUNTIFS(Scores!$B$5:$B$44,1,Scores!$C$5:$C$44,"Paper condition",Scores!P$5:P$44,"&gt;=0"))+1)-SUM(Helper!BF$5:BF$44)/((COUNTIFS(Scores!$B$5:$B$44,1,Scores!$C$5:$C$44,"Tool condition",Scores!P$5:P$44,"&gt;=0")+COUNTIFS(Scores!$B$5:$B$44,1,Scores!$C$5:$C$44,"Paper condition",Scores!P$5:P$44,"&gt;=0"))*((COUNTIFS(Scores!$B$5:$B$44,1,Scores!$C$5:$C$44,"Tool condition",Scores!P$5:P$44,"&gt;=0")+COUNTIFS(Scores!$B$5:$B$44,1,Scores!$C$5:$C$44,"Paper condition",Scores!P$5:P$44,"&gt;=0"))-1)))))))))</f>
        <v>0.00182638205191377</v>
      </c>
      <c r="N18" s="9" t="n">
        <f aca="false">IF(M18="","",INDEX(Helper!$D$100:$D$111,RANK(M18,Analysis!$M$7:$M$18,1)+COUNTIF(Analysis!$M$7:$M$18,M18)-1))</f>
        <v>0.0219165846229652</v>
      </c>
      <c r="O18" s="7" t="n">
        <f aca="false">IF(L18="","",2*L18/(COUNTIFS(Scores!$B$5:$B$44,1,Scores!$C$5:$C$44,"Tool condition",Scores!P$5:P$44,"&gt;=0")*COUNTIFS(Scores!$B$5:$B$44,1,Scores!$C$5:$C$44,"Paper condition",Scores!P$5:P$44,"&gt;=0"))-1)</f>
        <v>0.7</v>
      </c>
      <c r="P18" s="8" t="n">
        <f aca="false">IF(Tasks!$G$13="No","",IF(OR(COUNTIFS(Scores!$B$5:$B$44,2,Scores!$C$5:$C$44,"Tool condition",Scores!P$5:P$44,"&gt;=0")=0,COUNTIFS(Scores!$B$5:$B$44,2,Scores!$C$5:$C$44,"Paper condition",Scores!P$5:P$44,"&gt;=0")=0),"",SUM(Helper!BG$5:BG$44)))</f>
        <v>60</v>
      </c>
      <c r="Q18" s="9" t="n">
        <f aca="false">IF(P18="","",IF(SQRT(COUNTIFS(Scores!$B$5:$B$44,2,Scores!$C$5:$C$44,"Tool condition",Scores!P$5:P$44,"&gt;=0")*COUNTIFS(Scores!$B$5:$B$44,2,Scores!$C$5:$C$44,"Paper condition",Scores!P$5:P$44,"&gt;=0")/12*(((COUNTIFS(Scores!$B$5:$B$44,2,Scores!$C$5:$C$44,"Tool condition",Scores!P$5:P$44,"&gt;=0")+COUNTIFS(Scores!$B$5:$B$44,2,Scores!$C$5:$C$44,"Paper condition",Scores!P$5:P$44,"&gt;=0"))+1)-SUM(Helper!BH$5:BH$44)/((COUNTIFS(Scores!$B$5:$B$44,2,Scores!$C$5:$C$44,"Tool condition",Scores!P$5:P$44,"&gt;=0")+COUNTIFS(Scores!$B$5:$B$44,2,Scores!$C$5:$C$44,"Paper condition",Scores!P$5:P$44,"&gt;=0"))*((COUNTIFS(Scores!$B$5:$B$44,2,Scores!$C$5:$C$44,"Tool condition",Scores!P$5:P$44,"&gt;=0")+COUNTIFS(Scores!$B$5:$B$44,2,Scores!$C$5:$C$44,"Paper condition",Scores!P$5:P$44,"&gt;=0"))-1))))=0,1,MIN(1,2*(1-NORMSDIST((ABS(P18-COUNTIFS(Scores!$B$5:$B$44,2,Scores!$C$5:$C$44,"Tool condition",Scores!P$5:P$44,"&gt;=0")*COUNTIFS(Scores!$B$5:$B$44,2,Scores!$C$5:$C$44,"Paper condition",Scores!P$5:P$44,"&gt;=0")/2)-0.5)/SQRT(COUNTIFS(Scores!$B$5:$B$44,2,Scores!$C$5:$C$44,"Tool condition",Scores!P$5:P$44,"&gt;=0")*COUNTIFS(Scores!$B$5:$B$44,2,Scores!$C$5:$C$44,"Paper condition",Scores!P$5:P$44,"&gt;=0")/12*(((COUNTIFS(Scores!$B$5:$B$44,2,Scores!$C$5:$C$44,"Tool condition",Scores!P$5:P$44,"&gt;=0")+COUNTIFS(Scores!$B$5:$B$44,2,Scores!$C$5:$C$44,"Paper condition",Scores!P$5:P$44,"&gt;=0"))+1)-SUM(Helper!BH$5:BH$44)/((COUNTIFS(Scores!$B$5:$B$44,2,Scores!$C$5:$C$44,"Tool condition",Scores!P$5:P$44,"&gt;=0")+COUNTIFS(Scores!$B$5:$B$44,2,Scores!$C$5:$C$44,"Paper condition",Scores!P$5:P$44,"&gt;=0"))*((COUNTIFS(Scores!$B$5:$B$44,2,Scores!$C$5:$C$44,"Tool condition",Scores!P$5:P$44,"&gt;=0")+COUNTIFS(Scores!$B$5:$B$44,2,Scores!$C$5:$C$44,"Paper condition",Scores!P$5:P$44,"&gt;=0"))-1)))))))))</f>
        <v>0.397960835435706</v>
      </c>
      <c r="R18" s="9" t="n">
        <f aca="false">IF(Q18="","",INDEX(Helper!$H$100:$H$111,RANK(Q18,Analysis!$Q$7:$Q$18,1)+COUNTIF(Analysis!$Q$7:$Q$18,Q18)-1))</f>
        <v>1</v>
      </c>
      <c r="S18" s="7" t="n">
        <f aca="false">IF(P18="","",2*P18/(COUNTIFS(Scores!$B$5:$B$44,2,Scores!$C$5:$C$44,"Tool condition",Scores!P$5:P$44,"&gt;=0")*COUNTIFS(Scores!$B$5:$B$44,2,Scores!$C$5:$C$44,"Paper condition",Scores!P$5:P$44,"&gt;=0"))-1)</f>
        <v>0.2</v>
      </c>
    </row>
    <row r="21" customFormat="false" ht="14.25" hidden="false" customHeight="true" outlineLevel="0" collapsed="false">
      <c r="A21" s="4" t="s">
        <v>29</v>
      </c>
    </row>
    <row r="22" customFormat="false" ht="30" hidden="false" customHeight="true" outlineLevel="0" collapsed="false">
      <c r="A22" s="5" t="s">
        <v>30</v>
      </c>
      <c r="B22" s="5" t="s">
        <v>9</v>
      </c>
      <c r="C22" s="5" t="s">
        <v>10</v>
      </c>
      <c r="D22" s="5" t="s">
        <v>11</v>
      </c>
      <c r="E22" s="5" t="s">
        <v>12</v>
      </c>
      <c r="G22" s="5" t="s">
        <v>31</v>
      </c>
      <c r="H22" s="5" t="s">
        <v>32</v>
      </c>
      <c r="I22" s="5" t="s">
        <v>33</v>
      </c>
      <c r="J22" s="5" t="s">
        <v>34</v>
      </c>
      <c r="K22" s="5" t="s">
        <v>35</v>
      </c>
      <c r="L22" s="5" t="s">
        <v>36</v>
      </c>
      <c r="M22" s="10"/>
    </row>
    <row r="23" customFormat="false" ht="14.25" hidden="false" customHeight="true" outlineLevel="0" collapsed="false">
      <c r="A23" s="11" t="s">
        <v>37</v>
      </c>
      <c r="B23" s="6" t="n">
        <f aca="false">COUNTIFS(Scores!$B$5:$B$44,1,Scores!$C$5:$C$44,"Tool condition",Scores!Q$5:Q$44,"&gt;=0")</f>
        <v>10</v>
      </c>
      <c r="C23" s="6" t="n">
        <f aca="false">COUNTIFS(Scores!$B$5:$B$44,1,Scores!$C$5:$C$44,"Paper condition",Scores!Q$5:Q$44,"&gt;=0")</f>
        <v>10</v>
      </c>
      <c r="D23" s="6" t="n">
        <f aca="false">COUNTIFS(Scores!$B$5:$B$44,2,Scores!$C$5:$C$44,"Tool condition",Scores!Q$5:Q$44,"&gt;=0")</f>
        <v>10</v>
      </c>
      <c r="E23" s="6" t="n">
        <f aca="false">COUNTIFS(Scores!$B$5:$B$44,2,Scores!$C$5:$C$44,"Paper condition",Scores!Q$5:Q$44,"&gt;=0")</f>
        <v>10</v>
      </c>
      <c r="G23" s="6"/>
      <c r="H23" s="6"/>
      <c r="I23" s="6"/>
      <c r="J23" s="6"/>
      <c r="K23" s="6"/>
      <c r="L23" s="6"/>
    </row>
    <row r="24" customFormat="false" ht="14.25" hidden="false" customHeight="true" outlineLevel="0" collapsed="false">
      <c r="A24" s="11" t="s">
        <v>38</v>
      </c>
      <c r="B24" s="7" t="n">
        <f aca="false">IFERROR(AVERAGEIFS(Scores!Q$5:Q$44,Scores!$B$5:$B$44,1,Scores!$C$5:$C$44,"Tool condition"),"")</f>
        <v>24</v>
      </c>
      <c r="C24" s="7" t="n">
        <f aca="false">IFERROR(AVERAGEIFS(Scores!Q$5:Q$44,Scores!$B$5:$B$44,1,Scores!$C$5:$C$44,"Paper condition"),"")</f>
        <v>17.5</v>
      </c>
      <c r="D24" s="7" t="n">
        <f aca="false">IFERROR(AVERAGEIFS(Scores!Q$5:Q$44,Scores!$B$5:$B$44,2,Scores!$C$5:$C$44,"Tool condition"),"")</f>
        <v>17.3</v>
      </c>
      <c r="E24" s="7" t="n">
        <f aca="false">IFERROR(AVERAGEIFS(Scores!Q$5:Q$44,Scores!$B$5:$B$44,2,Scores!$C$5:$C$44,"Paper condition"),"")</f>
        <v>14.9</v>
      </c>
      <c r="G24" s="8" t="n">
        <f aca="false">IF(OR(COUNTIFS(Scores!$B$5:$B$44,1,Scores!$C$5:$C$44,"Tool condition",Scores!Q$5:Q$44,"&gt;=0")=0,COUNTIFS(Scores!$B$5:$B$44,1,Scores!$C$5:$C$44,"Paper condition",Scores!Q$5:Q$44,"&gt;=0")=0),"",SUM(Helper!DR$5:DR$44))</f>
        <v>100</v>
      </c>
      <c r="H24" s="9" t="n">
        <v>1.0825088224469E-005</v>
      </c>
      <c r="I24" s="7" t="n">
        <f aca="false">IF(G24="","",2*G24/(COUNTIFS(Scores!$B$5:$B$44,1,Scores!$C$5:$C$44,"Tool condition",Scores!Q$5:Q$44,"&gt;=0")*COUNTIFS(Scores!$B$5:$B$44,1,Scores!$C$5:$C$44,"Paper condition",Scores!Q$5:Q$44,"&gt;=0"))-1)</f>
        <v>1</v>
      </c>
      <c r="J24" s="8" t="n">
        <f aca="false">IF(OR(COUNTIFS(Scores!$B$5:$B$44,2,Scores!$C$5:$C$44,"Tool condition",Scores!Q$5:Q$44,"&gt;=0")=0,COUNTIFS(Scores!$B$5:$B$44,2,Scores!$C$5:$C$44,"Paper condition",Scores!Q$5:Q$44,"&gt;=0")=0),"",SUM(Helper!DT$5:DT$44))</f>
        <v>83</v>
      </c>
      <c r="K24" s="9" t="n">
        <v>0.00949360237285934</v>
      </c>
      <c r="L24" s="7" t="n">
        <f aca="false">IF(J24="","",2*J24/(COUNTIFS(Scores!$B$5:$B$44,2,Scores!$C$5:$C$44,"Tool condition",Scores!Q$5:Q$44,"&gt;=0")*COUNTIFS(Scores!$B$5:$B$44,2,Scores!$C$5:$C$44,"Paper condition",Scores!Q$5:Q$44,"&gt;=0"))-1)</f>
        <v>0.66</v>
      </c>
      <c r="M24" s="12"/>
    </row>
    <row r="25" customFormat="false" ht="14.25" hidden="false" customHeight="true" outlineLevel="0" collapsed="false">
      <c r="A25" s="11" t="s">
        <v>39</v>
      </c>
      <c r="B25" s="7" t="n">
        <f aca="false">IFERROR(SQRT((SUMIFS(Helper!DV$5:DV$44,Scores!$B$5:$B$44,1,Scores!$C$5:$C$44,"Tool condition")-COUNTIFS(Scores!$B$5:$B$44,1,Scores!$C$5:$C$44,"Tool condition",Scores!Q$5:Q$44,"&gt;=0")*AVERAGEIFS(Scores!Q$5:Q$44,Scores!$B$5:$B$44,1,Scores!$C$5:$C$44,"Tool condition")^2)/(COUNTIFS(Scores!$B$5:$B$44,1,Scores!$C$5:$C$44,"Tool condition",Scores!Q$5:Q$44,"&gt;=0")-1)),"")</f>
        <v>0</v>
      </c>
      <c r="C25" s="7" t="n">
        <f aca="false">IFERROR(SQRT((SUMIFS(Helper!DV$5:DV$44,Scores!$B$5:$B$44,1,Scores!$C$5:$C$44,"Paper condition")-COUNTIFS(Scores!$B$5:$B$44,1,Scores!$C$5:$C$44,"Paper condition",Scores!Q$5:Q$44,"&gt;=0")*AVERAGEIFS(Scores!Q$5:Q$44,Scores!$B$5:$B$44,1,Scores!$C$5:$C$44,"Paper condition")^2)/(COUNTIFS(Scores!$B$5:$B$44,1,Scores!$C$5:$C$44,"Paper condition",Scores!Q$5:Q$44,"&gt;=0")-1)),"")</f>
        <v>4.83620604284897</v>
      </c>
      <c r="D25" s="7" t="n">
        <f aca="false">IFERROR(SQRT((SUMIFS(Helper!DV$5:DV$44,Scores!$B$5:$B$44,2,Scores!$C$5:$C$44,"Tool condition")-COUNTIFS(Scores!$B$5:$B$44,2,Scores!$C$5:$C$44,"Tool condition",Scores!Q$5:Q$44,"&gt;=0")*AVERAGEIFS(Scores!Q$5:Q$44,Scores!$B$5:$B$44,2,Scores!$C$5:$C$44,"Tool condition")^2)/(COUNTIFS(Scores!$B$5:$B$44,2,Scores!$C$5:$C$44,"Tool condition",Scores!Q$5:Q$44,"&gt;=0")-1)),"")</f>
        <v>0.823272602348559</v>
      </c>
      <c r="E25" s="7" t="n">
        <f aca="false">IFERROR(SQRT((SUMIFS(Helper!DV$5:DV$44,Scores!$B$5:$B$44,2,Scores!$C$5:$C$44,"Paper condition")-COUNTIFS(Scores!$B$5:$B$44,2,Scores!$C$5:$C$44,"Paper condition",Scores!Q$5:Q$44,"&gt;=0")*AVERAGEIFS(Scores!Q$5:Q$44,Scores!$B$5:$B$44,2,Scores!$C$5:$C$44,"Paper condition")^2)/(COUNTIFS(Scores!$B$5:$B$44,2,Scores!$C$5:$C$44,"Paper condition",Scores!Q$5:Q$44,"&gt;=0")-1)),"")</f>
        <v>2.18326971917503</v>
      </c>
      <c r="G25" s="6"/>
      <c r="H25" s="6"/>
      <c r="I25" s="6"/>
      <c r="J25" s="6"/>
      <c r="K25" s="6"/>
      <c r="L25" s="6"/>
    </row>
    <row r="26" customFormat="false" ht="14.25" hidden="false" customHeight="true" outlineLevel="0" collapsed="false">
      <c r="A26" s="11" t="s">
        <v>40</v>
      </c>
      <c r="B26" s="7" t="n">
        <f aca="false">IFERROR(AVERAGEIFS(R_Scores!Q$5:Q$44,R_Scores!$B$5:$B$44,1,R_Scores!$C$5:$C$44,"Tool condition"),"")</f>
        <v>5.8</v>
      </c>
      <c r="C26" s="7" t="n">
        <f aca="false">IFERROR(AVERAGEIFS(R_Scores!Q$5:Q$44,R_Scores!$B$5:$B$44,1,R_Scores!$C$5:$C$44,"Paper condition"),"")</f>
        <v>3.5</v>
      </c>
      <c r="D26" s="7" t="n">
        <f aca="false">IFERROR(AVERAGEIFS(R_Scores!Q$5:Q$44,R_Scores!$B$5:$B$44,2,R_Scores!$C$5:$C$44,"Tool condition"),"")</f>
        <v>5.2</v>
      </c>
      <c r="E26" s="7" t="n">
        <f aca="false">IFERROR(AVERAGEIFS(R_Scores!Q$5:Q$44,R_Scores!$B$5:$B$44,2,R_Scores!$C$5:$C$44,"Paper condition"),"")</f>
        <v>3.9</v>
      </c>
      <c r="G26" s="8" t="n">
        <f aca="false">IF(OR(COUNTIFS(R_Scores!$B$5:$B$44,1,R_Scores!$C$5:$C$44,"Tool condition",R_Scores!Q$5:Q$44,"&gt;=0")=0,COUNTIFS(R_Scores!$B$5:$B$44,1,R_Scores!$C$5:$C$44,"Paper condition",R_Scores!Q$5:Q$44,"&gt;=0")=0),"",SUM(Helper!EV$5:EV$44))</f>
        <v>72.5</v>
      </c>
      <c r="H26" s="9" t="n">
        <v>0.0744874320725714</v>
      </c>
      <c r="I26" s="7" t="n">
        <f aca="false">IF(G26="","",2*G26/(COUNTIFS(R_Scores!$B$5:$B$44,1,R_Scores!$C$5:$C$44,"Tool condition",R_Scores!Q$5:Q$44,"&gt;=0")*COUNTIFS(R_Scores!$B$5:$B$44,1,R_Scores!$C$5:$C$44,"Paper condition",R_Scores!Q$5:Q$44,"&gt;=0"))-1)</f>
        <v>0.45</v>
      </c>
      <c r="J26" s="8" t="n">
        <f aca="false">IF(OR(COUNTIFS(R_Scores!$B$5:$B$44,2,R_Scores!$C$5:$C$44,"Tool condition",R_Scores!Q$5:Q$44,"&gt;=0")=0,COUNTIFS(R_Scores!$B$5:$B$44,2,R_Scores!$C$5:$C$44,"Paper condition",R_Scores!Q$5:Q$44,"&gt;=0")=0),"",SUM(Helper!EX$5:EX$44))</f>
        <v>86.5</v>
      </c>
      <c r="K26" s="9" t="n">
        <v>0.00238151940938319</v>
      </c>
      <c r="L26" s="7" t="n">
        <f aca="false">IF(J26="","",2*J26/(COUNTIFS(R_Scores!$B$5:$B$44,2,R_Scores!$C$5:$C$44,"Tool condition",R_Scores!Q$5:Q$44,"&gt;=0")*COUNTIFS(R_Scores!$B$5:$B$44,2,R_Scores!$C$5:$C$44,"Paper condition",R_Scores!Q$5:Q$44,"&gt;=0"))-1)</f>
        <v>0.73</v>
      </c>
      <c r="M26" s="12"/>
    </row>
    <row r="27" customFormat="false" ht="14.25" hidden="false" customHeight="true" outlineLevel="0" collapsed="false">
      <c r="A27" s="11" t="s">
        <v>41</v>
      </c>
      <c r="B27" s="7" t="n">
        <f aca="false">IFERROR(SQRT((SUMIFS(Helper!EZ$5:EZ$44,R_Scores!$B$5:$B$44,1,R_Scores!$C$5:$C$44,"Tool condition")-COUNTIFS(R_Scores!$B$5:$B$44,1,R_Scores!$C$5:$C$44,"Tool condition",R_Scores!Q$5:Q$44,"&gt;=0")*AVERAGEIFS(R_Scores!Q$5:Q$44,R_Scores!$B$5:$B$44,1,R_Scores!$C$5:$C$44,"Tool condition")^2)/(COUNTIFS(R_Scores!$B$5:$B$44,1,R_Scores!$C$5:$C$44,"Tool condition",R_Scores!Q$5:Q$44,"&gt;=0")-1)),"")</f>
        <v>0.632455532033678</v>
      </c>
      <c r="C27" s="7" t="n">
        <f aca="false">IFERROR(SQRT((SUMIFS(Helper!EZ$5:EZ$44,R_Scores!$B$5:$B$44,1,R_Scores!$C$5:$C$44,"Paper condition")-COUNTIFS(R_Scores!$B$5:$B$44,1,R_Scores!$C$5:$C$44,"Paper condition",R_Scores!Q$5:Q$44,"&gt;=0")*AVERAGEIFS(R_Scores!Q$5:Q$44,R_Scores!$B$5:$B$44,1,R_Scores!$C$5:$C$44,"Paper condition")^2)/(COUNTIFS(R_Scores!$B$5:$B$44,1,R_Scores!$C$5:$C$44,"Paper condition",R_Scores!Q$5:Q$44,"&gt;=0")-1)),"")</f>
        <v>2.67706306736817</v>
      </c>
      <c r="D27" s="7" t="n">
        <f aca="false">IFERROR(SQRT((SUMIFS(Helper!EZ$5:EZ$44,R_Scores!$B$5:$B$44,2,R_Scores!$C$5:$C$44,"Tool condition")-COUNTIFS(R_Scores!$B$5:$B$44,2,R_Scores!$C$5:$C$44,"Tool condition",R_Scores!Q$5:Q$44,"&gt;=0")*AVERAGEIFS(R_Scores!Q$5:Q$44,R_Scores!$B$5:$B$44,2,R_Scores!$C$5:$C$44,"Tool condition")^2)/(COUNTIFS(R_Scores!$B$5:$B$44,2,R_Scores!$C$5:$C$44,"Tool condition",R_Scores!Q$5:Q$44,"&gt;=0")-1)),"")</f>
        <v>0.632455532033673</v>
      </c>
      <c r="E27" s="7" t="n">
        <f aca="false">IFERROR(SQRT((SUMIFS(Helper!EZ$5:EZ$44,R_Scores!$B$5:$B$44,2,R_Scores!$C$5:$C$44,"Paper condition")-COUNTIFS(R_Scores!$B$5:$B$44,2,R_Scores!$C$5:$C$44,"Paper condition",R_Scores!Q$5:Q$44,"&gt;=0")*AVERAGEIFS(R_Scores!Q$5:Q$44,R_Scores!$B$5:$B$44,2,R_Scores!$C$5:$C$44,"Paper condition")^2)/(COUNTIFS(R_Scores!$B$5:$B$44,2,R_Scores!$C$5:$C$44,"Paper condition",R_Scores!Q$5:Q$44,"&gt;=0")-1)),"")</f>
        <v>0.875595035770914</v>
      </c>
      <c r="G27" s="6"/>
      <c r="H27" s="6"/>
      <c r="I27" s="6"/>
      <c r="J27" s="6"/>
      <c r="K27" s="6"/>
      <c r="L27" s="6"/>
    </row>
    <row r="28" customFormat="false" ht="14.25" hidden="false" customHeight="true" outlineLevel="0" collapsed="false">
      <c r="A28" s="11" t="s">
        <v>42</v>
      </c>
      <c r="B28" s="7" t="n">
        <f aca="false">IFERROR(AVERAGEIFS(R_Scores!R$5:R$44,R_Scores!$B$5:$B$44,1,R_Scores!$C$5:$C$44,"Tool condition"),"")</f>
        <v>29.8</v>
      </c>
      <c r="C28" s="7" t="n">
        <f aca="false">IFERROR(AVERAGEIFS(R_Scores!R$5:R$44,R_Scores!$B$5:$B$44,1,R_Scores!$C$5:$C$44,"Paper condition"),"")</f>
        <v>21</v>
      </c>
      <c r="D28" s="7" t="n">
        <f aca="false">IFERROR(AVERAGEIFS(R_Scores!R$5:R$44,R_Scores!$B$5:$B$44,2,R_Scores!$C$5:$C$44,"Tool condition"),"")</f>
        <v>22.5</v>
      </c>
      <c r="E28" s="7" t="n">
        <f aca="false">IFERROR(AVERAGEIFS(R_Scores!R$5:R$44,R_Scores!$B$5:$B$44,2,R_Scores!$C$5:$C$44,"Paper condition"),"")</f>
        <v>18.8</v>
      </c>
      <c r="G28" s="8" t="n">
        <f aca="false">IF(OR(COUNTIFS(R_Scores!$B$5:$B$44,1,R_Scores!$C$5:$C$44,"Tool condition",R_Scores!R$5:R$44,"&gt;=0")=0,COUNTIFS(R_Scores!$B$5:$B$44,1,R_Scores!$C$5:$C$44,"Paper condition",R_Scores!R$5:R$44,"&gt;=0")=0),"",SUM(Helper!FA$5:FA$44))</f>
        <v>97</v>
      </c>
      <c r="H28" s="9" t="n">
        <v>0.00010825088224469</v>
      </c>
      <c r="I28" s="7" t="n">
        <f aca="false">IF(G28="","",2*G28/(COUNTIFS(R_Scores!$B$5:$B$44,1,R_Scores!$C$5:$C$44,"Tool condition",R_Scores!R$5:R$44,"&gt;=0")*COUNTIFS(R_Scores!$B$5:$B$44,1,R_Scores!$C$5:$C$44,"Paper condition",R_Scores!R$5:R$44,"&gt;=0"))-1)</f>
        <v>0.94</v>
      </c>
      <c r="J28" s="8" t="n">
        <f aca="false">IF(OR(COUNTIFS(R_Scores!$B$5:$B$44,2,R_Scores!$C$5:$C$44,"Tool condition",R_Scores!R$5:R$44,"&gt;=0")=0,COUNTIFS(R_Scores!$B$5:$B$44,2,R_Scores!$C$5:$C$44,"Paper condition",R_Scores!R$5:R$44,"&gt;=0")=0),"",SUM(Helper!FC$5:FC$44))</f>
        <v>84.5</v>
      </c>
      <c r="K28" s="9" t="n">
        <v>0.00607287449392713</v>
      </c>
      <c r="L28" s="7" t="n">
        <f aca="false">IF(J28="","",2*J28/(COUNTIFS(R_Scores!$B$5:$B$44,2,R_Scores!$C$5:$C$44,"Tool condition",R_Scores!R$5:R$44,"&gt;=0")*COUNTIFS(R_Scores!$B$5:$B$44,2,R_Scores!$C$5:$C$44,"Paper condition",R_Scores!R$5:R$44,"&gt;=0"))-1)</f>
        <v>0.69</v>
      </c>
      <c r="M28" s="12"/>
    </row>
    <row r="29" customFormat="false" ht="14.25" hidden="false" customHeight="true" outlineLevel="0" collapsed="false">
      <c r="A29" s="11" t="s">
        <v>43</v>
      </c>
      <c r="B29" s="7" t="n">
        <f aca="false">IFERROR(SQRT((SUMIFS(Helper!FE$5:FE$44,R_Scores!$B$5:$B$44,1,R_Scores!$C$5:$C$44,"Tool condition")-COUNTIFS(R_Scores!$B$5:$B$44,1,R_Scores!$C$5:$C$44,"Tool condition",R_Scores!R$5:R$44,"&gt;=0")*AVERAGEIFS(R_Scores!R$5:R$44,R_Scores!$B$5:$B$44,1,R_Scores!$C$5:$C$44,"Tool condition")^2)/(COUNTIFS(R_Scores!$B$5:$B$44,1,R_Scores!$C$5:$C$44,"Tool condition",R_Scores!R$5:R$44,"&gt;=0")-1)),"")</f>
        <v>0.632455532033548</v>
      </c>
      <c r="C29" s="7" t="n">
        <f aca="false">IFERROR(SQRT((SUMIFS(Helper!FE$5:FE$44,R_Scores!$B$5:$B$44,1,R_Scores!$C$5:$C$44,"Paper condition")-COUNTIFS(R_Scores!$B$5:$B$44,1,R_Scores!$C$5:$C$44,"Paper condition",R_Scores!R$5:R$44,"&gt;=0")*AVERAGEIFS(R_Scores!R$5:R$44,R_Scores!$B$5:$B$44,1,R_Scores!$C$5:$C$44,"Paper condition")^2)/(COUNTIFS(R_Scores!$B$5:$B$44,1,R_Scores!$C$5:$C$44,"Paper condition",R_Scores!R$5:R$44,"&gt;=0")-1)),"")</f>
        <v>7.4535599249993</v>
      </c>
      <c r="D29" s="7" t="n">
        <f aca="false">IFERROR(SQRT((SUMIFS(Helper!FE$5:FE$44,R_Scores!$B$5:$B$44,2,R_Scores!$C$5:$C$44,"Tool condition")-COUNTIFS(R_Scores!$B$5:$B$44,2,R_Scores!$C$5:$C$44,"Tool condition",R_Scores!R$5:R$44,"&gt;=0")*AVERAGEIFS(R_Scores!R$5:R$44,R_Scores!$B$5:$B$44,2,R_Scores!$C$5:$C$44,"Tool condition")^2)/(COUNTIFS(R_Scores!$B$5:$B$44,2,R_Scores!$C$5:$C$44,"Tool condition",R_Scores!R$5:R$44,"&gt;=0")-1)),"")</f>
        <v>1.17851130197758</v>
      </c>
      <c r="E29" s="7" t="n">
        <f aca="false">IFERROR(SQRT((SUMIFS(Helper!FE$5:FE$44,R_Scores!$B$5:$B$44,2,R_Scores!$C$5:$C$44,"Paper condition")-COUNTIFS(R_Scores!$B$5:$B$44,2,R_Scores!$C$5:$C$44,"Paper condition",R_Scores!R$5:R$44,"&gt;=0")*AVERAGEIFS(R_Scores!R$5:R$44,R_Scores!$B$5:$B$44,2,R_Scores!$C$5:$C$44,"Paper condition")^2)/(COUNTIFS(R_Scores!$B$5:$B$44,2,R_Scores!$C$5:$C$44,"Paper condition",R_Scores!R$5:R$44,"&gt;=0")-1)),"")</f>
        <v>3.01109061083631</v>
      </c>
      <c r="G29" s="6"/>
      <c r="H29" s="6"/>
      <c r="I29" s="6"/>
      <c r="J29" s="6"/>
      <c r="K29" s="6"/>
      <c r="L29" s="6"/>
    </row>
    <row r="30" customFormat="false" ht="14.25" hidden="false" customHeight="true" outlineLevel="0" collapsed="false">
      <c r="A30" s="11" t="s">
        <v>44</v>
      </c>
      <c r="B30" s="13" t="n">
        <f aca="false">IFERROR(SUMIFS(Scores!W$5:W$44,Scores!$B$5:$B$44,1,Scores!$C$5:$C$44,"Tool condition")/SUMIFS(Scores!X$5:X$44,Scores!$B$5:$B$44,1,Scores!$C$5:$C$44,"Tool condition"),"")</f>
        <v>1</v>
      </c>
      <c r="C30" s="13" t="n">
        <f aca="false">IFERROR(SUMIFS(Scores!W$5:W$44,Scores!$B$5:$B$44,1,Scores!$C$5:$C$44,"Paper condition")/SUMIFS(Scores!X$5:X$44,Scores!$B$5:$B$44,1,Scores!$C$5:$C$44,"Paper condition"),"")</f>
        <v>0.533333333333333</v>
      </c>
      <c r="D30" s="13" t="n">
        <f aca="false">IFERROR(SUMIFS(Scores!W$5:W$44,Scores!$B$5:$B$44,2,Scores!$C$5:$C$44,"Tool condition")/SUMIFS(Scores!X$5:X$44,Scores!$B$5:$B$44,2,Scores!$C$5:$C$44,"Tool condition"),"")</f>
        <v>0.525</v>
      </c>
      <c r="E30" s="13" t="n">
        <f aca="false">IFERROR(SUMIFS(Scores!W$5:W$44,Scores!$B$5:$B$44,2,Scores!$C$5:$C$44,"Paper condition")/SUMIFS(Scores!X$5:X$44,Scores!$B$5:$B$44,2,Scores!$C$5:$C$44,"Paper condition"),"")</f>
        <v>0.35</v>
      </c>
      <c r="G30" s="6"/>
      <c r="H30" s="6"/>
      <c r="I30" s="6"/>
      <c r="J30" s="6"/>
      <c r="K30" s="6"/>
      <c r="L30" s="6"/>
    </row>
    <row r="31" customFormat="false" ht="14.25" hidden="false" customHeight="true" outlineLevel="0" collapsed="false">
      <c r="A31" s="11" t="s">
        <v>45</v>
      </c>
      <c r="B31" s="13" t="n">
        <f aca="false">IFERROR(SUMIFS(R_Scores!$Q$5:$Q$44,R_Scores!$B$5:$B$44,1,R_Scores!$C$5:$C$44,"Tool condition")/(COUNTIFS(R_Scores!$B$5:$B$44,1,R_Scores!$C$5:$C$44,"Tool condition")*$B$66),"")</f>
        <v>0.828571428571429</v>
      </c>
      <c r="C31" s="13" t="n">
        <f aca="false">IFERROR(SUMIFS(R_Scores!$Q$5:$Q$44,R_Scores!$B$5:$B$44,1,R_Scores!$C$5:$C$44,"Paper condition")/(COUNTIFS(R_Scores!$B$5:$B$44,1,R_Scores!$C$5:$C$44,"Paper condition")*$B$66),"")</f>
        <v>0.5</v>
      </c>
      <c r="D31" s="13" t="n">
        <f aca="false">IFERROR(SUMIFS(R_Scores!$Q$5:$Q$44,R_Scores!$B$5:$B$44,2,R_Scores!$C$5:$C$44,"Tool condition")/(COUNTIFS(R_Scores!$B$5:$B$44,2,R_Scores!$C$5:$C$44,"Tool condition")*$B$66),"")</f>
        <v>0.742857142857143</v>
      </c>
      <c r="E31" s="13" t="n">
        <f aca="false">IFERROR(SUMIFS(R_Scores!$Q$5:$Q$44,R_Scores!$B$5:$B$44,2,R_Scores!$C$5:$C$44,"Paper condition")/(COUNTIFS(R_Scores!$B$5:$B$44,2,R_Scores!$C$5:$C$44,"Paper condition")*$B$66),"")</f>
        <v>0.557142857142857</v>
      </c>
      <c r="G31" s="6"/>
      <c r="H31" s="6"/>
      <c r="I31" s="6"/>
      <c r="J31" s="6"/>
      <c r="K31" s="6"/>
      <c r="L31" s="6"/>
    </row>
    <row r="32" customFormat="false" ht="14.25" hidden="false" customHeight="true" outlineLevel="0" collapsed="false">
      <c r="A32" s="11" t="s">
        <v>46</v>
      </c>
      <c r="B32" s="7" t="n">
        <f aca="false">IFERROR(AVERAGEIFS(Scores!R$5:R$44,Scores!$B$5:$B$44,1,Scores!$C$5:$C$44,"Tool condition"),"")</f>
        <v>14</v>
      </c>
      <c r="C32" s="7" t="n">
        <f aca="false">IFERROR(AVERAGEIFS(Scores!R$5:R$44,Scores!$B$5:$B$44,1,Scores!$C$5:$C$44,"Paper condition"),"")</f>
        <v>9.6</v>
      </c>
      <c r="D32" s="7" t="n">
        <f aca="false">IFERROR(AVERAGEIFS(Scores!R$5:R$44,Scores!$B$5:$B$44,2,Scores!$C$5:$C$44,"Tool condition"),"")</f>
        <v>10.2</v>
      </c>
      <c r="E32" s="7" t="n">
        <f aca="false">IFERROR(AVERAGEIFS(Scores!R$5:R$44,Scores!$B$5:$B$44,2,Scores!$C$5:$C$44,"Paper condition"),"")</f>
        <v>8.1</v>
      </c>
      <c r="G32" s="8" t="n">
        <f aca="false">IF(OR(COUNTIFS(Scores!$B$5:$B$44,1,Scores!$C$5:$C$44,"Tool condition",Scores!R$5:R$44,"&gt;=0")=0,COUNTIFS(Scores!$B$5:$B$44,1,Scores!$C$5:$C$44,"Paper condition",Scores!R$5:R$44,"&gt;=0")=0),"",SUM(Helper!DW$5:DW$44))</f>
        <v>95</v>
      </c>
      <c r="H32" s="9" t="n">
        <v>0.000119075970469159</v>
      </c>
      <c r="I32" s="7" t="n">
        <f aca="false">IF(G32="","",2*G32/(COUNTIFS(Scores!$B$5:$B$44,1,Scores!$C$5:$C$44,"Tool condition",Scores!R$5:R$44,"&gt;=0")*COUNTIFS(Scores!$B$5:$B$44,1,Scores!$C$5:$C$44,"Paper condition",Scores!R$5:R$44,"&gt;=0"))-1)</f>
        <v>0.9</v>
      </c>
      <c r="J32" s="8" t="n">
        <f aca="false">IF(OR(COUNTIFS(Scores!$B$5:$B$44,2,Scores!$C$5:$C$44,"Tool condition",Scores!R$5:R$44,"&gt;=0")=0,COUNTIFS(Scores!$B$5:$B$44,2,Scores!$C$5:$C$44,"Paper condition",Scores!R$5:R$44,"&gt;=0")=0),"",SUM(Helper!DY$5:DY$44))</f>
        <v>87.5</v>
      </c>
      <c r="K32" s="9" t="n">
        <v>0.00220831799779168</v>
      </c>
      <c r="L32" s="7" t="n">
        <f aca="false">IF(J32="","",2*J32/(COUNTIFS(Scores!$B$5:$B$44,2,Scores!$C$5:$C$44,"Tool condition",Scores!R$5:R$44,"&gt;=0")*COUNTIFS(Scores!$B$5:$B$44,2,Scores!$C$5:$C$44,"Paper condition",Scores!R$5:R$44,"&gt;=0"))-1)</f>
        <v>0.75</v>
      </c>
      <c r="M32" s="12"/>
    </row>
    <row r="33" customFormat="false" ht="14.25" hidden="false" customHeight="true" outlineLevel="0" collapsed="false">
      <c r="A33" s="11" t="s">
        <v>47</v>
      </c>
      <c r="B33" s="7" t="n">
        <f aca="false">IFERROR(AVERAGEIFS(Scores!S$5:S$44,Scores!$B$5:$B$44,1,Scores!$C$5:$C$44,"Tool condition"),"")</f>
        <v>10</v>
      </c>
      <c r="C33" s="7" t="n">
        <f aca="false">IFERROR(AVERAGEIFS(Scores!S$5:S$44,Scores!$B$5:$B$44,1,Scores!$C$5:$C$44,"Paper condition"),"")</f>
        <v>7.9</v>
      </c>
      <c r="D33" s="7" t="n">
        <f aca="false">IFERROR(AVERAGEIFS(Scores!S$5:S$44,Scores!$B$5:$B$44,2,Scores!$C$5:$C$44,"Tool condition"),"")</f>
        <v>7.1</v>
      </c>
      <c r="E33" s="7" t="n">
        <f aca="false">IFERROR(AVERAGEIFS(Scores!S$5:S$44,Scores!$B$5:$B$44,2,Scores!$C$5:$C$44,"Paper condition"),"")</f>
        <v>6.8</v>
      </c>
      <c r="G33" s="8" t="n">
        <f aca="false">IF(OR(COUNTIFS(Scores!$B$5:$B$44,1,Scores!$C$5:$C$44,"Tool condition",Scores!S$5:S$44,"&gt;=0")=0,COUNTIFS(Scores!$B$5:$B$44,1,Scores!$C$5:$C$44,"Paper condition",Scores!S$5:S$44,"&gt;=0")=0),"",SUM(Helper!EB$5:EB$44))</f>
        <v>90</v>
      </c>
      <c r="H33" s="9" t="n">
        <v>0.000714455822814956</v>
      </c>
      <c r="I33" s="7" t="n">
        <f aca="false">IF(G33="","",2*G33/(COUNTIFS(Scores!$B$5:$B$44,1,Scores!$C$5:$C$44,"Tool condition",Scores!S$5:S$44,"&gt;=0")*COUNTIFS(Scores!$B$5:$B$44,1,Scores!$C$5:$C$44,"Paper condition",Scores!S$5:S$44,"&gt;=0"))-1)</f>
        <v>0.8</v>
      </c>
      <c r="J33" s="8" t="n">
        <f aca="false">IF(OR(COUNTIFS(Scores!$B$5:$B$44,2,Scores!$C$5:$C$44,"Tool condition",Scores!S$5:S$44,"&gt;=0")=0,COUNTIFS(Scores!$B$5:$B$44,2,Scores!$C$5:$C$44,"Paper condition",Scores!S$5:S$44,"&gt;=0")=0),"",SUM(Helper!ED$5:ED$44))</f>
        <v>56</v>
      </c>
      <c r="K33" s="9" t="n">
        <v>0.672800883327199</v>
      </c>
      <c r="L33" s="7" t="n">
        <f aca="false">IF(J33="","",2*J33/(COUNTIFS(Scores!$B$5:$B$44,2,Scores!$C$5:$C$44,"Tool condition",Scores!S$5:S$44,"&gt;=0")*COUNTIFS(Scores!$B$5:$B$44,2,Scores!$C$5:$C$44,"Paper condition",Scores!S$5:S$44,"&gt;=0"))-1)</f>
        <v>0.12</v>
      </c>
      <c r="M33" s="12"/>
    </row>
    <row r="34" customFormat="false" ht="14.25" hidden="false" customHeight="true" outlineLevel="0" collapsed="false">
      <c r="A34" s="11" t="s">
        <v>48</v>
      </c>
      <c r="B34" s="7" t="n">
        <f aca="false">IFERROR(AVERAGEIFS(Scores!T$5:T$44,Scores!$B$5:$B$44,1,Scores!$C$5:$C$44,"Tool condition"),"")</f>
        <v>8</v>
      </c>
      <c r="C34" s="7" t="n">
        <f aca="false">IFERROR(AVERAGEIFS(Scores!T$5:T$44,Scores!$B$5:$B$44,1,Scores!$C$5:$C$44,"Paper condition"),"")</f>
        <v>6.4</v>
      </c>
      <c r="D34" s="7" t="n">
        <f aca="false">IFERROR(AVERAGEIFS(Scores!T$5:T$44,Scores!$B$5:$B$44,2,Scores!$C$5:$C$44,"Tool condition"),"")</f>
        <v>6.7</v>
      </c>
      <c r="E34" s="7" t="n">
        <f aca="false">IFERROR(AVERAGEIFS(Scores!T$5:T$44,Scores!$B$5:$B$44,2,Scores!$C$5:$C$44,"Paper condition"),"")</f>
        <v>5.8</v>
      </c>
      <c r="G34" s="8" t="n">
        <f aca="false">IF(OR(COUNTIFS(Scores!$B$5:$B$44,1,Scores!$C$5:$C$44,"Tool condition",Scores!T$5:T$44,"&gt;=0")=0,COUNTIFS(Scores!$B$5:$B$44,1,Scores!$C$5:$C$44,"Paper condition",Scores!T$5:T$44,"&gt;=0")=0),"",SUM(Helper!EG$5:EG$44))</f>
        <v>85</v>
      </c>
      <c r="H34" s="9" t="n">
        <v>0.00309597523219814</v>
      </c>
      <c r="I34" s="7" t="n">
        <f aca="false">IF(G34="","",2*G34/(COUNTIFS(Scores!$B$5:$B$44,1,Scores!$C$5:$C$44,"Tool condition",Scores!T$5:T$44,"&gt;=0")*COUNTIFS(Scores!$B$5:$B$44,1,Scores!$C$5:$C$44,"Paper condition",Scores!T$5:T$44,"&gt;=0"))-1)</f>
        <v>0.7</v>
      </c>
      <c r="J34" s="8" t="n">
        <f aca="false">IF(OR(COUNTIFS(Scores!$B$5:$B$44,2,Scores!$C$5:$C$44,"Tool condition",Scores!T$5:T$44,"&gt;=0")=0,COUNTIFS(Scores!$B$5:$B$44,2,Scores!$C$5:$C$44,"Paper condition",Scores!T$5:T$44,"&gt;=0")=0),"",SUM(Helper!EI$5:EI$44))</f>
        <v>75</v>
      </c>
      <c r="K34" s="9" t="n">
        <v>0.0435168546623655</v>
      </c>
      <c r="L34" s="7" t="n">
        <f aca="false">IF(J34="","",2*J34/(COUNTIFS(Scores!$B$5:$B$44,2,Scores!$C$5:$C$44,"Tool condition",Scores!T$5:T$44,"&gt;=0")*COUNTIFS(Scores!$B$5:$B$44,2,Scores!$C$5:$C$44,"Paper condition",Scores!T$5:T$44,"&gt;=0"))-1)</f>
        <v>0.5</v>
      </c>
    </row>
    <row r="35" customFormat="false" ht="14.25" hidden="false" customHeight="true" outlineLevel="0" collapsed="false">
      <c r="A35" s="11" t="s">
        <v>49</v>
      </c>
      <c r="B35" s="7" t="n">
        <f aca="false">IFERROR(AVERAGEIFS(Scores!U$5:U$44,Scores!$B$5:$B$44,1,Scores!$C$5:$C$44,"Tool condition"),"")</f>
        <v>6</v>
      </c>
      <c r="C35" s="7" t="n">
        <f aca="false">IFERROR(AVERAGEIFS(Scores!U$5:U$44,Scores!$B$5:$B$44,1,Scores!$C$5:$C$44,"Paper condition"),"")</f>
        <v>4.3</v>
      </c>
      <c r="D35" s="7" t="n">
        <f aca="false">IFERROR(AVERAGEIFS(Scores!U$5:U$44,Scores!$B$5:$B$44,2,Scores!$C$5:$C$44,"Tool condition"),"")</f>
        <v>4.4</v>
      </c>
      <c r="E35" s="7" t="n">
        <f aca="false">IFERROR(AVERAGEIFS(Scores!U$5:U$44,Scores!$B$5:$B$44,2,Scores!$C$5:$C$44,"Paper condition"),"")</f>
        <v>3.4</v>
      </c>
      <c r="G35" s="8" t="n">
        <f aca="false">IF(OR(COUNTIFS(Scores!$B$5:$B$44,1,Scores!$C$5:$C$44,"Tool condition",Scores!U$5:U$44,"&gt;=0")=0,COUNTIFS(Scores!$B$5:$B$44,1,Scores!$C$5:$C$44,"Paper condition",Scores!U$5:U$44,"&gt;=0")=0),"",SUM(Helper!EL$5:EL$44))</f>
        <v>85</v>
      </c>
      <c r="H35" s="9" t="n">
        <v>0.00309597523219814</v>
      </c>
      <c r="I35" s="7" t="n">
        <f aca="false">IF(G35="","",2*G35/(COUNTIFS(Scores!$B$5:$B$44,1,Scores!$C$5:$C$44,"Tool condition",Scores!U$5:U$44,"&gt;=0")*COUNTIFS(Scores!$B$5:$B$44,1,Scores!$C$5:$C$44,"Paper condition",Scores!U$5:U$44,"&gt;=0"))-1)</f>
        <v>0.7</v>
      </c>
      <c r="J35" s="8" t="n">
        <f aca="false">IF(OR(COUNTIFS(Scores!$B$5:$B$44,2,Scores!$C$5:$C$44,"Tool condition",Scores!U$5:U$44,"&gt;=0")=0,COUNTIFS(Scores!$B$5:$B$44,2,Scores!$C$5:$C$44,"Paper condition",Scores!U$5:U$44,"&gt;=0")=0),"",SUM(Helper!EN$5:EN$44))</f>
        <v>75</v>
      </c>
      <c r="K35" s="9" t="n">
        <v>0.0524583775357769</v>
      </c>
      <c r="L35" s="7" t="n">
        <f aca="false">IF(J35="","",2*J35/(COUNTIFS(Scores!$B$5:$B$44,2,Scores!$C$5:$C$44,"Tool condition",Scores!U$5:U$44,"&gt;=0")*COUNTIFS(Scores!$B$5:$B$44,2,Scores!$C$5:$C$44,"Paper condition",Scores!U$5:U$44,"&gt;=0"))-1)</f>
        <v>0.5</v>
      </c>
    </row>
    <row r="36" customFormat="false" ht="14.25" hidden="false" customHeight="true" outlineLevel="0" collapsed="false">
      <c r="A36" s="11" t="s">
        <v>50</v>
      </c>
      <c r="B36" s="7" t="n">
        <f aca="false">IFERROR(AVERAGEIFS(Scores!V$5:V$44,Scores!$B$5:$B$44,1,Scores!$C$5:$C$44,"Tool condition"),"")</f>
        <v>10</v>
      </c>
      <c r="C36" s="7" t="n">
        <f aca="false">IFERROR(AVERAGEIFS(Scores!V$5:V$44,Scores!$B$5:$B$44,1,Scores!$C$5:$C$44,"Paper condition"),"")</f>
        <v>6.8</v>
      </c>
      <c r="D36" s="7" t="n">
        <f aca="false">IFERROR(AVERAGEIFS(Scores!V$5:V$44,Scores!$B$5:$B$44,2,Scores!$C$5:$C$44,"Tool condition"),"")</f>
        <v>6.2</v>
      </c>
      <c r="E36" s="7" t="n">
        <f aca="false">IFERROR(AVERAGEIFS(Scores!V$5:V$44,Scores!$B$5:$B$44,2,Scores!$C$5:$C$44,"Paper condition"),"")</f>
        <v>5.7</v>
      </c>
      <c r="G36" s="8" t="n">
        <f aca="false">IF(OR(COUNTIFS(Scores!$B$5:$B$44,1,Scores!$C$5:$C$44,"Tool condition",Scores!V$5:V$44,"&gt;=0")=0,COUNTIFS(Scores!$B$5:$B$44,1,Scores!$C$5:$C$44,"Paper condition",Scores!V$5:V$44,"&gt;=0")=0),"",SUM(Helper!EQ$5:EQ$44))</f>
        <v>100</v>
      </c>
      <c r="H36" s="9" t="n">
        <v>1.0825088224469E-005</v>
      </c>
      <c r="I36" s="7" t="n">
        <f aca="false">IF(G36="","",2*G36/(COUNTIFS(Scores!$B$5:$B$44,1,Scores!$C$5:$C$44,"Tool condition",Scores!V$5:V$44,"&gt;=0")*COUNTIFS(Scores!$B$5:$B$44,1,Scores!$C$5:$C$44,"Paper condition",Scores!V$5:V$44,"&gt;=0"))-1)</f>
        <v>1</v>
      </c>
      <c r="J36" s="8" t="n">
        <f aca="false">IF(OR(COUNTIFS(Scores!$B$5:$B$44,2,Scores!$C$5:$C$44,"Tool condition",Scores!V$5:V$44,"&gt;=0")=0,COUNTIFS(Scores!$B$5:$B$44,2,Scores!$C$5:$C$44,"Paper condition",Scores!V$5:V$44,"&gt;=0")=0),"",SUM(Helper!ES$5:ES$44))</f>
        <v>61.5</v>
      </c>
      <c r="K36" s="9" t="n">
        <v>0.395927601809955</v>
      </c>
      <c r="L36" s="7" t="n">
        <f aca="false">IF(J36="","",2*J36/(COUNTIFS(Scores!$B$5:$B$44,2,Scores!$C$5:$C$44,"Tool condition",Scores!V$5:V$44,"&gt;=0")*COUNTIFS(Scores!$B$5:$B$44,2,Scores!$C$5:$C$44,"Paper condition",Scores!V$5:V$44,"&gt;=0"))-1)</f>
        <v>0.23</v>
      </c>
    </row>
    <row r="38" customFormat="false" ht="14.25" hidden="false" customHeight="true" outlineLevel="0" collapsed="false">
      <c r="A38" s="4" t="s">
        <v>51</v>
      </c>
    </row>
    <row r="39" customFormat="false" ht="34.5" hidden="false" customHeight="true" outlineLevel="0" collapsed="false">
      <c r="A39" s="5" t="s">
        <v>52</v>
      </c>
      <c r="B39" s="5" t="s">
        <v>13</v>
      </c>
      <c r="C39" s="5" t="s">
        <v>14</v>
      </c>
      <c r="D39" s="5" t="s">
        <v>15</v>
      </c>
      <c r="E39" s="5" t="s">
        <v>16</v>
      </c>
      <c r="F39" s="10"/>
      <c r="G39" s="10"/>
    </row>
    <row r="40" customFormat="false" ht="14.25" hidden="false" customHeight="true" outlineLevel="0" collapsed="false">
      <c r="A40" s="11" t="s">
        <v>53</v>
      </c>
      <c r="B40" s="8" t="n">
        <f aca="false">J24</f>
        <v>83</v>
      </c>
      <c r="C40" s="9" t="n">
        <f aca="false">K24</f>
        <v>0.00949360237285934</v>
      </c>
      <c r="D40" s="9" t="n">
        <f aca="false">IF(COUNT($C$40:$C$42)&lt;3,"",CHOOSE(RANK(C40,$C$40:$C$42,1)+COUNTIF($C$40:$C$42,C40)-1,MIN(1,3*SMALL($C$40:$C$42,1)),MAX(MIN(1,3*SMALL($C$40:$C$42,1)),MIN(1,2*SMALL($C$40:$C$42,2))),MAX(MAX(MIN(1,3*SMALL($C$40:$C$42,1)),MIN(1,2*SMALL($C$40:$C$42,2))),MIN(1,SMALL($C$40:$C$42,3)))))</f>
        <v>0.0121457489878543</v>
      </c>
      <c r="E40" s="7" t="n">
        <f aca="false">L24</f>
        <v>0.66</v>
      </c>
      <c r="F40" s="12"/>
      <c r="G40" s="12"/>
    </row>
    <row r="41" customFormat="false" ht="14.25" hidden="false" customHeight="true" outlineLevel="0" collapsed="false">
      <c r="A41" s="11" t="s">
        <v>54</v>
      </c>
      <c r="B41" s="8" t="n">
        <f aca="false">J26</f>
        <v>86.5</v>
      </c>
      <c r="C41" s="9" t="n">
        <f aca="false">K26</f>
        <v>0.00238151940938319</v>
      </c>
      <c r="D41" s="9" t="n">
        <f aca="false">IF(COUNT($C$40:$C$42)&lt;3,"",CHOOSE(RANK(C41,$C$40:$C$42,1)+COUNTIF($C$40:$C$42,C41)-1,MIN(1,3*SMALL($C$40:$C$42,1)),MAX(MIN(1,3*SMALL($C$40:$C$42,1)),MIN(1,2*SMALL($C$40:$C$42,2))),MAX(MAX(MIN(1,3*SMALL($C$40:$C$42,1)),MIN(1,2*SMALL($C$40:$C$42,2))),MIN(1,SMALL($C$40:$C$42,3)))))</f>
        <v>0.00714455822814956</v>
      </c>
      <c r="E41" s="7" t="n">
        <f aca="false">L26</f>
        <v>0.73</v>
      </c>
      <c r="F41" s="12"/>
      <c r="G41" s="12"/>
    </row>
    <row r="42" customFormat="false" ht="14.25" hidden="false" customHeight="true" outlineLevel="0" collapsed="false">
      <c r="A42" s="11" t="s">
        <v>55</v>
      </c>
      <c r="B42" s="8" t="n">
        <f aca="false">J28</f>
        <v>84.5</v>
      </c>
      <c r="C42" s="9" t="n">
        <f aca="false">K28</f>
        <v>0.00607287449392713</v>
      </c>
      <c r="D42" s="9" t="n">
        <f aca="false">IF(COUNT($C$40:$C$42)&lt;3,"",CHOOSE(RANK(C42,$C$40:$C$42,1)+COUNTIF($C$40:$C$42,C42)-1,MIN(1,3*SMALL($C$40:$C$42,1)),MAX(MIN(1,3*SMALL($C$40:$C$42,1)),MIN(1,2*SMALL($C$40:$C$42,2))),MAX(MAX(MIN(1,3*SMALL($C$40:$C$42,1)),MIN(1,2*SMALL($C$40:$C$42,2))),MIN(1,SMALL($C$40:$C$42,3)))))</f>
        <v>0.0121457489878543</v>
      </c>
      <c r="E42" s="7" t="n">
        <f aca="false">L28</f>
        <v>0.69</v>
      </c>
      <c r="F42" s="12"/>
      <c r="G42" s="12"/>
    </row>
    <row r="43" customFormat="false" ht="14.25" hidden="false" customHeight="true" outlineLevel="0" collapsed="false">
      <c r="A43" s="14"/>
    </row>
    <row r="45" customFormat="false" ht="14.25" hidden="false" customHeight="true" outlineLevel="0" collapsed="false">
      <c r="A45" s="4" t="s">
        <v>56</v>
      </c>
    </row>
    <row r="46" customFormat="false" ht="15" hidden="false" customHeight="true" outlineLevel="0" collapsed="false">
      <c r="D46" s="5" t="s">
        <v>57</v>
      </c>
      <c r="E46" s="5"/>
      <c r="F46" s="5"/>
      <c r="G46" s="5"/>
      <c r="H46" s="5" t="s">
        <v>4</v>
      </c>
      <c r="I46" s="5"/>
      <c r="J46" s="5"/>
      <c r="K46" s="5"/>
      <c r="L46" s="5" t="s">
        <v>5</v>
      </c>
      <c r="M46" s="5"/>
      <c r="N46" s="5"/>
      <c r="O46" s="5"/>
    </row>
    <row r="47" customFormat="false" ht="30" hidden="false" customHeight="true" outlineLevel="0" collapsed="false">
      <c r="A47" s="5" t="s">
        <v>6</v>
      </c>
      <c r="B47" s="5" t="s">
        <v>7</v>
      </c>
      <c r="C47" s="5" t="s">
        <v>8</v>
      </c>
      <c r="D47" s="5" t="s">
        <v>9</v>
      </c>
      <c r="E47" s="5" t="s">
        <v>10</v>
      </c>
      <c r="F47" s="5" t="s">
        <v>11</v>
      </c>
      <c r="G47" s="5" t="s">
        <v>12</v>
      </c>
      <c r="H47" s="5" t="s">
        <v>13</v>
      </c>
      <c r="I47" s="5" t="s">
        <v>14</v>
      </c>
      <c r="J47" s="5" t="s">
        <v>15</v>
      </c>
      <c r="K47" s="5" t="s">
        <v>16</v>
      </c>
      <c r="L47" s="5" t="s">
        <v>13</v>
      </c>
      <c r="M47" s="5" t="s">
        <v>14</v>
      </c>
      <c r="N47" s="5" t="s">
        <v>15</v>
      </c>
      <c r="O47" s="5" t="s">
        <v>16</v>
      </c>
    </row>
    <row r="48" customFormat="false" ht="14.25" hidden="false" customHeight="true" outlineLevel="0" collapsed="false">
      <c r="A48" s="6" t="s">
        <v>17</v>
      </c>
      <c r="B48" s="6" t="str">
        <f aca="false">IF(OR(Tasks!$G$2="No",Tasks!$F$2&lt;&gt;"Yes"),"",Tasks!E2&amp;"")</f>
        <v>Gate</v>
      </c>
      <c r="C48" s="6" t="str">
        <f aca="false">IF(OR(Tasks!$G$2="No",Tasks!$F$2&lt;&gt;"Yes"),"",Tasks!D2&amp;"")</f>
        <v>Model</v>
      </c>
      <c r="D48" s="6" t="n">
        <f aca="false">IF(OR(Tasks!$G$2="No",Tasks!$F$2&lt;&gt;"Yes"),"",COUNTIFS(R_Scores!$B$5:$B$44,1,R_Scores!$C$5:$C$44,"Tool condition",R_Scores!E$5:E$44,1))</f>
        <v>9</v>
      </c>
      <c r="E48" s="6" t="n">
        <f aca="false">IF(OR(Tasks!$G$2="No",Tasks!$F$2&lt;&gt;"Yes"),"",COUNTIFS(R_Scores!$B$5:$B$44,1,R_Scores!$C$5:$C$44,"Paper condition",R_Scores!E$5:E$44,1))</f>
        <v>6</v>
      </c>
      <c r="F48" s="6" t="n">
        <f aca="false">IF(OR(Tasks!$G$2="No",Tasks!$F$2&lt;&gt;"Yes"),"",COUNTIFS(R_Scores!$B$5:$B$44,2,R_Scores!$C$5:$C$44,"Tool condition",R_Scores!E$5:E$44,1))</f>
        <v>8</v>
      </c>
      <c r="G48" s="6" t="n">
        <f aca="false">IF(OR(Tasks!$G$2="No",Tasks!$F$2&lt;&gt;"Yes"),"",COUNTIFS(R_Scores!$B$5:$B$44,2,R_Scores!$C$5:$C$44,"Paper condition",R_Scores!E$5:E$44,1))</f>
        <v>7</v>
      </c>
      <c r="H48" s="8" t="n">
        <f aca="false">IF(OR(Tasks!$G$2="No",Tasks!$F$2&lt;&gt;"Yes"),"",IF(OR(COUNTIFS(R_Scores!$B$5:$B$44,1,R_Scores!$C$5:$C$44,"Tool condition",R_Scores!E$5:E$44,"&gt;=0")=0,COUNTIFS(R_Scores!$B$5:$B$44,1,R_Scores!$C$5:$C$44,"Paper condition",R_Scores!E$5:E$44,"&gt;=0")=0),"",SUM(Helper!BJ$5:BJ$44)))</f>
        <v>65</v>
      </c>
      <c r="I48" s="9" t="n">
        <f aca="false">IF(H48="","",IF(SQRT(COUNTIFS(R_Scores!$B$5:$B$44,1,R_Scores!$C$5:$C$44,"Tool condition",R_Scores!E$5:E$44,"&gt;=0")*COUNTIFS(R_Scores!$B$5:$B$44,1,R_Scores!$C$5:$C$44,"Paper condition",R_Scores!E$5:E$44,"&gt;=0")/12*(((COUNTIFS(R_Scores!$B$5:$B$44,1,R_Scores!$C$5:$C$44,"Tool condition",R_Scores!E$5:E$44,"&gt;=0")+COUNTIFS(R_Scores!$B$5:$B$44,1,R_Scores!$C$5:$C$44,"Paper condition",R_Scores!E$5:E$44,"&gt;=0"))+1)-SUM(Helper!BK$5:BK$44)/((COUNTIFS(R_Scores!$B$5:$B$44,1,R_Scores!$C$5:$C$44,"Tool condition",R_Scores!E$5:E$44,"&gt;=0")+COUNTIFS(R_Scores!$B$5:$B$44,1,R_Scores!$C$5:$C$44,"Paper condition",R_Scores!E$5:E$44,"&gt;=0"))*((COUNTIFS(R_Scores!$B$5:$B$44,1,R_Scores!$C$5:$C$44,"Tool condition",R_Scores!E$5:E$44,"&gt;=0")+COUNTIFS(R_Scores!$B$5:$B$44,1,R_Scores!$C$5:$C$44,"Paper condition",R_Scores!E$5:E$44,"&gt;=0"))-1))))=0,1,MIN(1,2*(1-NORMSDIST((ABS(H48-COUNTIFS(R_Scores!$B$5:$B$44,1,R_Scores!$C$5:$C$44,"Tool condition",R_Scores!E$5:E$44,"&gt;=0")*COUNTIFS(R_Scores!$B$5:$B$44,1,R_Scores!$C$5:$C$44,"Paper condition",R_Scores!E$5:E$44,"&gt;=0")/2)-0.5)/SQRT(COUNTIFS(R_Scores!$B$5:$B$44,1,R_Scores!$C$5:$C$44,"Tool condition",R_Scores!E$5:E$44,"&gt;=0")*COUNTIFS(R_Scores!$B$5:$B$44,1,R_Scores!$C$5:$C$44,"Paper condition",R_Scores!E$5:E$44,"&gt;=0")/12*(((COUNTIFS(R_Scores!$B$5:$B$44,1,R_Scores!$C$5:$C$44,"Tool condition",R_Scores!E$5:E$44,"&gt;=0")+COUNTIFS(R_Scores!$B$5:$B$44,1,R_Scores!$C$5:$C$44,"Paper condition",R_Scores!E$5:E$44,"&gt;=0"))+1)-SUM(Helper!BK$5:BK$44)/((COUNTIFS(R_Scores!$B$5:$B$44,1,R_Scores!$C$5:$C$44,"Tool condition",R_Scores!E$5:E$44,"&gt;=0")+COUNTIFS(R_Scores!$B$5:$B$44,1,R_Scores!$C$5:$C$44,"Paper condition",R_Scores!E$5:E$44,"&gt;=0"))*((COUNTIFS(R_Scores!$B$5:$B$44,1,R_Scores!$C$5:$C$44,"Tool condition",R_Scores!E$5:E$44,"&gt;=0")+COUNTIFS(R_Scores!$B$5:$B$44,1,R_Scores!$C$5:$C$44,"Paper condition",R_Scores!E$5:E$44,"&gt;=0"))-1)))))))))</f>
        <v>0.144390508921129</v>
      </c>
      <c r="J48" s="9" t="n">
        <f aca="false">IF(I48="","",INDEX(Helper!$L$100:$L$111,RANK(I48,Analysis!$I$48:$I$59,1)+COUNTIF(Analysis!$I$48:$I$59,I48)-1))</f>
        <v>0.721952544605646</v>
      </c>
      <c r="K48" s="7" t="n">
        <f aca="false">IF(H48="","",2*H48/(COUNTIFS(R_Scores!$B$5:$B$44,1,R_Scores!$C$5:$C$44,"Tool condition",R_Scores!E$5:E$44,"&gt;=0")*COUNTIFS(R_Scores!$B$5:$B$44,1,R_Scores!$C$5:$C$44,"Paper condition",R_Scores!E$5:E$44,"&gt;=0"))-1)</f>
        <v>0.3</v>
      </c>
      <c r="L48" s="8" t="n">
        <f aca="false">IF(OR(Tasks!$G$2="No",Tasks!$F$2&lt;&gt;"Yes"),"",IF(OR(COUNTIFS(R_Scores!$B$5:$B$44,2,R_Scores!$C$5:$C$44,"Tool condition",R_Scores!E$5:E$44,"&gt;=0")=0,COUNTIFS(R_Scores!$B$5:$B$44,2,R_Scores!$C$5:$C$44,"Paper condition",R_Scores!E$5:E$44,"&gt;=0")=0),"",SUM(Helper!BL$5:BL$44)))</f>
        <v>55</v>
      </c>
      <c r="M48" s="9" t="n">
        <f aca="false">IF(L48="","",IF(SQRT(COUNTIFS(R_Scores!$B$5:$B$44,2,R_Scores!$C$5:$C$44,"Tool condition",R_Scores!E$5:E$44,"&gt;=0")*COUNTIFS(R_Scores!$B$5:$B$44,2,R_Scores!$C$5:$C$44,"Paper condition",R_Scores!E$5:E$44,"&gt;=0")/12*(((COUNTIFS(R_Scores!$B$5:$B$44,2,R_Scores!$C$5:$C$44,"Tool condition",R_Scores!E$5:E$44,"&gt;=0")+COUNTIFS(R_Scores!$B$5:$B$44,2,R_Scores!$C$5:$C$44,"Paper condition",R_Scores!E$5:E$44,"&gt;=0"))+1)-SUM(Helper!BM$5:BM$44)/((COUNTIFS(R_Scores!$B$5:$B$44,2,R_Scores!$C$5:$C$44,"Tool condition",R_Scores!E$5:E$44,"&gt;=0")+COUNTIFS(R_Scores!$B$5:$B$44,2,R_Scores!$C$5:$C$44,"Paper condition",R_Scores!E$5:E$44,"&gt;=0"))*((COUNTIFS(R_Scores!$B$5:$B$44,2,R_Scores!$C$5:$C$44,"Tool condition",R_Scores!E$5:E$44,"&gt;=0")+COUNTIFS(R_Scores!$B$5:$B$44,2,R_Scores!$C$5:$C$44,"Paper condition",R_Scores!E$5:E$44,"&gt;=0"))-1))))=0,1,MIN(1,2*(1-NORMSDIST((ABS(L48-COUNTIFS(R_Scores!$B$5:$B$44,2,R_Scores!$C$5:$C$44,"Tool condition",R_Scores!E$5:E$44,"&gt;=0")*COUNTIFS(R_Scores!$B$5:$B$44,2,R_Scores!$C$5:$C$44,"Paper condition",R_Scores!E$5:E$44,"&gt;=0")/2)-0.5)/SQRT(COUNTIFS(R_Scores!$B$5:$B$44,2,R_Scores!$C$5:$C$44,"Tool condition",R_Scores!E$5:E$44,"&gt;=0")*COUNTIFS(R_Scores!$B$5:$B$44,2,R_Scores!$C$5:$C$44,"Paper condition",R_Scores!E$5:E$44,"&gt;=0")/12*(((COUNTIFS(R_Scores!$B$5:$B$44,2,R_Scores!$C$5:$C$44,"Tool condition",R_Scores!E$5:E$44,"&gt;=0")+COUNTIFS(R_Scores!$B$5:$B$44,2,R_Scores!$C$5:$C$44,"Paper condition",R_Scores!E$5:E$44,"&gt;=0"))+1)-SUM(Helper!BM$5:BM$44)/((COUNTIFS(R_Scores!$B$5:$B$44,2,R_Scores!$C$5:$C$44,"Tool condition",R_Scores!E$5:E$44,"&gt;=0")+COUNTIFS(R_Scores!$B$5:$B$44,2,R_Scores!$C$5:$C$44,"Paper condition",R_Scores!E$5:E$44,"&gt;=0"))*((COUNTIFS(R_Scores!$B$5:$B$44,2,R_Scores!$C$5:$C$44,"Tool condition",R_Scores!E$5:E$44,"&gt;=0")+COUNTIFS(R_Scores!$B$5:$B$44,2,R_Scores!$C$5:$C$44,"Paper condition",R_Scores!E$5:E$44,"&gt;=0"))-1)))))))))</f>
        <v>0.650555894706316</v>
      </c>
      <c r="N48" s="9" t="n">
        <f aca="false">IF(M48="","",INDEX(Helper!$P$100:$P$111,RANK(M48,Analysis!$M$48:$M$59,1)+COUNTIF(Analysis!$M$48:$M$59,M48)-1))</f>
        <v>1</v>
      </c>
      <c r="O48" s="7" t="n">
        <f aca="false">IF(L48="","",2*L48/(COUNTIFS(R_Scores!$B$5:$B$44,2,R_Scores!$C$5:$C$44,"Tool condition",R_Scores!E$5:E$44,"&gt;=0")*COUNTIFS(R_Scores!$B$5:$B$44,2,R_Scores!$C$5:$C$44,"Paper condition",R_Scores!E$5:E$44,"&gt;=0"))-1)</f>
        <v>0.1</v>
      </c>
    </row>
    <row r="49" customFormat="false" ht="14.25" hidden="false" customHeight="true" outlineLevel="0" collapsed="false">
      <c r="A49" s="6" t="s">
        <v>18</v>
      </c>
      <c r="B49" s="6" t="str">
        <f aca="false">IF(OR(Tasks!$G$3="No",Tasks!$F$3&lt;&gt;"Yes"),"",Tasks!E3&amp;"")</f>
        <v>Gate</v>
      </c>
      <c r="C49" s="6" t="str">
        <f aca="false">IF(OR(Tasks!$G$3="No",Tasks!$F$3&lt;&gt;"Yes"),"",Tasks!D3&amp;"")</f>
        <v>Code</v>
      </c>
      <c r="D49" s="6" t="n">
        <f aca="false">IF(OR(Tasks!$G$3="No",Tasks!$F$3&lt;&gt;"Yes"),"",COUNTIFS(R_Scores!$B$5:$B$44,1,R_Scores!$C$5:$C$44,"Tool condition",R_Scores!F$5:F$44,1))</f>
        <v>8</v>
      </c>
      <c r="E49" s="6" t="n">
        <f aca="false">IF(OR(Tasks!$G$3="No",Tasks!$F$3&lt;&gt;"Yes"),"",COUNTIFS(R_Scores!$B$5:$B$44,1,R_Scores!$C$5:$C$44,"Paper condition",R_Scores!F$5:F$44,1))</f>
        <v>6</v>
      </c>
      <c r="F49" s="6" t="n">
        <f aca="false">IF(OR(Tasks!$G$3="No",Tasks!$F$3&lt;&gt;"Yes"),"",COUNTIFS(R_Scores!$B$5:$B$44,2,R_Scores!$C$5:$C$44,"Tool condition",R_Scores!F$5:F$44,1))</f>
        <v>7</v>
      </c>
      <c r="G49" s="6" t="n">
        <f aca="false">IF(OR(Tasks!$G$3="No",Tasks!$F$3&lt;&gt;"Yes"),"",COUNTIFS(R_Scores!$B$5:$B$44,2,R_Scores!$C$5:$C$44,"Paper condition",R_Scores!F$5:F$44,1))</f>
        <v>7</v>
      </c>
      <c r="H49" s="8" t="n">
        <f aca="false">IF(OR(Tasks!$G$3="No",Tasks!$F$3&lt;&gt;"Yes"),"",IF(OR(COUNTIFS(R_Scores!$B$5:$B$44,1,R_Scores!$C$5:$C$44,"Tool condition",R_Scores!F$5:F$44,"&gt;=0")=0,COUNTIFS(R_Scores!$B$5:$B$44,1,R_Scores!$C$5:$C$44,"Paper condition",R_Scores!F$5:F$44,"&gt;=0")=0),"",SUM(Helper!BO$5:BO$44)))</f>
        <v>60</v>
      </c>
      <c r="I49" s="9" t="n">
        <f aca="false">IF(H49="","",IF(SQRT(COUNTIFS(R_Scores!$B$5:$B$44,1,R_Scores!$C$5:$C$44,"Tool condition",R_Scores!F$5:F$44,"&gt;=0")*COUNTIFS(R_Scores!$B$5:$B$44,1,R_Scores!$C$5:$C$44,"Paper condition",R_Scores!F$5:F$44,"&gt;=0")/12*(((COUNTIFS(R_Scores!$B$5:$B$44,1,R_Scores!$C$5:$C$44,"Tool condition",R_Scores!F$5:F$44,"&gt;=0")+COUNTIFS(R_Scores!$B$5:$B$44,1,R_Scores!$C$5:$C$44,"Paper condition",R_Scores!F$5:F$44,"&gt;=0"))+1)-SUM(Helper!BP$5:BP$44)/((COUNTIFS(R_Scores!$B$5:$B$44,1,R_Scores!$C$5:$C$44,"Tool condition",R_Scores!F$5:F$44,"&gt;=0")+COUNTIFS(R_Scores!$B$5:$B$44,1,R_Scores!$C$5:$C$44,"Paper condition",R_Scores!F$5:F$44,"&gt;=0"))*((COUNTIFS(R_Scores!$B$5:$B$44,1,R_Scores!$C$5:$C$44,"Tool condition",R_Scores!F$5:F$44,"&gt;=0")+COUNTIFS(R_Scores!$B$5:$B$44,1,R_Scores!$C$5:$C$44,"Paper condition",R_Scores!F$5:F$44,"&gt;=0"))-1))))=0,1,MIN(1,2*(1-NORMSDIST((ABS(H49-COUNTIFS(R_Scores!$B$5:$B$44,1,R_Scores!$C$5:$C$44,"Tool condition",R_Scores!F$5:F$44,"&gt;=0")*COUNTIFS(R_Scores!$B$5:$B$44,1,R_Scores!$C$5:$C$44,"Paper condition",R_Scores!F$5:F$44,"&gt;=0")/2)-0.5)/SQRT(COUNTIFS(R_Scores!$B$5:$B$44,1,R_Scores!$C$5:$C$44,"Tool condition",R_Scores!F$5:F$44,"&gt;=0")*COUNTIFS(R_Scores!$B$5:$B$44,1,R_Scores!$C$5:$C$44,"Paper condition",R_Scores!F$5:F$44,"&gt;=0")/12*(((COUNTIFS(R_Scores!$B$5:$B$44,1,R_Scores!$C$5:$C$44,"Tool condition",R_Scores!F$5:F$44,"&gt;=0")+COUNTIFS(R_Scores!$B$5:$B$44,1,R_Scores!$C$5:$C$44,"Paper condition",R_Scores!F$5:F$44,"&gt;=0"))+1)-SUM(Helper!BP$5:BP$44)/((COUNTIFS(R_Scores!$B$5:$B$44,1,R_Scores!$C$5:$C$44,"Tool condition",R_Scores!F$5:F$44,"&gt;=0")+COUNTIFS(R_Scores!$B$5:$B$44,1,R_Scores!$C$5:$C$44,"Paper condition",R_Scores!F$5:F$44,"&gt;=0"))*((COUNTIFS(R_Scores!$B$5:$B$44,1,R_Scores!$C$5:$C$44,"Tool condition",R_Scores!F$5:F$44,"&gt;=0")+COUNTIFS(R_Scores!$B$5:$B$44,1,R_Scores!$C$5:$C$44,"Paper condition",R_Scores!F$5:F$44,"&gt;=0"))-1)))))))))</f>
        <v>0.366191498368196</v>
      </c>
      <c r="J49" s="9" t="n">
        <f aca="false">IF(I49="","",INDEX(Helper!$L$100:$L$111,RANK(I49,Analysis!$I$48:$I$59,1)+COUNTIF(Analysis!$I$48:$I$59,I49)-1))</f>
        <v>0.721952544605646</v>
      </c>
      <c r="K49" s="7" t="n">
        <f aca="false">IF(H49="","",2*H49/(COUNTIFS(R_Scores!$B$5:$B$44,1,R_Scores!$C$5:$C$44,"Tool condition",R_Scores!F$5:F$44,"&gt;=0")*COUNTIFS(R_Scores!$B$5:$B$44,1,R_Scores!$C$5:$C$44,"Paper condition",R_Scores!F$5:F$44,"&gt;=0"))-1)</f>
        <v>0.2</v>
      </c>
      <c r="L49" s="8" t="n">
        <f aca="false">IF(OR(Tasks!$G$3="No",Tasks!$F$3&lt;&gt;"Yes"),"",IF(OR(COUNTIFS(R_Scores!$B$5:$B$44,2,R_Scores!$C$5:$C$44,"Tool condition",R_Scores!F$5:F$44,"&gt;=0")=0,COUNTIFS(R_Scores!$B$5:$B$44,2,R_Scores!$C$5:$C$44,"Paper condition",R_Scores!F$5:F$44,"&gt;=0")=0),"",SUM(Helper!BQ$5:BQ$44)))</f>
        <v>50</v>
      </c>
      <c r="M49" s="9" t="n">
        <f aca="false">IF(L49="","",IF(SQRT(COUNTIFS(R_Scores!$B$5:$B$44,2,R_Scores!$C$5:$C$44,"Tool condition",R_Scores!F$5:F$44,"&gt;=0")*COUNTIFS(R_Scores!$B$5:$B$44,2,R_Scores!$C$5:$C$44,"Paper condition",R_Scores!F$5:F$44,"&gt;=0")/12*(((COUNTIFS(R_Scores!$B$5:$B$44,2,R_Scores!$C$5:$C$44,"Tool condition",R_Scores!F$5:F$44,"&gt;=0")+COUNTIFS(R_Scores!$B$5:$B$44,2,R_Scores!$C$5:$C$44,"Paper condition",R_Scores!F$5:F$44,"&gt;=0"))+1)-SUM(Helper!BR$5:BR$44)/((COUNTIFS(R_Scores!$B$5:$B$44,2,R_Scores!$C$5:$C$44,"Tool condition",R_Scores!F$5:F$44,"&gt;=0")+COUNTIFS(R_Scores!$B$5:$B$44,2,R_Scores!$C$5:$C$44,"Paper condition",R_Scores!F$5:F$44,"&gt;=0"))*((COUNTIFS(R_Scores!$B$5:$B$44,2,R_Scores!$C$5:$C$44,"Tool condition",R_Scores!F$5:F$44,"&gt;=0")+COUNTIFS(R_Scores!$B$5:$B$44,2,R_Scores!$C$5:$C$44,"Paper condition",R_Scores!F$5:F$44,"&gt;=0"))-1))))=0,1,MIN(1,2*(1-NORMSDIST((ABS(L49-COUNTIFS(R_Scores!$B$5:$B$44,2,R_Scores!$C$5:$C$44,"Tool condition",R_Scores!F$5:F$44,"&gt;=0")*COUNTIFS(R_Scores!$B$5:$B$44,2,R_Scores!$C$5:$C$44,"Paper condition",R_Scores!F$5:F$44,"&gt;=0")/2)-0.5)/SQRT(COUNTIFS(R_Scores!$B$5:$B$44,2,R_Scores!$C$5:$C$44,"Tool condition",R_Scores!F$5:F$44,"&gt;=0")*COUNTIFS(R_Scores!$B$5:$B$44,2,R_Scores!$C$5:$C$44,"Paper condition",R_Scores!F$5:F$44,"&gt;=0")/12*(((COUNTIFS(R_Scores!$B$5:$B$44,2,R_Scores!$C$5:$C$44,"Tool condition",R_Scores!F$5:F$44,"&gt;=0")+COUNTIFS(R_Scores!$B$5:$B$44,2,R_Scores!$C$5:$C$44,"Paper condition",R_Scores!F$5:F$44,"&gt;=0"))+1)-SUM(Helper!BR$5:BR$44)/((COUNTIFS(R_Scores!$B$5:$B$44,2,R_Scores!$C$5:$C$44,"Tool condition",R_Scores!F$5:F$44,"&gt;=0")+COUNTIFS(R_Scores!$B$5:$B$44,2,R_Scores!$C$5:$C$44,"Paper condition",R_Scores!F$5:F$44,"&gt;=0"))*((COUNTIFS(R_Scores!$B$5:$B$44,2,R_Scores!$C$5:$C$44,"Tool condition",R_Scores!F$5:F$44,"&gt;=0")+COUNTIFS(R_Scores!$B$5:$B$44,2,R_Scores!$C$5:$C$44,"Paper condition",R_Scores!F$5:F$44,"&gt;=0"))-1)))))))))</f>
        <v>1</v>
      </c>
      <c r="N49" s="9" t="n">
        <f aca="false">IF(M49="","",INDEX(Helper!$P$100:$P$111,RANK(M49,Analysis!$M$48:$M$59,1)+COUNTIF(Analysis!$M$48:$M$59,M49)-1))</f>
        <v>1</v>
      </c>
      <c r="O49" s="7" t="n">
        <f aca="false">IF(L49="","",2*L49/(COUNTIFS(R_Scores!$B$5:$B$44,2,R_Scores!$C$5:$C$44,"Tool condition",R_Scores!F$5:F$44,"&gt;=0")*COUNTIFS(R_Scores!$B$5:$B$44,2,R_Scores!$C$5:$C$44,"Paper condition",R_Scores!F$5:F$44,"&gt;=0"))-1)</f>
        <v>0</v>
      </c>
    </row>
    <row r="50" customFormat="false" ht="14.25" hidden="false" customHeight="true" outlineLevel="0" collapsed="false">
      <c r="A50" s="6" t="s">
        <v>19</v>
      </c>
      <c r="B50" s="6" t="str">
        <f aca="false">IF(OR(Tasks!$G$4="No",Tasks!$F$4&lt;&gt;"Yes"),"",Tasks!E4&amp;"")</f>
        <v/>
      </c>
      <c r="C50" s="6" t="str">
        <f aca="false">IF(OR(Tasks!$G$4="No",Tasks!$F$4&lt;&gt;"Yes"),"",Tasks!D4&amp;"")</f>
        <v/>
      </c>
      <c r="D50" s="6" t="str">
        <f aca="false">IF(OR(Tasks!$G$4="No",Tasks!$F$4&lt;&gt;"Yes"),"",COUNTIFS(R_Scores!$B$5:$B$44,1,R_Scores!$C$5:$C$44,"Tool condition",R_Scores!G$5:G$44,1))</f>
        <v/>
      </c>
      <c r="E50" s="6" t="str">
        <f aca="false">IF(OR(Tasks!$G$4="No",Tasks!$F$4&lt;&gt;"Yes"),"",COUNTIFS(R_Scores!$B$5:$B$44,1,R_Scores!$C$5:$C$44,"Paper condition",R_Scores!G$5:G$44,1))</f>
        <v/>
      </c>
      <c r="F50" s="6" t="str">
        <f aca="false">IF(OR(Tasks!$G$4="No",Tasks!$F$4&lt;&gt;"Yes"),"",COUNTIFS(R_Scores!$B$5:$B$44,2,R_Scores!$C$5:$C$44,"Tool condition",R_Scores!G$5:G$44,1))</f>
        <v/>
      </c>
      <c r="G50" s="6" t="str">
        <f aca="false">IF(OR(Tasks!$G$4="No",Tasks!$F$4&lt;&gt;"Yes"),"",COUNTIFS(R_Scores!$B$5:$B$44,2,R_Scores!$C$5:$C$44,"Paper condition",R_Scores!G$5:G$44,1))</f>
        <v/>
      </c>
      <c r="H50" s="8" t="str">
        <f aca="false">IF(OR(Tasks!$G$4="No",Tasks!$F$4&lt;&gt;"Yes"),"",IF(OR(COUNTIFS(R_Scores!$B$5:$B$44,1,R_Scores!$C$5:$C$44,"Tool condition",R_Scores!G$5:G$44,"&gt;=0")=0,COUNTIFS(R_Scores!$B$5:$B$44,1,R_Scores!$C$5:$C$44,"Paper condition",R_Scores!G$5:G$44,"&gt;=0")=0),"",SUM(Helper!BT$5:BT$44)))</f>
        <v/>
      </c>
      <c r="I50" s="9" t="str">
        <f aca="false">IF(H50="","",IF(SQRT(COUNTIFS(R_Scores!$B$5:$B$44,1,R_Scores!$C$5:$C$44,"Tool condition",R_Scores!G$5:G$44,"&gt;=0")*COUNTIFS(R_Scores!$B$5:$B$44,1,R_Scores!$C$5:$C$44,"Paper condition",R_Scores!G$5:G$44,"&gt;=0")/12*(((COUNTIFS(R_Scores!$B$5:$B$44,1,R_Scores!$C$5:$C$44,"Tool condition",R_Scores!G$5:G$44,"&gt;=0")+COUNTIFS(R_Scores!$B$5:$B$44,1,R_Scores!$C$5:$C$44,"Paper condition",R_Scores!G$5:G$44,"&gt;=0"))+1)-SUM(Helper!BU$5:BU$44)/((COUNTIFS(R_Scores!$B$5:$B$44,1,R_Scores!$C$5:$C$44,"Tool condition",R_Scores!G$5:G$44,"&gt;=0")+COUNTIFS(R_Scores!$B$5:$B$44,1,R_Scores!$C$5:$C$44,"Paper condition",R_Scores!G$5:G$44,"&gt;=0"))*((COUNTIFS(R_Scores!$B$5:$B$44,1,R_Scores!$C$5:$C$44,"Tool condition",R_Scores!G$5:G$44,"&gt;=0")+COUNTIFS(R_Scores!$B$5:$B$44,1,R_Scores!$C$5:$C$44,"Paper condition",R_Scores!G$5:G$44,"&gt;=0"))-1))))=0,1,MIN(1,2*(1-NORMSDIST((ABS(H50-COUNTIFS(R_Scores!$B$5:$B$44,1,R_Scores!$C$5:$C$44,"Tool condition",R_Scores!G$5:G$44,"&gt;=0")*COUNTIFS(R_Scores!$B$5:$B$44,1,R_Scores!$C$5:$C$44,"Paper condition",R_Scores!G$5:G$44,"&gt;=0")/2)-0.5)/SQRT(COUNTIFS(R_Scores!$B$5:$B$44,1,R_Scores!$C$5:$C$44,"Tool condition",R_Scores!G$5:G$44,"&gt;=0")*COUNTIFS(R_Scores!$B$5:$B$44,1,R_Scores!$C$5:$C$44,"Paper condition",R_Scores!G$5:G$44,"&gt;=0")/12*(((COUNTIFS(R_Scores!$B$5:$B$44,1,R_Scores!$C$5:$C$44,"Tool condition",R_Scores!G$5:G$44,"&gt;=0")+COUNTIFS(R_Scores!$B$5:$B$44,1,R_Scores!$C$5:$C$44,"Paper condition",R_Scores!G$5:G$44,"&gt;=0"))+1)-SUM(Helper!BU$5:BU$44)/((COUNTIFS(R_Scores!$B$5:$B$44,1,R_Scores!$C$5:$C$44,"Tool condition",R_Scores!G$5:G$44,"&gt;=0")+COUNTIFS(R_Scores!$B$5:$B$44,1,R_Scores!$C$5:$C$44,"Paper condition",R_Scores!G$5:G$44,"&gt;=0"))*((COUNTIFS(R_Scores!$B$5:$B$44,1,R_Scores!$C$5:$C$44,"Tool condition",R_Scores!G$5:G$44,"&gt;=0")+COUNTIFS(R_Scores!$B$5:$B$44,1,R_Scores!$C$5:$C$44,"Paper condition",R_Scores!G$5:G$44,"&gt;=0"))-1)))))))))</f>
        <v/>
      </c>
      <c r="J50" s="9" t="str">
        <f aca="false">IF(I50="","",INDEX(Helper!$L$100:$L$111,RANK(I50,Analysis!$I$48:$I$59,1)+COUNTIF(Analysis!$I$48:$I$59,I50)-1))</f>
        <v/>
      </c>
      <c r="K50" s="7" t="str">
        <f aca="false">IF(H50="","",2*H50/(COUNTIFS(R_Scores!$B$5:$B$44,1,R_Scores!$C$5:$C$44,"Tool condition",R_Scores!G$5:G$44,"&gt;=0")*COUNTIFS(R_Scores!$B$5:$B$44,1,R_Scores!$C$5:$C$44,"Paper condition",R_Scores!G$5:G$44,"&gt;=0"))-1)</f>
        <v/>
      </c>
      <c r="L50" s="8" t="str">
        <f aca="false">IF(OR(Tasks!$G$4="No",Tasks!$F$4&lt;&gt;"Yes"),"",IF(OR(COUNTIFS(R_Scores!$B$5:$B$44,2,R_Scores!$C$5:$C$44,"Tool condition",R_Scores!G$5:G$44,"&gt;=0")=0,COUNTIFS(R_Scores!$B$5:$B$44,2,R_Scores!$C$5:$C$44,"Paper condition",R_Scores!G$5:G$44,"&gt;=0")=0),"",SUM(Helper!BV$5:BV$44)))</f>
        <v/>
      </c>
      <c r="M50" s="9" t="str">
        <f aca="false">IF(L50="","",IF(SQRT(COUNTIFS(R_Scores!$B$5:$B$44,2,R_Scores!$C$5:$C$44,"Tool condition",R_Scores!G$5:G$44,"&gt;=0")*COUNTIFS(R_Scores!$B$5:$B$44,2,R_Scores!$C$5:$C$44,"Paper condition",R_Scores!G$5:G$44,"&gt;=0")/12*(((COUNTIFS(R_Scores!$B$5:$B$44,2,R_Scores!$C$5:$C$44,"Tool condition",R_Scores!G$5:G$44,"&gt;=0")+COUNTIFS(R_Scores!$B$5:$B$44,2,R_Scores!$C$5:$C$44,"Paper condition",R_Scores!G$5:G$44,"&gt;=0"))+1)-SUM(Helper!BW$5:BW$44)/((COUNTIFS(R_Scores!$B$5:$B$44,2,R_Scores!$C$5:$C$44,"Tool condition",R_Scores!G$5:G$44,"&gt;=0")+COUNTIFS(R_Scores!$B$5:$B$44,2,R_Scores!$C$5:$C$44,"Paper condition",R_Scores!G$5:G$44,"&gt;=0"))*((COUNTIFS(R_Scores!$B$5:$B$44,2,R_Scores!$C$5:$C$44,"Tool condition",R_Scores!G$5:G$44,"&gt;=0")+COUNTIFS(R_Scores!$B$5:$B$44,2,R_Scores!$C$5:$C$44,"Paper condition",R_Scores!G$5:G$44,"&gt;=0"))-1))))=0,1,MIN(1,2*(1-NORMSDIST((ABS(L50-COUNTIFS(R_Scores!$B$5:$B$44,2,R_Scores!$C$5:$C$44,"Tool condition",R_Scores!G$5:G$44,"&gt;=0")*COUNTIFS(R_Scores!$B$5:$B$44,2,R_Scores!$C$5:$C$44,"Paper condition",R_Scores!G$5:G$44,"&gt;=0")/2)-0.5)/SQRT(COUNTIFS(R_Scores!$B$5:$B$44,2,R_Scores!$C$5:$C$44,"Tool condition",R_Scores!G$5:G$44,"&gt;=0")*COUNTIFS(R_Scores!$B$5:$B$44,2,R_Scores!$C$5:$C$44,"Paper condition",R_Scores!G$5:G$44,"&gt;=0")/12*(((COUNTIFS(R_Scores!$B$5:$B$44,2,R_Scores!$C$5:$C$44,"Tool condition",R_Scores!G$5:G$44,"&gt;=0")+COUNTIFS(R_Scores!$B$5:$B$44,2,R_Scores!$C$5:$C$44,"Paper condition",R_Scores!G$5:G$44,"&gt;=0"))+1)-SUM(Helper!BW$5:BW$44)/((COUNTIFS(R_Scores!$B$5:$B$44,2,R_Scores!$C$5:$C$44,"Tool condition",R_Scores!G$5:G$44,"&gt;=0")+COUNTIFS(R_Scores!$B$5:$B$44,2,R_Scores!$C$5:$C$44,"Paper condition",R_Scores!G$5:G$44,"&gt;=0"))*((COUNTIFS(R_Scores!$B$5:$B$44,2,R_Scores!$C$5:$C$44,"Tool condition",R_Scores!G$5:G$44,"&gt;=0")+COUNTIFS(R_Scores!$B$5:$B$44,2,R_Scores!$C$5:$C$44,"Paper condition",R_Scores!G$5:G$44,"&gt;=0"))-1)))))))))</f>
        <v/>
      </c>
      <c r="N50" s="9" t="str">
        <f aca="false">IF(M50="","",INDEX(Helper!$P$100:$P$111,RANK(M50,Analysis!$M$48:$M$59,1)+COUNTIF(Analysis!$M$48:$M$59,M50)-1))</f>
        <v/>
      </c>
      <c r="O50" s="7" t="str">
        <f aca="false">IF(L50="","",2*L50/(COUNTIFS(R_Scores!$B$5:$B$44,2,R_Scores!$C$5:$C$44,"Tool condition",R_Scores!G$5:G$44,"&gt;=0")*COUNTIFS(R_Scores!$B$5:$B$44,2,R_Scores!$C$5:$C$44,"Paper condition",R_Scores!G$5:G$44,"&gt;=0"))-1)</f>
        <v/>
      </c>
    </row>
    <row r="51" customFormat="false" ht="14.25" hidden="false" customHeight="true" outlineLevel="0" collapsed="false">
      <c r="A51" s="6" t="s">
        <v>20</v>
      </c>
      <c r="B51" s="6" t="str">
        <f aca="false">IF(OR(Tasks!$G$5="No",Tasks!$F$5&lt;&gt;"Yes"),"",Tasks!E5&amp;"")</f>
        <v/>
      </c>
      <c r="C51" s="6" t="str">
        <f aca="false">IF(OR(Tasks!$G$5="No",Tasks!$F$5&lt;&gt;"Yes"),"",Tasks!D5&amp;"")</f>
        <v/>
      </c>
      <c r="D51" s="6" t="str">
        <f aca="false">IF(OR(Tasks!$G$5="No",Tasks!$F$5&lt;&gt;"Yes"),"",COUNTIFS(R_Scores!$B$5:$B$44,1,R_Scores!$C$5:$C$44,"Tool condition",R_Scores!H$5:H$44,1))</f>
        <v/>
      </c>
      <c r="E51" s="6" t="str">
        <f aca="false">IF(OR(Tasks!$G$5="No",Tasks!$F$5&lt;&gt;"Yes"),"",COUNTIFS(R_Scores!$B$5:$B$44,1,R_Scores!$C$5:$C$44,"Paper condition",R_Scores!H$5:H$44,1))</f>
        <v/>
      </c>
      <c r="F51" s="6" t="str">
        <f aca="false">IF(OR(Tasks!$G$5="No",Tasks!$F$5&lt;&gt;"Yes"),"",COUNTIFS(R_Scores!$B$5:$B$44,2,R_Scores!$C$5:$C$44,"Tool condition",R_Scores!H$5:H$44,1))</f>
        <v/>
      </c>
      <c r="G51" s="6" t="str">
        <f aca="false">IF(OR(Tasks!$G$5="No",Tasks!$F$5&lt;&gt;"Yes"),"",COUNTIFS(R_Scores!$B$5:$B$44,2,R_Scores!$C$5:$C$44,"Paper condition",R_Scores!H$5:H$44,1))</f>
        <v/>
      </c>
      <c r="H51" s="8" t="str">
        <f aca="false">IF(OR(Tasks!$G$5="No",Tasks!$F$5&lt;&gt;"Yes"),"",IF(OR(COUNTIFS(R_Scores!$B$5:$B$44,1,R_Scores!$C$5:$C$44,"Tool condition",R_Scores!H$5:H$44,"&gt;=0")=0,COUNTIFS(R_Scores!$B$5:$B$44,1,R_Scores!$C$5:$C$44,"Paper condition",R_Scores!H$5:H$44,"&gt;=0")=0),"",SUM(Helper!BY$5:BY$44)))</f>
        <v/>
      </c>
      <c r="I51" s="9" t="str">
        <f aca="false">IF(H51="","",IF(SQRT(COUNTIFS(R_Scores!$B$5:$B$44,1,R_Scores!$C$5:$C$44,"Tool condition",R_Scores!H$5:H$44,"&gt;=0")*COUNTIFS(R_Scores!$B$5:$B$44,1,R_Scores!$C$5:$C$44,"Paper condition",R_Scores!H$5:H$44,"&gt;=0")/12*(((COUNTIFS(R_Scores!$B$5:$B$44,1,R_Scores!$C$5:$C$44,"Tool condition",R_Scores!H$5:H$44,"&gt;=0")+COUNTIFS(R_Scores!$B$5:$B$44,1,R_Scores!$C$5:$C$44,"Paper condition",R_Scores!H$5:H$44,"&gt;=0"))+1)-SUM(Helper!BZ$5:BZ$44)/((COUNTIFS(R_Scores!$B$5:$B$44,1,R_Scores!$C$5:$C$44,"Tool condition",R_Scores!H$5:H$44,"&gt;=0")+COUNTIFS(R_Scores!$B$5:$B$44,1,R_Scores!$C$5:$C$44,"Paper condition",R_Scores!H$5:H$44,"&gt;=0"))*((COUNTIFS(R_Scores!$B$5:$B$44,1,R_Scores!$C$5:$C$44,"Tool condition",R_Scores!H$5:H$44,"&gt;=0")+COUNTIFS(R_Scores!$B$5:$B$44,1,R_Scores!$C$5:$C$44,"Paper condition",R_Scores!H$5:H$44,"&gt;=0"))-1))))=0,1,MIN(1,2*(1-NORMSDIST((ABS(H51-COUNTIFS(R_Scores!$B$5:$B$44,1,R_Scores!$C$5:$C$44,"Tool condition",R_Scores!H$5:H$44,"&gt;=0")*COUNTIFS(R_Scores!$B$5:$B$44,1,R_Scores!$C$5:$C$44,"Paper condition",R_Scores!H$5:H$44,"&gt;=0")/2)-0.5)/SQRT(COUNTIFS(R_Scores!$B$5:$B$44,1,R_Scores!$C$5:$C$44,"Tool condition",R_Scores!H$5:H$44,"&gt;=0")*COUNTIFS(R_Scores!$B$5:$B$44,1,R_Scores!$C$5:$C$44,"Paper condition",R_Scores!H$5:H$44,"&gt;=0")/12*(((COUNTIFS(R_Scores!$B$5:$B$44,1,R_Scores!$C$5:$C$44,"Tool condition",R_Scores!H$5:H$44,"&gt;=0")+COUNTIFS(R_Scores!$B$5:$B$44,1,R_Scores!$C$5:$C$44,"Paper condition",R_Scores!H$5:H$44,"&gt;=0"))+1)-SUM(Helper!BZ$5:BZ$44)/((COUNTIFS(R_Scores!$B$5:$B$44,1,R_Scores!$C$5:$C$44,"Tool condition",R_Scores!H$5:H$44,"&gt;=0")+COUNTIFS(R_Scores!$B$5:$B$44,1,R_Scores!$C$5:$C$44,"Paper condition",R_Scores!H$5:H$44,"&gt;=0"))*((COUNTIFS(R_Scores!$B$5:$B$44,1,R_Scores!$C$5:$C$44,"Tool condition",R_Scores!H$5:H$44,"&gt;=0")+COUNTIFS(R_Scores!$B$5:$B$44,1,R_Scores!$C$5:$C$44,"Paper condition",R_Scores!H$5:H$44,"&gt;=0"))-1)))))))))</f>
        <v/>
      </c>
      <c r="J51" s="9" t="str">
        <f aca="false">IF(I51="","",INDEX(Helper!$L$100:$L$111,RANK(I51,Analysis!$I$48:$I$59,1)+COUNTIF(Analysis!$I$48:$I$59,I51)-1))</f>
        <v/>
      </c>
      <c r="K51" s="7" t="str">
        <f aca="false">IF(H51="","",2*H51/(COUNTIFS(R_Scores!$B$5:$B$44,1,R_Scores!$C$5:$C$44,"Tool condition",R_Scores!H$5:H$44,"&gt;=0")*COUNTIFS(R_Scores!$B$5:$B$44,1,R_Scores!$C$5:$C$44,"Paper condition",R_Scores!H$5:H$44,"&gt;=0"))-1)</f>
        <v/>
      </c>
      <c r="L51" s="8" t="str">
        <f aca="false">IF(OR(Tasks!$G$5="No",Tasks!$F$5&lt;&gt;"Yes"),"",IF(OR(COUNTIFS(R_Scores!$B$5:$B$44,2,R_Scores!$C$5:$C$44,"Tool condition",R_Scores!H$5:H$44,"&gt;=0")=0,COUNTIFS(R_Scores!$B$5:$B$44,2,R_Scores!$C$5:$C$44,"Paper condition",R_Scores!H$5:H$44,"&gt;=0")=0),"",SUM(Helper!CA$5:CA$44)))</f>
        <v/>
      </c>
      <c r="M51" s="9" t="str">
        <f aca="false">IF(L51="","",IF(SQRT(COUNTIFS(R_Scores!$B$5:$B$44,2,R_Scores!$C$5:$C$44,"Tool condition",R_Scores!H$5:H$44,"&gt;=0")*COUNTIFS(R_Scores!$B$5:$B$44,2,R_Scores!$C$5:$C$44,"Paper condition",R_Scores!H$5:H$44,"&gt;=0")/12*(((COUNTIFS(R_Scores!$B$5:$B$44,2,R_Scores!$C$5:$C$44,"Tool condition",R_Scores!H$5:H$44,"&gt;=0")+COUNTIFS(R_Scores!$B$5:$B$44,2,R_Scores!$C$5:$C$44,"Paper condition",R_Scores!H$5:H$44,"&gt;=0"))+1)-SUM(Helper!CB$5:CB$44)/((COUNTIFS(R_Scores!$B$5:$B$44,2,R_Scores!$C$5:$C$44,"Tool condition",R_Scores!H$5:H$44,"&gt;=0")+COUNTIFS(R_Scores!$B$5:$B$44,2,R_Scores!$C$5:$C$44,"Paper condition",R_Scores!H$5:H$44,"&gt;=0"))*((COUNTIFS(R_Scores!$B$5:$B$44,2,R_Scores!$C$5:$C$44,"Tool condition",R_Scores!H$5:H$44,"&gt;=0")+COUNTIFS(R_Scores!$B$5:$B$44,2,R_Scores!$C$5:$C$44,"Paper condition",R_Scores!H$5:H$44,"&gt;=0"))-1))))=0,1,MIN(1,2*(1-NORMSDIST((ABS(L51-COUNTIFS(R_Scores!$B$5:$B$44,2,R_Scores!$C$5:$C$44,"Tool condition",R_Scores!H$5:H$44,"&gt;=0")*COUNTIFS(R_Scores!$B$5:$B$44,2,R_Scores!$C$5:$C$44,"Paper condition",R_Scores!H$5:H$44,"&gt;=0")/2)-0.5)/SQRT(COUNTIFS(R_Scores!$B$5:$B$44,2,R_Scores!$C$5:$C$44,"Tool condition",R_Scores!H$5:H$44,"&gt;=0")*COUNTIFS(R_Scores!$B$5:$B$44,2,R_Scores!$C$5:$C$44,"Paper condition",R_Scores!H$5:H$44,"&gt;=0")/12*(((COUNTIFS(R_Scores!$B$5:$B$44,2,R_Scores!$C$5:$C$44,"Tool condition",R_Scores!H$5:H$44,"&gt;=0")+COUNTIFS(R_Scores!$B$5:$B$44,2,R_Scores!$C$5:$C$44,"Paper condition",R_Scores!H$5:H$44,"&gt;=0"))+1)-SUM(Helper!CB$5:CB$44)/((COUNTIFS(R_Scores!$B$5:$B$44,2,R_Scores!$C$5:$C$44,"Tool condition",R_Scores!H$5:H$44,"&gt;=0")+COUNTIFS(R_Scores!$B$5:$B$44,2,R_Scores!$C$5:$C$44,"Paper condition",R_Scores!H$5:H$44,"&gt;=0"))*((COUNTIFS(R_Scores!$B$5:$B$44,2,R_Scores!$C$5:$C$44,"Tool condition",R_Scores!H$5:H$44,"&gt;=0")+COUNTIFS(R_Scores!$B$5:$B$44,2,R_Scores!$C$5:$C$44,"Paper condition",R_Scores!H$5:H$44,"&gt;=0"))-1)))))))))</f>
        <v/>
      </c>
      <c r="N51" s="9" t="str">
        <f aca="false">IF(M51="","",INDEX(Helper!$P$100:$P$111,RANK(M51,Analysis!$M$48:$M$59,1)+COUNTIF(Analysis!$M$48:$M$59,M51)-1))</f>
        <v/>
      </c>
      <c r="O51" s="7" t="str">
        <f aca="false">IF(L51="","",2*L51/(COUNTIFS(R_Scores!$B$5:$B$44,2,R_Scores!$C$5:$C$44,"Tool condition",R_Scores!H$5:H$44,"&gt;=0")*COUNTIFS(R_Scores!$B$5:$B$44,2,R_Scores!$C$5:$C$44,"Paper condition",R_Scores!H$5:H$44,"&gt;=0"))-1)</f>
        <v/>
      </c>
    </row>
    <row r="52" customFormat="false" ht="14.25" hidden="false" customHeight="true" outlineLevel="0" collapsed="false">
      <c r="A52" s="6" t="s">
        <v>21</v>
      </c>
      <c r="B52" s="6" t="str">
        <f aca="false">IF(OR(Tasks!$G$6="No",Tasks!$F$6&lt;&gt;"Yes"),"",Tasks!E6&amp;"")</f>
        <v>Gate</v>
      </c>
      <c r="C52" s="6" t="str">
        <f aca="false">IF(OR(Tasks!$G$6="No",Tasks!$F$6&lt;&gt;"Yes"),"",Tasks!D6&amp;"")</f>
        <v>Derivation</v>
      </c>
      <c r="D52" s="6" t="n">
        <f aca="false">IF(OR(Tasks!$G$6="No",Tasks!$F$6&lt;&gt;"Yes"),"",COUNTIFS(R_Scores!$B$5:$B$44,1,R_Scores!$C$5:$C$44,"Tool condition",R_Scores!I$5:I$44,1))</f>
        <v>8</v>
      </c>
      <c r="E52" s="6" t="n">
        <f aca="false">IF(OR(Tasks!$G$6="No",Tasks!$F$6&lt;&gt;"Yes"),"",COUNTIFS(R_Scores!$B$5:$B$44,1,R_Scores!$C$5:$C$44,"Paper condition",R_Scores!I$5:I$44,1))</f>
        <v>5</v>
      </c>
      <c r="F52" s="6" t="n">
        <f aca="false">IF(OR(Tasks!$G$6="No",Tasks!$F$6&lt;&gt;"Yes"),"",COUNTIFS(R_Scores!$B$5:$B$44,2,R_Scores!$C$5:$C$44,"Tool condition",R_Scores!I$5:I$44,1))</f>
        <v>8</v>
      </c>
      <c r="G52" s="6" t="n">
        <f aca="false">IF(OR(Tasks!$G$6="No",Tasks!$F$6&lt;&gt;"Yes"),"",COUNTIFS(R_Scores!$B$5:$B$44,2,R_Scores!$C$5:$C$44,"Paper condition",R_Scores!I$5:I$44,1))</f>
        <v>8</v>
      </c>
      <c r="H52" s="8" t="n">
        <f aca="false">IF(OR(Tasks!$G$6="No",Tasks!$F$6&lt;&gt;"Yes"),"",IF(OR(COUNTIFS(R_Scores!$B$5:$B$44,1,R_Scores!$C$5:$C$44,"Tool condition",R_Scores!I$5:I$44,"&gt;=0")=0,COUNTIFS(R_Scores!$B$5:$B$44,1,R_Scores!$C$5:$C$44,"Paper condition",R_Scores!I$5:I$44,"&gt;=0")=0),"",SUM(Helper!CD$5:CD$44)))</f>
        <v>65</v>
      </c>
      <c r="I52" s="9" t="n">
        <f aca="false">IF(H52="","",IF(SQRT(COUNTIFS(R_Scores!$B$5:$B$44,1,R_Scores!$C$5:$C$44,"Tool condition",R_Scores!I$5:I$44,"&gt;=0")*COUNTIFS(R_Scores!$B$5:$B$44,1,R_Scores!$C$5:$C$44,"Paper condition",R_Scores!I$5:I$44,"&gt;=0")/12*(((COUNTIFS(R_Scores!$B$5:$B$44,1,R_Scores!$C$5:$C$44,"Tool condition",R_Scores!I$5:I$44,"&gt;=0")+COUNTIFS(R_Scores!$B$5:$B$44,1,R_Scores!$C$5:$C$44,"Paper condition",R_Scores!I$5:I$44,"&gt;=0"))+1)-SUM(Helper!CE$5:CE$44)/((COUNTIFS(R_Scores!$B$5:$B$44,1,R_Scores!$C$5:$C$44,"Tool condition",R_Scores!I$5:I$44,"&gt;=0")+COUNTIFS(R_Scores!$B$5:$B$44,1,R_Scores!$C$5:$C$44,"Paper condition",R_Scores!I$5:I$44,"&gt;=0"))*((COUNTIFS(R_Scores!$B$5:$B$44,1,R_Scores!$C$5:$C$44,"Tool condition",R_Scores!I$5:I$44,"&gt;=0")+COUNTIFS(R_Scores!$B$5:$B$44,1,R_Scores!$C$5:$C$44,"Paper condition",R_Scores!I$5:I$44,"&gt;=0"))-1))))=0,1,MIN(1,2*(1-NORMSDIST((ABS(H52-COUNTIFS(R_Scores!$B$5:$B$44,1,R_Scores!$C$5:$C$44,"Tool condition",R_Scores!I$5:I$44,"&gt;=0")*COUNTIFS(R_Scores!$B$5:$B$44,1,R_Scores!$C$5:$C$44,"Paper condition",R_Scores!I$5:I$44,"&gt;=0")/2)-0.5)/SQRT(COUNTIFS(R_Scores!$B$5:$B$44,1,R_Scores!$C$5:$C$44,"Tool condition",R_Scores!I$5:I$44,"&gt;=0")*COUNTIFS(R_Scores!$B$5:$B$44,1,R_Scores!$C$5:$C$44,"Paper condition",R_Scores!I$5:I$44,"&gt;=0")/12*(((COUNTIFS(R_Scores!$B$5:$B$44,1,R_Scores!$C$5:$C$44,"Tool condition",R_Scores!I$5:I$44,"&gt;=0")+COUNTIFS(R_Scores!$B$5:$B$44,1,R_Scores!$C$5:$C$44,"Paper condition",R_Scores!I$5:I$44,"&gt;=0"))+1)-SUM(Helper!CE$5:CE$44)/((COUNTIFS(R_Scores!$B$5:$B$44,1,R_Scores!$C$5:$C$44,"Tool condition",R_Scores!I$5:I$44,"&gt;=0")+COUNTIFS(R_Scores!$B$5:$B$44,1,R_Scores!$C$5:$C$44,"Paper condition",R_Scores!I$5:I$44,"&gt;=0"))*((COUNTIFS(R_Scores!$B$5:$B$44,1,R_Scores!$C$5:$C$44,"Tool condition",R_Scores!I$5:I$44,"&gt;=0")+COUNTIFS(R_Scores!$B$5:$B$44,1,R_Scores!$C$5:$C$44,"Paper condition",R_Scores!I$5:I$44,"&gt;=0"))-1)))))))))</f>
        <v>0.185132473355937</v>
      </c>
      <c r="J52" s="9" t="n">
        <f aca="false">IF(I52="","",INDEX(Helper!$L$100:$L$111,RANK(I52,Analysis!$I$48:$I$59,1)+COUNTIF(Analysis!$I$48:$I$59,I52)-1))</f>
        <v>0.721952544605646</v>
      </c>
      <c r="K52" s="7" t="n">
        <f aca="false">IF(H52="","",2*H52/(COUNTIFS(R_Scores!$B$5:$B$44,1,R_Scores!$C$5:$C$44,"Tool condition",R_Scores!I$5:I$44,"&gt;=0")*COUNTIFS(R_Scores!$B$5:$B$44,1,R_Scores!$C$5:$C$44,"Paper condition",R_Scores!I$5:I$44,"&gt;=0"))-1)</f>
        <v>0.3</v>
      </c>
      <c r="L52" s="8" t="n">
        <f aca="false">IF(OR(Tasks!$G$6="No",Tasks!$F$6&lt;&gt;"Yes"),"",IF(OR(COUNTIFS(R_Scores!$B$5:$B$44,2,R_Scores!$C$5:$C$44,"Tool condition",R_Scores!I$5:I$44,"&gt;=0")=0,COUNTIFS(R_Scores!$B$5:$B$44,2,R_Scores!$C$5:$C$44,"Paper condition",R_Scores!I$5:I$44,"&gt;=0")=0),"",SUM(Helper!CF$5:CF$44)))</f>
        <v>50</v>
      </c>
      <c r="M52" s="9" t="n">
        <f aca="false">IF(L52="","",IF(SQRT(COUNTIFS(R_Scores!$B$5:$B$44,2,R_Scores!$C$5:$C$44,"Tool condition",R_Scores!I$5:I$44,"&gt;=0")*COUNTIFS(R_Scores!$B$5:$B$44,2,R_Scores!$C$5:$C$44,"Paper condition",R_Scores!I$5:I$44,"&gt;=0")/12*(((COUNTIFS(R_Scores!$B$5:$B$44,2,R_Scores!$C$5:$C$44,"Tool condition",R_Scores!I$5:I$44,"&gt;=0")+COUNTIFS(R_Scores!$B$5:$B$44,2,R_Scores!$C$5:$C$44,"Paper condition",R_Scores!I$5:I$44,"&gt;=0"))+1)-SUM(Helper!CG$5:CG$44)/((COUNTIFS(R_Scores!$B$5:$B$44,2,R_Scores!$C$5:$C$44,"Tool condition",R_Scores!I$5:I$44,"&gt;=0")+COUNTIFS(R_Scores!$B$5:$B$44,2,R_Scores!$C$5:$C$44,"Paper condition",R_Scores!I$5:I$44,"&gt;=0"))*((COUNTIFS(R_Scores!$B$5:$B$44,2,R_Scores!$C$5:$C$44,"Tool condition",R_Scores!I$5:I$44,"&gt;=0")+COUNTIFS(R_Scores!$B$5:$B$44,2,R_Scores!$C$5:$C$44,"Paper condition",R_Scores!I$5:I$44,"&gt;=0"))-1))))=0,1,MIN(1,2*(1-NORMSDIST((ABS(L52-COUNTIFS(R_Scores!$B$5:$B$44,2,R_Scores!$C$5:$C$44,"Tool condition",R_Scores!I$5:I$44,"&gt;=0")*COUNTIFS(R_Scores!$B$5:$B$44,2,R_Scores!$C$5:$C$44,"Paper condition",R_Scores!I$5:I$44,"&gt;=0")/2)-0.5)/SQRT(COUNTIFS(R_Scores!$B$5:$B$44,2,R_Scores!$C$5:$C$44,"Tool condition",R_Scores!I$5:I$44,"&gt;=0")*COUNTIFS(R_Scores!$B$5:$B$44,2,R_Scores!$C$5:$C$44,"Paper condition",R_Scores!I$5:I$44,"&gt;=0")/12*(((COUNTIFS(R_Scores!$B$5:$B$44,2,R_Scores!$C$5:$C$44,"Tool condition",R_Scores!I$5:I$44,"&gt;=0")+COUNTIFS(R_Scores!$B$5:$B$44,2,R_Scores!$C$5:$C$44,"Paper condition",R_Scores!I$5:I$44,"&gt;=0"))+1)-SUM(Helper!CG$5:CG$44)/((COUNTIFS(R_Scores!$B$5:$B$44,2,R_Scores!$C$5:$C$44,"Tool condition",R_Scores!I$5:I$44,"&gt;=0")+COUNTIFS(R_Scores!$B$5:$B$44,2,R_Scores!$C$5:$C$44,"Paper condition",R_Scores!I$5:I$44,"&gt;=0"))*((COUNTIFS(R_Scores!$B$5:$B$44,2,R_Scores!$C$5:$C$44,"Tool condition",R_Scores!I$5:I$44,"&gt;=0")+COUNTIFS(R_Scores!$B$5:$B$44,2,R_Scores!$C$5:$C$44,"Paper condition",R_Scores!I$5:I$44,"&gt;=0"))-1)))))))))</f>
        <v>1</v>
      </c>
      <c r="N52" s="9" t="n">
        <f aca="false">IF(M52="","",INDEX(Helper!$P$100:$P$111,RANK(M52,Analysis!$M$48:$M$59,1)+COUNTIF(Analysis!$M$48:$M$59,M52)-1))</f>
        <v>1</v>
      </c>
      <c r="O52" s="7" t="n">
        <f aca="false">IF(L52="","",2*L52/(COUNTIFS(R_Scores!$B$5:$B$44,2,R_Scores!$C$5:$C$44,"Tool condition",R_Scores!I$5:I$44,"&gt;=0")*COUNTIFS(R_Scores!$B$5:$B$44,2,R_Scores!$C$5:$C$44,"Paper condition",R_Scores!I$5:I$44,"&gt;=0"))-1)</f>
        <v>0</v>
      </c>
    </row>
    <row r="53" customFormat="false" ht="14.25" hidden="false" customHeight="true" outlineLevel="0" collapsed="false">
      <c r="A53" s="6" t="s">
        <v>22</v>
      </c>
      <c r="B53" s="6" t="str">
        <f aca="false">IF(OR(Tasks!$G$7="No",Tasks!$F$7&lt;&gt;"Yes"),"",Tasks!E7&amp;"")</f>
        <v>Gate</v>
      </c>
      <c r="C53" s="6" t="str">
        <f aca="false">IF(OR(Tasks!$G$7="No",Tasks!$F$7&lt;&gt;"Yes"),"",Tasks!D7&amp;"")</f>
        <v>Code</v>
      </c>
      <c r="D53" s="6" t="n">
        <f aca="false">IF(OR(Tasks!$G$7="No",Tasks!$F$7&lt;&gt;"Yes"),"",COUNTIFS(R_Scores!$B$5:$B$44,1,R_Scores!$C$5:$C$44,"Tool condition",R_Scores!J$5:J$44,1))</f>
        <v>9</v>
      </c>
      <c r="E53" s="6" t="n">
        <f aca="false">IF(OR(Tasks!$G$7="No",Tasks!$F$7&lt;&gt;"Yes"),"",COUNTIFS(R_Scores!$B$5:$B$44,1,R_Scores!$C$5:$C$44,"Paper condition",R_Scores!J$5:J$44,1))</f>
        <v>6</v>
      </c>
      <c r="F53" s="6" t="n">
        <f aca="false">IF(OR(Tasks!$G$7="No",Tasks!$F$7&lt;&gt;"Yes"),"",COUNTIFS(R_Scores!$B$5:$B$44,2,R_Scores!$C$5:$C$44,"Tool condition",R_Scores!J$5:J$44,1))</f>
        <v>8</v>
      </c>
      <c r="G53" s="6" t="n">
        <f aca="false">IF(OR(Tasks!$G$7="No",Tasks!$F$7&lt;&gt;"Yes"),"",COUNTIFS(R_Scores!$B$5:$B$44,2,R_Scores!$C$5:$C$44,"Paper condition",R_Scores!J$5:J$44,1))</f>
        <v>6</v>
      </c>
      <c r="H53" s="8" t="n">
        <f aca="false">IF(OR(Tasks!$G$7="No",Tasks!$F$7&lt;&gt;"Yes"),"",IF(OR(COUNTIFS(R_Scores!$B$5:$B$44,1,R_Scores!$C$5:$C$44,"Tool condition",R_Scores!J$5:J$44,"&gt;=0")=0,COUNTIFS(R_Scores!$B$5:$B$44,1,R_Scores!$C$5:$C$44,"Paper condition",R_Scores!J$5:J$44,"&gt;=0")=0),"",SUM(Helper!CI$5:CI$44)))</f>
        <v>65</v>
      </c>
      <c r="I53" s="9" t="n">
        <f aca="false">IF(H53="","",IF(SQRT(COUNTIFS(R_Scores!$B$5:$B$44,1,R_Scores!$C$5:$C$44,"Tool condition",R_Scores!J$5:J$44,"&gt;=0")*COUNTIFS(R_Scores!$B$5:$B$44,1,R_Scores!$C$5:$C$44,"Paper condition",R_Scores!J$5:J$44,"&gt;=0")/12*(((COUNTIFS(R_Scores!$B$5:$B$44,1,R_Scores!$C$5:$C$44,"Tool condition",R_Scores!J$5:J$44,"&gt;=0")+COUNTIFS(R_Scores!$B$5:$B$44,1,R_Scores!$C$5:$C$44,"Paper condition",R_Scores!J$5:J$44,"&gt;=0"))+1)-SUM(Helper!CJ$5:CJ$44)/((COUNTIFS(R_Scores!$B$5:$B$44,1,R_Scores!$C$5:$C$44,"Tool condition",R_Scores!J$5:J$44,"&gt;=0")+COUNTIFS(R_Scores!$B$5:$B$44,1,R_Scores!$C$5:$C$44,"Paper condition",R_Scores!J$5:J$44,"&gt;=0"))*((COUNTIFS(R_Scores!$B$5:$B$44,1,R_Scores!$C$5:$C$44,"Tool condition",R_Scores!J$5:J$44,"&gt;=0")+COUNTIFS(R_Scores!$B$5:$B$44,1,R_Scores!$C$5:$C$44,"Paper condition",R_Scores!J$5:J$44,"&gt;=0"))-1))))=0,1,MIN(1,2*(1-NORMSDIST((ABS(H53-COUNTIFS(R_Scores!$B$5:$B$44,1,R_Scores!$C$5:$C$44,"Tool condition",R_Scores!J$5:J$44,"&gt;=0")*COUNTIFS(R_Scores!$B$5:$B$44,1,R_Scores!$C$5:$C$44,"Paper condition",R_Scores!J$5:J$44,"&gt;=0")/2)-0.5)/SQRT(COUNTIFS(R_Scores!$B$5:$B$44,1,R_Scores!$C$5:$C$44,"Tool condition",R_Scores!J$5:J$44,"&gt;=0")*COUNTIFS(R_Scores!$B$5:$B$44,1,R_Scores!$C$5:$C$44,"Paper condition",R_Scores!J$5:J$44,"&gt;=0")/12*(((COUNTIFS(R_Scores!$B$5:$B$44,1,R_Scores!$C$5:$C$44,"Tool condition",R_Scores!J$5:J$44,"&gt;=0")+COUNTIFS(R_Scores!$B$5:$B$44,1,R_Scores!$C$5:$C$44,"Paper condition",R_Scores!J$5:J$44,"&gt;=0"))+1)-SUM(Helper!CJ$5:CJ$44)/((COUNTIFS(R_Scores!$B$5:$B$44,1,R_Scores!$C$5:$C$44,"Tool condition",R_Scores!J$5:J$44,"&gt;=0")+COUNTIFS(R_Scores!$B$5:$B$44,1,R_Scores!$C$5:$C$44,"Paper condition",R_Scores!J$5:J$44,"&gt;=0"))*((COUNTIFS(R_Scores!$B$5:$B$44,1,R_Scores!$C$5:$C$44,"Tool condition",R_Scores!J$5:J$44,"&gt;=0")+COUNTIFS(R_Scores!$B$5:$B$44,1,R_Scores!$C$5:$C$44,"Paper condition",R_Scores!J$5:J$44,"&gt;=0"))-1)))))))))</f>
        <v>0.144390508921129</v>
      </c>
      <c r="J53" s="9" t="n">
        <f aca="false">IF(I53="","",INDEX(Helper!$L$100:$L$111,RANK(I53,Analysis!$I$48:$I$59,1)+COUNTIF(Analysis!$I$48:$I$59,I53)-1))</f>
        <v>0.721952544605646</v>
      </c>
      <c r="K53" s="7" t="n">
        <f aca="false">IF(H53="","",2*H53/(COUNTIFS(R_Scores!$B$5:$B$44,1,R_Scores!$C$5:$C$44,"Tool condition",R_Scores!J$5:J$44,"&gt;=0")*COUNTIFS(R_Scores!$B$5:$B$44,1,R_Scores!$C$5:$C$44,"Paper condition",R_Scores!J$5:J$44,"&gt;=0"))-1)</f>
        <v>0.3</v>
      </c>
      <c r="L53" s="8" t="n">
        <f aca="false">IF(OR(Tasks!$G$7="No",Tasks!$F$7&lt;&gt;"Yes"),"",IF(OR(COUNTIFS(R_Scores!$B$5:$B$44,2,R_Scores!$C$5:$C$44,"Tool condition",R_Scores!J$5:J$44,"&gt;=0")=0,COUNTIFS(R_Scores!$B$5:$B$44,2,R_Scores!$C$5:$C$44,"Paper condition",R_Scores!J$5:J$44,"&gt;=0")=0),"",SUM(Helper!CK$5:CK$44)))</f>
        <v>60</v>
      </c>
      <c r="M53" s="9" t="n">
        <f aca="false">IF(L53="","",IF(SQRT(COUNTIFS(R_Scores!$B$5:$B$44,2,R_Scores!$C$5:$C$44,"Tool condition",R_Scores!J$5:J$44,"&gt;=0")*COUNTIFS(R_Scores!$B$5:$B$44,2,R_Scores!$C$5:$C$44,"Paper condition",R_Scores!J$5:J$44,"&gt;=0")/12*(((COUNTIFS(R_Scores!$B$5:$B$44,2,R_Scores!$C$5:$C$44,"Tool condition",R_Scores!J$5:J$44,"&gt;=0")+COUNTIFS(R_Scores!$B$5:$B$44,2,R_Scores!$C$5:$C$44,"Paper condition",R_Scores!J$5:J$44,"&gt;=0"))+1)-SUM(Helper!CL$5:CL$44)/((COUNTIFS(R_Scores!$B$5:$B$44,2,R_Scores!$C$5:$C$44,"Tool condition",R_Scores!J$5:J$44,"&gt;=0")+COUNTIFS(R_Scores!$B$5:$B$44,2,R_Scores!$C$5:$C$44,"Paper condition",R_Scores!J$5:J$44,"&gt;=0"))*((COUNTIFS(R_Scores!$B$5:$B$44,2,R_Scores!$C$5:$C$44,"Tool condition",R_Scores!J$5:J$44,"&gt;=0")+COUNTIFS(R_Scores!$B$5:$B$44,2,R_Scores!$C$5:$C$44,"Paper condition",R_Scores!J$5:J$44,"&gt;=0"))-1))))=0,1,MIN(1,2*(1-NORMSDIST((ABS(L53-COUNTIFS(R_Scores!$B$5:$B$44,2,R_Scores!$C$5:$C$44,"Tool condition",R_Scores!J$5:J$44,"&gt;=0")*COUNTIFS(R_Scores!$B$5:$B$44,2,R_Scores!$C$5:$C$44,"Paper condition",R_Scores!J$5:J$44,"&gt;=0")/2)-0.5)/SQRT(COUNTIFS(R_Scores!$B$5:$B$44,2,R_Scores!$C$5:$C$44,"Tool condition",R_Scores!J$5:J$44,"&gt;=0")*COUNTIFS(R_Scores!$B$5:$B$44,2,R_Scores!$C$5:$C$44,"Paper condition",R_Scores!J$5:J$44,"&gt;=0")/12*(((COUNTIFS(R_Scores!$B$5:$B$44,2,R_Scores!$C$5:$C$44,"Tool condition",R_Scores!J$5:J$44,"&gt;=0")+COUNTIFS(R_Scores!$B$5:$B$44,2,R_Scores!$C$5:$C$44,"Paper condition",R_Scores!J$5:J$44,"&gt;=0"))+1)-SUM(Helper!CL$5:CL$44)/((COUNTIFS(R_Scores!$B$5:$B$44,2,R_Scores!$C$5:$C$44,"Tool condition",R_Scores!J$5:J$44,"&gt;=0")+COUNTIFS(R_Scores!$B$5:$B$44,2,R_Scores!$C$5:$C$44,"Paper condition",R_Scores!J$5:J$44,"&gt;=0"))*((COUNTIFS(R_Scores!$B$5:$B$44,2,R_Scores!$C$5:$C$44,"Tool condition",R_Scores!J$5:J$44,"&gt;=0")+COUNTIFS(R_Scores!$B$5:$B$44,2,R_Scores!$C$5:$C$44,"Paper condition",R_Scores!J$5:J$44,"&gt;=0"))-1)))))))))</f>
        <v>0.366191498368196</v>
      </c>
      <c r="N53" s="9" t="n">
        <f aca="false">IF(M53="","",INDEX(Helper!$P$100:$P$111,RANK(M53,Analysis!$M$48:$M$59,1)+COUNTIF(Analysis!$M$48:$M$59,M53)-1))</f>
        <v>1</v>
      </c>
      <c r="O53" s="7" t="n">
        <f aca="false">IF(L53="","",2*L53/(COUNTIFS(R_Scores!$B$5:$B$44,2,R_Scores!$C$5:$C$44,"Tool condition",R_Scores!J$5:J$44,"&gt;=0")*COUNTIFS(R_Scores!$B$5:$B$44,2,R_Scores!$C$5:$C$44,"Paper condition",R_Scores!J$5:J$44,"&gt;=0"))-1)</f>
        <v>0.2</v>
      </c>
    </row>
    <row r="54" customFormat="false" ht="14.25" hidden="false" customHeight="true" outlineLevel="0" collapsed="false">
      <c r="A54" s="6" t="s">
        <v>23</v>
      </c>
      <c r="B54" s="6" t="str">
        <f aca="false">IF(OR(Tasks!$G$8="No",Tasks!$F$8&lt;&gt;"Yes"),"",Tasks!E8&amp;"")</f>
        <v/>
      </c>
      <c r="C54" s="6" t="str">
        <f aca="false">IF(OR(Tasks!$G$8="No",Tasks!$F$8&lt;&gt;"Yes"),"",Tasks!D8&amp;"")</f>
        <v/>
      </c>
      <c r="D54" s="6" t="str">
        <f aca="false">IF(OR(Tasks!$G$8="No",Tasks!$F$8&lt;&gt;"Yes"),"",COUNTIFS(R_Scores!$B$5:$B$44,1,R_Scores!$C$5:$C$44,"Tool condition",R_Scores!K$5:K$44,1))</f>
        <v/>
      </c>
      <c r="E54" s="6" t="str">
        <f aca="false">IF(OR(Tasks!$G$8="No",Tasks!$F$8&lt;&gt;"Yes"),"",COUNTIFS(R_Scores!$B$5:$B$44,1,R_Scores!$C$5:$C$44,"Paper condition",R_Scores!K$5:K$44,1))</f>
        <v/>
      </c>
      <c r="F54" s="6" t="str">
        <f aca="false">IF(OR(Tasks!$G$8="No",Tasks!$F$8&lt;&gt;"Yes"),"",COUNTIFS(R_Scores!$B$5:$B$44,2,R_Scores!$C$5:$C$44,"Tool condition",R_Scores!K$5:K$44,1))</f>
        <v/>
      </c>
      <c r="G54" s="6" t="str">
        <f aca="false">IF(OR(Tasks!$G$8="No",Tasks!$F$8&lt;&gt;"Yes"),"",COUNTIFS(R_Scores!$B$5:$B$44,2,R_Scores!$C$5:$C$44,"Paper condition",R_Scores!K$5:K$44,1))</f>
        <v/>
      </c>
      <c r="H54" s="8" t="str">
        <f aca="false">IF(OR(Tasks!$G$8="No",Tasks!$F$8&lt;&gt;"Yes"),"",IF(OR(COUNTIFS(R_Scores!$B$5:$B$44,1,R_Scores!$C$5:$C$44,"Tool condition",R_Scores!K$5:K$44,"&gt;=0")=0,COUNTIFS(R_Scores!$B$5:$B$44,1,R_Scores!$C$5:$C$44,"Paper condition",R_Scores!K$5:K$44,"&gt;=0")=0),"",SUM(Helper!CN$5:CN$44)))</f>
        <v/>
      </c>
      <c r="I54" s="9" t="str">
        <f aca="false">IF(H54="","",IF(SQRT(COUNTIFS(R_Scores!$B$5:$B$44,1,R_Scores!$C$5:$C$44,"Tool condition",R_Scores!K$5:K$44,"&gt;=0")*COUNTIFS(R_Scores!$B$5:$B$44,1,R_Scores!$C$5:$C$44,"Paper condition",R_Scores!K$5:K$44,"&gt;=0")/12*(((COUNTIFS(R_Scores!$B$5:$B$44,1,R_Scores!$C$5:$C$44,"Tool condition",R_Scores!K$5:K$44,"&gt;=0")+COUNTIFS(R_Scores!$B$5:$B$44,1,R_Scores!$C$5:$C$44,"Paper condition",R_Scores!K$5:K$44,"&gt;=0"))+1)-SUM(Helper!CO$5:CO$44)/((COUNTIFS(R_Scores!$B$5:$B$44,1,R_Scores!$C$5:$C$44,"Tool condition",R_Scores!K$5:K$44,"&gt;=0")+COUNTIFS(R_Scores!$B$5:$B$44,1,R_Scores!$C$5:$C$44,"Paper condition",R_Scores!K$5:K$44,"&gt;=0"))*((COUNTIFS(R_Scores!$B$5:$B$44,1,R_Scores!$C$5:$C$44,"Tool condition",R_Scores!K$5:K$44,"&gt;=0")+COUNTIFS(R_Scores!$B$5:$B$44,1,R_Scores!$C$5:$C$44,"Paper condition",R_Scores!K$5:K$44,"&gt;=0"))-1))))=0,1,MIN(1,2*(1-NORMSDIST((ABS(H54-COUNTIFS(R_Scores!$B$5:$B$44,1,R_Scores!$C$5:$C$44,"Tool condition",R_Scores!K$5:K$44,"&gt;=0")*COUNTIFS(R_Scores!$B$5:$B$44,1,R_Scores!$C$5:$C$44,"Paper condition",R_Scores!K$5:K$44,"&gt;=0")/2)-0.5)/SQRT(COUNTIFS(R_Scores!$B$5:$B$44,1,R_Scores!$C$5:$C$44,"Tool condition",R_Scores!K$5:K$44,"&gt;=0")*COUNTIFS(R_Scores!$B$5:$B$44,1,R_Scores!$C$5:$C$44,"Paper condition",R_Scores!K$5:K$44,"&gt;=0")/12*(((COUNTIFS(R_Scores!$B$5:$B$44,1,R_Scores!$C$5:$C$44,"Tool condition",R_Scores!K$5:K$44,"&gt;=0")+COUNTIFS(R_Scores!$B$5:$B$44,1,R_Scores!$C$5:$C$44,"Paper condition",R_Scores!K$5:K$44,"&gt;=0"))+1)-SUM(Helper!CO$5:CO$44)/((COUNTIFS(R_Scores!$B$5:$B$44,1,R_Scores!$C$5:$C$44,"Tool condition",R_Scores!K$5:K$44,"&gt;=0")+COUNTIFS(R_Scores!$B$5:$B$44,1,R_Scores!$C$5:$C$44,"Paper condition",R_Scores!K$5:K$44,"&gt;=0"))*((COUNTIFS(R_Scores!$B$5:$B$44,1,R_Scores!$C$5:$C$44,"Tool condition",R_Scores!K$5:K$44,"&gt;=0")+COUNTIFS(R_Scores!$B$5:$B$44,1,R_Scores!$C$5:$C$44,"Paper condition",R_Scores!K$5:K$44,"&gt;=0"))-1)))))))))</f>
        <v/>
      </c>
      <c r="J54" s="9" t="str">
        <f aca="false">IF(I54="","",INDEX(Helper!$L$100:$L$111,RANK(I54,Analysis!$I$48:$I$59,1)+COUNTIF(Analysis!$I$48:$I$59,I54)-1))</f>
        <v/>
      </c>
      <c r="K54" s="7" t="str">
        <f aca="false">IF(H54="","",2*H54/(COUNTIFS(R_Scores!$B$5:$B$44,1,R_Scores!$C$5:$C$44,"Tool condition",R_Scores!K$5:K$44,"&gt;=0")*COUNTIFS(R_Scores!$B$5:$B$44,1,R_Scores!$C$5:$C$44,"Paper condition",R_Scores!K$5:K$44,"&gt;=0"))-1)</f>
        <v/>
      </c>
      <c r="L54" s="8" t="str">
        <f aca="false">IF(OR(Tasks!$G$8="No",Tasks!$F$8&lt;&gt;"Yes"),"",IF(OR(COUNTIFS(R_Scores!$B$5:$B$44,2,R_Scores!$C$5:$C$44,"Tool condition",R_Scores!K$5:K$44,"&gt;=0")=0,COUNTIFS(R_Scores!$B$5:$B$44,2,R_Scores!$C$5:$C$44,"Paper condition",R_Scores!K$5:K$44,"&gt;=0")=0),"",SUM(Helper!CP$5:CP$44)))</f>
        <v/>
      </c>
      <c r="M54" s="9" t="str">
        <f aca="false">IF(L54="","",IF(SQRT(COUNTIFS(R_Scores!$B$5:$B$44,2,R_Scores!$C$5:$C$44,"Tool condition",R_Scores!K$5:K$44,"&gt;=0")*COUNTIFS(R_Scores!$B$5:$B$44,2,R_Scores!$C$5:$C$44,"Paper condition",R_Scores!K$5:K$44,"&gt;=0")/12*(((COUNTIFS(R_Scores!$B$5:$B$44,2,R_Scores!$C$5:$C$44,"Tool condition",R_Scores!K$5:K$44,"&gt;=0")+COUNTIFS(R_Scores!$B$5:$B$44,2,R_Scores!$C$5:$C$44,"Paper condition",R_Scores!K$5:K$44,"&gt;=0"))+1)-SUM(Helper!CQ$5:CQ$44)/((COUNTIFS(R_Scores!$B$5:$B$44,2,R_Scores!$C$5:$C$44,"Tool condition",R_Scores!K$5:K$44,"&gt;=0")+COUNTIFS(R_Scores!$B$5:$B$44,2,R_Scores!$C$5:$C$44,"Paper condition",R_Scores!K$5:K$44,"&gt;=0"))*((COUNTIFS(R_Scores!$B$5:$B$44,2,R_Scores!$C$5:$C$44,"Tool condition",R_Scores!K$5:K$44,"&gt;=0")+COUNTIFS(R_Scores!$B$5:$B$44,2,R_Scores!$C$5:$C$44,"Paper condition",R_Scores!K$5:K$44,"&gt;=0"))-1))))=0,1,MIN(1,2*(1-NORMSDIST((ABS(L54-COUNTIFS(R_Scores!$B$5:$B$44,2,R_Scores!$C$5:$C$44,"Tool condition",R_Scores!K$5:K$44,"&gt;=0")*COUNTIFS(R_Scores!$B$5:$B$44,2,R_Scores!$C$5:$C$44,"Paper condition",R_Scores!K$5:K$44,"&gt;=0")/2)-0.5)/SQRT(COUNTIFS(R_Scores!$B$5:$B$44,2,R_Scores!$C$5:$C$44,"Tool condition",R_Scores!K$5:K$44,"&gt;=0")*COUNTIFS(R_Scores!$B$5:$B$44,2,R_Scores!$C$5:$C$44,"Paper condition",R_Scores!K$5:K$44,"&gt;=0")/12*(((COUNTIFS(R_Scores!$B$5:$B$44,2,R_Scores!$C$5:$C$44,"Tool condition",R_Scores!K$5:K$44,"&gt;=0")+COUNTIFS(R_Scores!$B$5:$B$44,2,R_Scores!$C$5:$C$44,"Paper condition",R_Scores!K$5:K$44,"&gt;=0"))+1)-SUM(Helper!CQ$5:CQ$44)/((COUNTIFS(R_Scores!$B$5:$B$44,2,R_Scores!$C$5:$C$44,"Tool condition",R_Scores!K$5:K$44,"&gt;=0")+COUNTIFS(R_Scores!$B$5:$B$44,2,R_Scores!$C$5:$C$44,"Paper condition",R_Scores!K$5:K$44,"&gt;=0"))*((COUNTIFS(R_Scores!$B$5:$B$44,2,R_Scores!$C$5:$C$44,"Tool condition",R_Scores!K$5:K$44,"&gt;=0")+COUNTIFS(R_Scores!$B$5:$B$44,2,R_Scores!$C$5:$C$44,"Paper condition",R_Scores!K$5:K$44,"&gt;=0"))-1)))))))))</f>
        <v/>
      </c>
      <c r="N54" s="9" t="str">
        <f aca="false">IF(M54="","",INDEX(Helper!$P$100:$P$111,RANK(M54,Analysis!$M$48:$M$59,1)+COUNTIF(Analysis!$M$48:$M$59,M54)-1))</f>
        <v/>
      </c>
      <c r="O54" s="7" t="str">
        <f aca="false">IF(L54="","",2*L54/(COUNTIFS(R_Scores!$B$5:$B$44,2,R_Scores!$C$5:$C$44,"Tool condition",R_Scores!K$5:K$44,"&gt;=0")*COUNTIFS(R_Scores!$B$5:$B$44,2,R_Scores!$C$5:$C$44,"Paper condition",R_Scores!K$5:K$44,"&gt;=0"))-1)</f>
        <v/>
      </c>
    </row>
    <row r="55" customFormat="false" ht="14.25" hidden="false" customHeight="true" outlineLevel="0" collapsed="false">
      <c r="A55" s="6" t="s">
        <v>24</v>
      </c>
      <c r="B55" s="6" t="str">
        <f aca="false">IF(OR(Tasks!$G$9="No",Tasks!$F$9&lt;&gt;"Yes"),"",Tasks!E9&amp;"")</f>
        <v/>
      </c>
      <c r="C55" s="6" t="str">
        <f aca="false">IF(OR(Tasks!$G$9="No",Tasks!$F$9&lt;&gt;"Yes"),"",Tasks!D9&amp;"")</f>
        <v/>
      </c>
      <c r="D55" s="6" t="str">
        <f aca="false">IF(OR(Tasks!$G$9="No",Tasks!$F$9&lt;&gt;"Yes"),"",COUNTIFS(R_Scores!$B$5:$B$44,1,R_Scores!$C$5:$C$44,"Tool condition",R_Scores!L$5:L$44,1))</f>
        <v/>
      </c>
      <c r="E55" s="6" t="str">
        <f aca="false">IF(OR(Tasks!$G$9="No",Tasks!$F$9&lt;&gt;"Yes"),"",COUNTIFS(R_Scores!$B$5:$B$44,1,R_Scores!$C$5:$C$44,"Paper condition",R_Scores!L$5:L$44,1))</f>
        <v/>
      </c>
      <c r="F55" s="6" t="str">
        <f aca="false">IF(OR(Tasks!$G$9="No",Tasks!$F$9&lt;&gt;"Yes"),"",COUNTIFS(R_Scores!$B$5:$B$44,2,R_Scores!$C$5:$C$44,"Tool condition",R_Scores!L$5:L$44,1))</f>
        <v/>
      </c>
      <c r="G55" s="6" t="str">
        <f aca="false">IF(OR(Tasks!$G$9="No",Tasks!$F$9&lt;&gt;"Yes"),"",COUNTIFS(R_Scores!$B$5:$B$44,2,R_Scores!$C$5:$C$44,"Paper condition",R_Scores!L$5:L$44,1))</f>
        <v/>
      </c>
      <c r="H55" s="8" t="str">
        <f aca="false">IF(OR(Tasks!$G$9="No",Tasks!$F$9&lt;&gt;"Yes"),"",IF(OR(COUNTIFS(R_Scores!$B$5:$B$44,1,R_Scores!$C$5:$C$44,"Tool condition",R_Scores!L$5:L$44,"&gt;=0")=0,COUNTIFS(R_Scores!$B$5:$B$44,1,R_Scores!$C$5:$C$44,"Paper condition",R_Scores!L$5:L$44,"&gt;=0")=0),"",SUM(Helper!CS$5:CS$44)))</f>
        <v/>
      </c>
      <c r="I55" s="9" t="str">
        <f aca="false">IF(H55="","",IF(SQRT(COUNTIFS(R_Scores!$B$5:$B$44,1,R_Scores!$C$5:$C$44,"Tool condition",R_Scores!L$5:L$44,"&gt;=0")*COUNTIFS(R_Scores!$B$5:$B$44,1,R_Scores!$C$5:$C$44,"Paper condition",R_Scores!L$5:L$44,"&gt;=0")/12*(((COUNTIFS(R_Scores!$B$5:$B$44,1,R_Scores!$C$5:$C$44,"Tool condition",R_Scores!L$5:L$44,"&gt;=0")+COUNTIFS(R_Scores!$B$5:$B$44,1,R_Scores!$C$5:$C$44,"Paper condition",R_Scores!L$5:L$44,"&gt;=0"))+1)-SUM(Helper!CT$5:CT$44)/((COUNTIFS(R_Scores!$B$5:$B$44,1,R_Scores!$C$5:$C$44,"Tool condition",R_Scores!L$5:L$44,"&gt;=0")+COUNTIFS(R_Scores!$B$5:$B$44,1,R_Scores!$C$5:$C$44,"Paper condition",R_Scores!L$5:L$44,"&gt;=0"))*((COUNTIFS(R_Scores!$B$5:$B$44,1,R_Scores!$C$5:$C$44,"Tool condition",R_Scores!L$5:L$44,"&gt;=0")+COUNTIFS(R_Scores!$B$5:$B$44,1,R_Scores!$C$5:$C$44,"Paper condition",R_Scores!L$5:L$44,"&gt;=0"))-1))))=0,1,MIN(1,2*(1-NORMSDIST((ABS(H55-COUNTIFS(R_Scores!$B$5:$B$44,1,R_Scores!$C$5:$C$44,"Tool condition",R_Scores!L$5:L$44,"&gt;=0")*COUNTIFS(R_Scores!$B$5:$B$44,1,R_Scores!$C$5:$C$44,"Paper condition",R_Scores!L$5:L$44,"&gt;=0")/2)-0.5)/SQRT(COUNTIFS(R_Scores!$B$5:$B$44,1,R_Scores!$C$5:$C$44,"Tool condition",R_Scores!L$5:L$44,"&gt;=0")*COUNTIFS(R_Scores!$B$5:$B$44,1,R_Scores!$C$5:$C$44,"Paper condition",R_Scores!L$5:L$44,"&gt;=0")/12*(((COUNTIFS(R_Scores!$B$5:$B$44,1,R_Scores!$C$5:$C$44,"Tool condition",R_Scores!L$5:L$44,"&gt;=0")+COUNTIFS(R_Scores!$B$5:$B$44,1,R_Scores!$C$5:$C$44,"Paper condition",R_Scores!L$5:L$44,"&gt;=0"))+1)-SUM(Helper!CT$5:CT$44)/((COUNTIFS(R_Scores!$B$5:$B$44,1,R_Scores!$C$5:$C$44,"Tool condition",R_Scores!L$5:L$44,"&gt;=0")+COUNTIFS(R_Scores!$B$5:$B$44,1,R_Scores!$C$5:$C$44,"Paper condition",R_Scores!L$5:L$44,"&gt;=0"))*((COUNTIFS(R_Scores!$B$5:$B$44,1,R_Scores!$C$5:$C$44,"Tool condition",R_Scores!L$5:L$44,"&gt;=0")+COUNTIFS(R_Scores!$B$5:$B$44,1,R_Scores!$C$5:$C$44,"Paper condition",R_Scores!L$5:L$44,"&gt;=0"))-1)))))))))</f>
        <v/>
      </c>
      <c r="J55" s="9" t="str">
        <f aca="false">IF(I55="","",INDEX(Helper!$L$100:$L$111,RANK(I55,Analysis!$I$48:$I$59,1)+COUNTIF(Analysis!$I$48:$I$59,I55)-1))</f>
        <v/>
      </c>
      <c r="K55" s="7" t="str">
        <f aca="false">IF(H55="","",2*H55/(COUNTIFS(R_Scores!$B$5:$B$44,1,R_Scores!$C$5:$C$44,"Tool condition",R_Scores!L$5:L$44,"&gt;=0")*COUNTIFS(R_Scores!$B$5:$B$44,1,R_Scores!$C$5:$C$44,"Paper condition",R_Scores!L$5:L$44,"&gt;=0"))-1)</f>
        <v/>
      </c>
      <c r="L55" s="8" t="str">
        <f aca="false">IF(OR(Tasks!$G$9="No",Tasks!$F$9&lt;&gt;"Yes"),"",IF(OR(COUNTIFS(R_Scores!$B$5:$B$44,2,R_Scores!$C$5:$C$44,"Tool condition",R_Scores!L$5:L$44,"&gt;=0")=0,COUNTIFS(R_Scores!$B$5:$B$44,2,R_Scores!$C$5:$C$44,"Paper condition",R_Scores!L$5:L$44,"&gt;=0")=0),"",SUM(Helper!CU$5:CU$44)))</f>
        <v/>
      </c>
      <c r="M55" s="9" t="str">
        <f aca="false">IF(L55="","",IF(SQRT(COUNTIFS(R_Scores!$B$5:$B$44,2,R_Scores!$C$5:$C$44,"Tool condition",R_Scores!L$5:L$44,"&gt;=0")*COUNTIFS(R_Scores!$B$5:$B$44,2,R_Scores!$C$5:$C$44,"Paper condition",R_Scores!L$5:L$44,"&gt;=0")/12*(((COUNTIFS(R_Scores!$B$5:$B$44,2,R_Scores!$C$5:$C$44,"Tool condition",R_Scores!L$5:L$44,"&gt;=0")+COUNTIFS(R_Scores!$B$5:$B$44,2,R_Scores!$C$5:$C$44,"Paper condition",R_Scores!L$5:L$44,"&gt;=0"))+1)-SUM(Helper!CV$5:CV$44)/((COUNTIFS(R_Scores!$B$5:$B$44,2,R_Scores!$C$5:$C$44,"Tool condition",R_Scores!L$5:L$44,"&gt;=0")+COUNTIFS(R_Scores!$B$5:$B$44,2,R_Scores!$C$5:$C$44,"Paper condition",R_Scores!L$5:L$44,"&gt;=0"))*((COUNTIFS(R_Scores!$B$5:$B$44,2,R_Scores!$C$5:$C$44,"Tool condition",R_Scores!L$5:L$44,"&gt;=0")+COUNTIFS(R_Scores!$B$5:$B$44,2,R_Scores!$C$5:$C$44,"Paper condition",R_Scores!L$5:L$44,"&gt;=0"))-1))))=0,1,MIN(1,2*(1-NORMSDIST((ABS(L55-COUNTIFS(R_Scores!$B$5:$B$44,2,R_Scores!$C$5:$C$44,"Tool condition",R_Scores!L$5:L$44,"&gt;=0")*COUNTIFS(R_Scores!$B$5:$B$44,2,R_Scores!$C$5:$C$44,"Paper condition",R_Scores!L$5:L$44,"&gt;=0")/2)-0.5)/SQRT(COUNTIFS(R_Scores!$B$5:$B$44,2,R_Scores!$C$5:$C$44,"Tool condition",R_Scores!L$5:L$44,"&gt;=0")*COUNTIFS(R_Scores!$B$5:$B$44,2,R_Scores!$C$5:$C$44,"Paper condition",R_Scores!L$5:L$44,"&gt;=0")/12*(((COUNTIFS(R_Scores!$B$5:$B$44,2,R_Scores!$C$5:$C$44,"Tool condition",R_Scores!L$5:L$44,"&gt;=0")+COUNTIFS(R_Scores!$B$5:$B$44,2,R_Scores!$C$5:$C$44,"Paper condition",R_Scores!L$5:L$44,"&gt;=0"))+1)-SUM(Helper!CV$5:CV$44)/((COUNTIFS(R_Scores!$B$5:$B$44,2,R_Scores!$C$5:$C$44,"Tool condition",R_Scores!L$5:L$44,"&gt;=0")+COUNTIFS(R_Scores!$B$5:$B$44,2,R_Scores!$C$5:$C$44,"Paper condition",R_Scores!L$5:L$44,"&gt;=0"))*((COUNTIFS(R_Scores!$B$5:$B$44,2,R_Scores!$C$5:$C$44,"Tool condition",R_Scores!L$5:L$44,"&gt;=0")+COUNTIFS(R_Scores!$B$5:$B$44,2,R_Scores!$C$5:$C$44,"Paper condition",R_Scores!L$5:L$44,"&gt;=0"))-1)))))))))</f>
        <v/>
      </c>
      <c r="N55" s="9" t="str">
        <f aca="false">IF(M55="","",INDEX(Helper!$P$100:$P$111,RANK(M55,Analysis!$M$48:$M$59,1)+COUNTIF(Analysis!$M$48:$M$59,M55)-1))</f>
        <v/>
      </c>
      <c r="O55" s="7" t="str">
        <f aca="false">IF(L55="","",2*L55/(COUNTIFS(R_Scores!$B$5:$B$44,2,R_Scores!$C$5:$C$44,"Tool condition",R_Scores!L$5:L$44,"&gt;=0")*COUNTIFS(R_Scores!$B$5:$B$44,2,R_Scores!$C$5:$C$44,"Paper condition",R_Scores!L$5:L$44,"&gt;=0"))-1)</f>
        <v/>
      </c>
    </row>
    <row r="56" customFormat="false" ht="14.25" hidden="false" customHeight="true" outlineLevel="0" collapsed="false">
      <c r="A56" s="6" t="s">
        <v>25</v>
      </c>
      <c r="B56" s="6" t="str">
        <f aca="false">IF(OR(Tasks!$G$10="No",Tasks!$F$10&lt;&gt;"Yes"),"",Tasks!E10&amp;"")</f>
        <v/>
      </c>
      <c r="C56" s="6" t="str">
        <f aca="false">IF(OR(Tasks!$G$10="No",Tasks!$F$10&lt;&gt;"Yes"),"",Tasks!D10&amp;"")</f>
        <v/>
      </c>
      <c r="D56" s="6" t="str">
        <f aca="false">IF(OR(Tasks!$G$10="No",Tasks!$F$10&lt;&gt;"Yes"),"",COUNTIFS(R_Scores!$B$5:$B$44,1,R_Scores!$C$5:$C$44,"Tool condition",R_Scores!M$5:M$44,1))</f>
        <v/>
      </c>
      <c r="E56" s="6" t="str">
        <f aca="false">IF(OR(Tasks!$G$10="No",Tasks!$F$10&lt;&gt;"Yes"),"",COUNTIFS(R_Scores!$B$5:$B$44,1,R_Scores!$C$5:$C$44,"Paper condition",R_Scores!M$5:M$44,1))</f>
        <v/>
      </c>
      <c r="F56" s="6" t="str">
        <f aca="false">IF(OR(Tasks!$G$10="No",Tasks!$F$10&lt;&gt;"Yes"),"",COUNTIFS(R_Scores!$B$5:$B$44,2,R_Scores!$C$5:$C$44,"Tool condition",R_Scores!M$5:M$44,1))</f>
        <v/>
      </c>
      <c r="G56" s="6" t="str">
        <f aca="false">IF(OR(Tasks!$G$10="No",Tasks!$F$10&lt;&gt;"Yes"),"",COUNTIFS(R_Scores!$B$5:$B$44,2,R_Scores!$C$5:$C$44,"Paper condition",R_Scores!M$5:M$44,1))</f>
        <v/>
      </c>
      <c r="H56" s="8" t="str">
        <f aca="false">IF(OR(Tasks!$G$10="No",Tasks!$F$10&lt;&gt;"Yes"),"",IF(OR(COUNTIFS(R_Scores!$B$5:$B$44,1,R_Scores!$C$5:$C$44,"Tool condition",R_Scores!M$5:M$44,"&gt;=0")=0,COUNTIFS(R_Scores!$B$5:$B$44,1,R_Scores!$C$5:$C$44,"Paper condition",R_Scores!M$5:M$44,"&gt;=0")=0),"",SUM(Helper!CX$5:CX$44)))</f>
        <v/>
      </c>
      <c r="I56" s="9" t="str">
        <f aca="false">IF(H56="","",IF(SQRT(COUNTIFS(R_Scores!$B$5:$B$44,1,R_Scores!$C$5:$C$44,"Tool condition",R_Scores!M$5:M$44,"&gt;=0")*COUNTIFS(R_Scores!$B$5:$B$44,1,R_Scores!$C$5:$C$44,"Paper condition",R_Scores!M$5:M$44,"&gt;=0")/12*(((COUNTIFS(R_Scores!$B$5:$B$44,1,R_Scores!$C$5:$C$44,"Tool condition",R_Scores!M$5:M$44,"&gt;=0")+COUNTIFS(R_Scores!$B$5:$B$44,1,R_Scores!$C$5:$C$44,"Paper condition",R_Scores!M$5:M$44,"&gt;=0"))+1)-SUM(Helper!CY$5:CY$44)/((COUNTIFS(R_Scores!$B$5:$B$44,1,R_Scores!$C$5:$C$44,"Tool condition",R_Scores!M$5:M$44,"&gt;=0")+COUNTIFS(R_Scores!$B$5:$B$44,1,R_Scores!$C$5:$C$44,"Paper condition",R_Scores!M$5:M$44,"&gt;=0"))*((COUNTIFS(R_Scores!$B$5:$B$44,1,R_Scores!$C$5:$C$44,"Tool condition",R_Scores!M$5:M$44,"&gt;=0")+COUNTIFS(R_Scores!$B$5:$B$44,1,R_Scores!$C$5:$C$44,"Paper condition",R_Scores!M$5:M$44,"&gt;=0"))-1))))=0,1,MIN(1,2*(1-NORMSDIST((ABS(H56-COUNTIFS(R_Scores!$B$5:$B$44,1,R_Scores!$C$5:$C$44,"Tool condition",R_Scores!M$5:M$44,"&gt;=0")*COUNTIFS(R_Scores!$B$5:$B$44,1,R_Scores!$C$5:$C$44,"Paper condition",R_Scores!M$5:M$44,"&gt;=0")/2)-0.5)/SQRT(COUNTIFS(R_Scores!$B$5:$B$44,1,R_Scores!$C$5:$C$44,"Tool condition",R_Scores!M$5:M$44,"&gt;=0")*COUNTIFS(R_Scores!$B$5:$B$44,1,R_Scores!$C$5:$C$44,"Paper condition",R_Scores!M$5:M$44,"&gt;=0")/12*(((COUNTIFS(R_Scores!$B$5:$B$44,1,R_Scores!$C$5:$C$44,"Tool condition",R_Scores!M$5:M$44,"&gt;=0")+COUNTIFS(R_Scores!$B$5:$B$44,1,R_Scores!$C$5:$C$44,"Paper condition",R_Scores!M$5:M$44,"&gt;=0"))+1)-SUM(Helper!CY$5:CY$44)/((COUNTIFS(R_Scores!$B$5:$B$44,1,R_Scores!$C$5:$C$44,"Tool condition",R_Scores!M$5:M$44,"&gt;=0")+COUNTIFS(R_Scores!$B$5:$B$44,1,R_Scores!$C$5:$C$44,"Paper condition",R_Scores!M$5:M$44,"&gt;=0"))*((COUNTIFS(R_Scores!$B$5:$B$44,1,R_Scores!$C$5:$C$44,"Tool condition",R_Scores!M$5:M$44,"&gt;=0")+COUNTIFS(R_Scores!$B$5:$B$44,1,R_Scores!$C$5:$C$44,"Paper condition",R_Scores!M$5:M$44,"&gt;=0"))-1)))))))))</f>
        <v/>
      </c>
      <c r="J56" s="9" t="str">
        <f aca="false">IF(I56="","",INDEX(Helper!$L$100:$L$111,RANK(I56,Analysis!$I$48:$I$59,1)+COUNTIF(Analysis!$I$48:$I$59,I56)-1))</f>
        <v/>
      </c>
      <c r="K56" s="7" t="str">
        <f aca="false">IF(H56="","",2*H56/(COUNTIFS(R_Scores!$B$5:$B$44,1,R_Scores!$C$5:$C$44,"Tool condition",R_Scores!M$5:M$44,"&gt;=0")*COUNTIFS(R_Scores!$B$5:$B$44,1,R_Scores!$C$5:$C$44,"Paper condition",R_Scores!M$5:M$44,"&gt;=0"))-1)</f>
        <v/>
      </c>
      <c r="L56" s="8" t="str">
        <f aca="false">IF(OR(Tasks!$G$10="No",Tasks!$F$10&lt;&gt;"Yes"),"",IF(OR(COUNTIFS(R_Scores!$B$5:$B$44,2,R_Scores!$C$5:$C$44,"Tool condition",R_Scores!M$5:M$44,"&gt;=0")=0,COUNTIFS(R_Scores!$B$5:$B$44,2,R_Scores!$C$5:$C$44,"Paper condition",R_Scores!M$5:M$44,"&gt;=0")=0),"",SUM(Helper!CZ$5:CZ$44)))</f>
        <v/>
      </c>
      <c r="M56" s="9" t="str">
        <f aca="false">IF(L56="","",IF(SQRT(COUNTIFS(R_Scores!$B$5:$B$44,2,R_Scores!$C$5:$C$44,"Tool condition",R_Scores!M$5:M$44,"&gt;=0")*COUNTIFS(R_Scores!$B$5:$B$44,2,R_Scores!$C$5:$C$44,"Paper condition",R_Scores!M$5:M$44,"&gt;=0")/12*(((COUNTIFS(R_Scores!$B$5:$B$44,2,R_Scores!$C$5:$C$44,"Tool condition",R_Scores!M$5:M$44,"&gt;=0")+COUNTIFS(R_Scores!$B$5:$B$44,2,R_Scores!$C$5:$C$44,"Paper condition",R_Scores!M$5:M$44,"&gt;=0"))+1)-SUM(Helper!DA$5:DA$44)/((COUNTIFS(R_Scores!$B$5:$B$44,2,R_Scores!$C$5:$C$44,"Tool condition",R_Scores!M$5:M$44,"&gt;=0")+COUNTIFS(R_Scores!$B$5:$B$44,2,R_Scores!$C$5:$C$44,"Paper condition",R_Scores!M$5:M$44,"&gt;=0"))*((COUNTIFS(R_Scores!$B$5:$B$44,2,R_Scores!$C$5:$C$44,"Tool condition",R_Scores!M$5:M$44,"&gt;=0")+COUNTIFS(R_Scores!$B$5:$B$44,2,R_Scores!$C$5:$C$44,"Paper condition",R_Scores!M$5:M$44,"&gt;=0"))-1))))=0,1,MIN(1,2*(1-NORMSDIST((ABS(L56-COUNTIFS(R_Scores!$B$5:$B$44,2,R_Scores!$C$5:$C$44,"Tool condition",R_Scores!M$5:M$44,"&gt;=0")*COUNTIFS(R_Scores!$B$5:$B$44,2,R_Scores!$C$5:$C$44,"Paper condition",R_Scores!M$5:M$44,"&gt;=0")/2)-0.5)/SQRT(COUNTIFS(R_Scores!$B$5:$B$44,2,R_Scores!$C$5:$C$44,"Tool condition",R_Scores!M$5:M$44,"&gt;=0")*COUNTIFS(R_Scores!$B$5:$B$44,2,R_Scores!$C$5:$C$44,"Paper condition",R_Scores!M$5:M$44,"&gt;=0")/12*(((COUNTIFS(R_Scores!$B$5:$B$44,2,R_Scores!$C$5:$C$44,"Tool condition",R_Scores!M$5:M$44,"&gt;=0")+COUNTIFS(R_Scores!$B$5:$B$44,2,R_Scores!$C$5:$C$44,"Paper condition",R_Scores!M$5:M$44,"&gt;=0"))+1)-SUM(Helper!DA$5:DA$44)/((COUNTIFS(R_Scores!$B$5:$B$44,2,R_Scores!$C$5:$C$44,"Tool condition",R_Scores!M$5:M$44,"&gt;=0")+COUNTIFS(R_Scores!$B$5:$B$44,2,R_Scores!$C$5:$C$44,"Paper condition",R_Scores!M$5:M$44,"&gt;=0"))*((COUNTIFS(R_Scores!$B$5:$B$44,2,R_Scores!$C$5:$C$44,"Tool condition",R_Scores!M$5:M$44,"&gt;=0")+COUNTIFS(R_Scores!$B$5:$B$44,2,R_Scores!$C$5:$C$44,"Paper condition",R_Scores!M$5:M$44,"&gt;=0"))-1)))))))))</f>
        <v/>
      </c>
      <c r="N56" s="9" t="str">
        <f aca="false">IF(M56="","",INDEX(Helper!$P$100:$P$111,RANK(M56,Analysis!$M$48:$M$59,1)+COUNTIF(Analysis!$M$48:$M$59,M56)-1))</f>
        <v/>
      </c>
      <c r="O56" s="7" t="str">
        <f aca="false">IF(L56="","",2*L56/(COUNTIFS(R_Scores!$B$5:$B$44,2,R_Scores!$C$5:$C$44,"Tool condition",R_Scores!M$5:M$44,"&gt;=0")*COUNTIFS(R_Scores!$B$5:$B$44,2,R_Scores!$C$5:$C$44,"Paper condition",R_Scores!M$5:M$44,"&gt;=0"))-1)</f>
        <v/>
      </c>
    </row>
    <row r="57" customFormat="false" ht="14.25" hidden="false" customHeight="true" outlineLevel="0" collapsed="false">
      <c r="A57" s="6" t="s">
        <v>26</v>
      </c>
      <c r="B57" s="6" t="str">
        <f aca="false">IF(OR(Tasks!$G$11="No",Tasks!$F$11&lt;&gt;"Yes"),"",Tasks!E11&amp;"")</f>
        <v>Block</v>
      </c>
      <c r="C57" s="6" t="str">
        <f aca="false">IF(OR(Tasks!$G$11="No",Tasks!$F$11&lt;&gt;"Yes"),"",Tasks!D11&amp;"")</f>
        <v>Code</v>
      </c>
      <c r="D57" s="6" t="n">
        <f aca="false">IF(OR(Tasks!$G$11="No",Tasks!$F$11&lt;&gt;"Yes"),"",COUNTIFS(R_Scores!$B$5:$B$44,1,R_Scores!$C$5:$C$44,"Tool condition",R_Scores!N$5:N$44,1))</f>
        <v>8</v>
      </c>
      <c r="E57" s="6" t="n">
        <f aca="false">IF(OR(Tasks!$G$11="No",Tasks!$F$11&lt;&gt;"Yes"),"",COUNTIFS(R_Scores!$B$5:$B$44,1,R_Scores!$C$5:$C$44,"Paper condition",R_Scores!N$5:N$44,1))</f>
        <v>4</v>
      </c>
      <c r="F57" s="6" t="n">
        <f aca="false">IF(OR(Tasks!$G$11="No",Tasks!$F$11&lt;&gt;"Yes"),"",COUNTIFS(R_Scores!$B$5:$B$44,2,R_Scores!$C$5:$C$44,"Tool condition",R_Scores!N$5:N$44,1))</f>
        <v>8</v>
      </c>
      <c r="G57" s="6" t="n">
        <f aca="false">IF(OR(Tasks!$G$11="No",Tasks!$F$11&lt;&gt;"Yes"),"",COUNTIFS(R_Scores!$B$5:$B$44,2,R_Scores!$C$5:$C$44,"Paper condition",R_Scores!N$5:N$44,1))</f>
        <v>4</v>
      </c>
      <c r="H57" s="8" t="n">
        <f aca="false">IF(OR(Tasks!$G$11="No",Tasks!$F$11&lt;&gt;"Yes"),"",IF(OR(COUNTIFS(R_Scores!$B$5:$B$44,1,R_Scores!$C$5:$C$44,"Tool condition",R_Scores!N$5:N$44,"&gt;=0")=0,COUNTIFS(R_Scores!$B$5:$B$44,1,R_Scores!$C$5:$C$44,"Paper condition",R_Scores!N$5:N$44,"&gt;=0")=0),"",SUM(Helper!DC$5:DC$44)))</f>
        <v>70</v>
      </c>
      <c r="I57" s="9" t="n">
        <f aca="false">IF(H57="","",IF(SQRT(COUNTIFS(R_Scores!$B$5:$B$44,1,R_Scores!$C$5:$C$44,"Tool condition",R_Scores!N$5:N$44,"&gt;=0")*COUNTIFS(R_Scores!$B$5:$B$44,1,R_Scores!$C$5:$C$44,"Paper condition",R_Scores!N$5:N$44,"&gt;=0")/12*(((COUNTIFS(R_Scores!$B$5:$B$44,1,R_Scores!$C$5:$C$44,"Tool condition",R_Scores!N$5:N$44,"&gt;=0")+COUNTIFS(R_Scores!$B$5:$B$44,1,R_Scores!$C$5:$C$44,"Paper condition",R_Scores!N$5:N$44,"&gt;=0"))+1)-SUM(Helper!DD$5:DD$44)/((COUNTIFS(R_Scores!$B$5:$B$44,1,R_Scores!$C$5:$C$44,"Tool condition",R_Scores!N$5:N$44,"&gt;=0")+COUNTIFS(R_Scores!$B$5:$B$44,1,R_Scores!$C$5:$C$44,"Paper condition",R_Scores!N$5:N$44,"&gt;=0"))*((COUNTIFS(R_Scores!$B$5:$B$44,1,R_Scores!$C$5:$C$44,"Tool condition",R_Scores!N$5:N$44,"&gt;=0")+COUNTIFS(R_Scores!$B$5:$B$44,1,R_Scores!$C$5:$C$44,"Paper condition",R_Scores!N$5:N$44,"&gt;=0"))-1))))=0,1,MIN(1,2*(1-NORMSDIST((ABS(H57-COUNTIFS(R_Scores!$B$5:$B$44,1,R_Scores!$C$5:$C$44,"Tool condition",R_Scores!N$5:N$44,"&gt;=0")*COUNTIFS(R_Scores!$B$5:$B$44,1,R_Scores!$C$5:$C$44,"Paper condition",R_Scores!N$5:N$44,"&gt;=0")/2)-0.5)/SQRT(COUNTIFS(R_Scores!$B$5:$B$44,1,R_Scores!$C$5:$C$44,"Tool condition",R_Scores!N$5:N$44,"&gt;=0")*COUNTIFS(R_Scores!$B$5:$B$44,1,R_Scores!$C$5:$C$44,"Paper condition",R_Scores!N$5:N$44,"&gt;=0")/12*(((COUNTIFS(R_Scores!$B$5:$B$44,1,R_Scores!$C$5:$C$44,"Tool condition",R_Scores!N$5:N$44,"&gt;=0")+COUNTIFS(R_Scores!$B$5:$B$44,1,R_Scores!$C$5:$C$44,"Paper condition",R_Scores!N$5:N$44,"&gt;=0"))+1)-SUM(Helper!DD$5:DD$44)/((COUNTIFS(R_Scores!$B$5:$B$44,1,R_Scores!$C$5:$C$44,"Tool condition",R_Scores!N$5:N$44,"&gt;=0")+COUNTIFS(R_Scores!$B$5:$B$44,1,R_Scores!$C$5:$C$44,"Paper condition",R_Scores!N$5:N$44,"&gt;=0"))*((COUNTIFS(R_Scores!$B$5:$B$44,1,R_Scores!$C$5:$C$44,"Tool condition",R_Scores!N$5:N$44,"&gt;=0")+COUNTIFS(R_Scores!$B$5:$B$44,1,R_Scores!$C$5:$C$44,"Paper condition",R_Scores!N$5:N$44,"&gt;=0"))-1)))))))))</f>
        <v>0.0827363389510261</v>
      </c>
      <c r="J57" s="9" t="n">
        <f aca="false">IF(I57="","",INDEX(Helper!$L$100:$L$111,RANK(I57,Analysis!$I$48:$I$59,1)+COUNTIF(Analysis!$I$48:$I$59,I57)-1))</f>
        <v>0.496418033706156</v>
      </c>
      <c r="K57" s="7" t="n">
        <f aca="false">IF(H57="","",2*H57/(COUNTIFS(R_Scores!$B$5:$B$44,1,R_Scores!$C$5:$C$44,"Tool condition",R_Scores!N$5:N$44,"&gt;=0")*COUNTIFS(R_Scores!$B$5:$B$44,1,R_Scores!$C$5:$C$44,"Paper condition",R_Scores!N$5:N$44,"&gt;=0"))-1)</f>
        <v>0.4</v>
      </c>
      <c r="L57" s="8" t="n">
        <f aca="false">IF(OR(Tasks!$G$11="No",Tasks!$F$11&lt;&gt;"Yes"),"",IF(OR(COUNTIFS(R_Scores!$B$5:$B$44,2,R_Scores!$C$5:$C$44,"Tool condition",R_Scores!N$5:N$44,"&gt;=0")=0,COUNTIFS(R_Scores!$B$5:$B$44,2,R_Scores!$C$5:$C$44,"Paper condition",R_Scores!N$5:N$44,"&gt;=0")=0),"",SUM(Helper!DE$5:DE$44)))</f>
        <v>70</v>
      </c>
      <c r="M57" s="9" t="n">
        <f aca="false">IF(L57="","",IF(SQRT(COUNTIFS(R_Scores!$B$5:$B$44,2,R_Scores!$C$5:$C$44,"Tool condition",R_Scores!N$5:N$44,"&gt;=0")*COUNTIFS(R_Scores!$B$5:$B$44,2,R_Scores!$C$5:$C$44,"Paper condition",R_Scores!N$5:N$44,"&gt;=0")/12*(((COUNTIFS(R_Scores!$B$5:$B$44,2,R_Scores!$C$5:$C$44,"Tool condition",R_Scores!N$5:N$44,"&gt;=0")+COUNTIFS(R_Scores!$B$5:$B$44,2,R_Scores!$C$5:$C$44,"Paper condition",R_Scores!N$5:N$44,"&gt;=0"))+1)-SUM(Helper!DF$5:DF$44)/((COUNTIFS(R_Scores!$B$5:$B$44,2,R_Scores!$C$5:$C$44,"Tool condition",R_Scores!N$5:N$44,"&gt;=0")+COUNTIFS(R_Scores!$B$5:$B$44,2,R_Scores!$C$5:$C$44,"Paper condition",R_Scores!N$5:N$44,"&gt;=0"))*((COUNTIFS(R_Scores!$B$5:$B$44,2,R_Scores!$C$5:$C$44,"Tool condition",R_Scores!N$5:N$44,"&gt;=0")+COUNTIFS(R_Scores!$B$5:$B$44,2,R_Scores!$C$5:$C$44,"Paper condition",R_Scores!N$5:N$44,"&gt;=0"))-1))))=0,1,MIN(1,2*(1-NORMSDIST((ABS(L57-COUNTIFS(R_Scores!$B$5:$B$44,2,R_Scores!$C$5:$C$44,"Tool condition",R_Scores!N$5:N$44,"&gt;=0")*COUNTIFS(R_Scores!$B$5:$B$44,2,R_Scores!$C$5:$C$44,"Paper condition",R_Scores!N$5:N$44,"&gt;=0")/2)-0.5)/SQRT(COUNTIFS(R_Scores!$B$5:$B$44,2,R_Scores!$C$5:$C$44,"Tool condition",R_Scores!N$5:N$44,"&gt;=0")*COUNTIFS(R_Scores!$B$5:$B$44,2,R_Scores!$C$5:$C$44,"Paper condition",R_Scores!N$5:N$44,"&gt;=0")/12*(((COUNTIFS(R_Scores!$B$5:$B$44,2,R_Scores!$C$5:$C$44,"Tool condition",R_Scores!N$5:N$44,"&gt;=0")+COUNTIFS(R_Scores!$B$5:$B$44,2,R_Scores!$C$5:$C$44,"Paper condition",R_Scores!N$5:N$44,"&gt;=0"))+1)-SUM(Helper!DF$5:DF$44)/((COUNTIFS(R_Scores!$B$5:$B$44,2,R_Scores!$C$5:$C$44,"Tool condition",R_Scores!N$5:N$44,"&gt;=0")+COUNTIFS(R_Scores!$B$5:$B$44,2,R_Scores!$C$5:$C$44,"Paper condition",R_Scores!N$5:N$44,"&gt;=0"))*((COUNTIFS(R_Scores!$B$5:$B$44,2,R_Scores!$C$5:$C$44,"Tool condition",R_Scores!N$5:N$44,"&gt;=0")+COUNTIFS(R_Scores!$B$5:$B$44,2,R_Scores!$C$5:$C$44,"Paper condition",R_Scores!N$5:N$44,"&gt;=0"))-1)))))))))</f>
        <v>0.0827363389510261</v>
      </c>
      <c r="N57" s="9" t="n">
        <f aca="false">IF(M57="","",INDEX(Helper!$P$100:$P$111,RANK(M57,Analysis!$M$48:$M$59,1)+COUNTIF(Analysis!$M$48:$M$59,M57)-1))</f>
        <v>0.496418033706156</v>
      </c>
      <c r="O57" s="7" t="n">
        <f aca="false">IF(L57="","",2*L57/(COUNTIFS(R_Scores!$B$5:$B$44,2,R_Scores!$C$5:$C$44,"Tool condition",R_Scores!N$5:N$44,"&gt;=0")*COUNTIFS(R_Scores!$B$5:$B$44,2,R_Scores!$C$5:$C$44,"Paper condition",R_Scores!N$5:N$44,"&gt;=0"))-1)</f>
        <v>0.4</v>
      </c>
    </row>
    <row r="58" customFormat="false" ht="14.25" hidden="false" customHeight="true" outlineLevel="0" collapsed="false">
      <c r="A58" s="6" t="s">
        <v>27</v>
      </c>
      <c r="B58" s="6" t="str">
        <f aca="false">IF(OR(Tasks!$G$12="No",Tasks!$F$12&lt;&gt;"Yes"),"",Tasks!E12&amp;"")</f>
        <v>Gate</v>
      </c>
      <c r="C58" s="6" t="str">
        <f aca="false">IF(OR(Tasks!$G$12="No",Tasks!$F$12&lt;&gt;"Yes"),"",Tasks!D12&amp;"")</f>
        <v>Derivation</v>
      </c>
      <c r="D58" s="6" t="n">
        <f aca="false">IF(OR(Tasks!$G$12="No",Tasks!$F$12&lt;&gt;"Yes"),"",COUNTIFS(R_Scores!$B$5:$B$44,1,R_Scores!$C$5:$C$44,"Tool condition",R_Scores!O$5:O$44,1))</f>
        <v>8</v>
      </c>
      <c r="E58" s="6" t="n">
        <f aca="false">IF(OR(Tasks!$G$12="No",Tasks!$F$12&lt;&gt;"Yes"),"",COUNTIFS(R_Scores!$B$5:$B$44,1,R_Scores!$C$5:$C$44,"Paper condition",R_Scores!O$5:O$44,1))</f>
        <v>5</v>
      </c>
      <c r="F58" s="6" t="n">
        <f aca="false">IF(OR(Tasks!$G$12="No",Tasks!$F$12&lt;&gt;"Yes"),"",COUNTIFS(R_Scores!$B$5:$B$44,2,R_Scores!$C$5:$C$44,"Tool condition",R_Scores!O$5:O$44,1))</f>
        <v>7</v>
      </c>
      <c r="G58" s="6" t="n">
        <f aca="false">IF(OR(Tasks!$G$12="No",Tasks!$F$12&lt;&gt;"Yes"),"",COUNTIFS(R_Scores!$B$5:$B$44,2,R_Scores!$C$5:$C$44,"Paper condition",R_Scores!O$5:O$44,1))</f>
        <v>6</v>
      </c>
      <c r="H58" s="8" t="n">
        <f aca="false">IF(OR(Tasks!$G$12="No",Tasks!$F$12&lt;&gt;"Yes"),"",IF(OR(COUNTIFS(R_Scores!$B$5:$B$44,1,R_Scores!$C$5:$C$44,"Tool condition",R_Scores!O$5:O$44,"&gt;=0")=0,COUNTIFS(R_Scores!$B$5:$B$44,1,R_Scores!$C$5:$C$44,"Paper condition",R_Scores!O$5:O$44,"&gt;=0")=0),"",SUM(Helper!DH$5:DH$44)))</f>
        <v>65</v>
      </c>
      <c r="I58" s="9" t="n">
        <f aca="false">IF(H58="","",IF(SQRT(COUNTIFS(R_Scores!$B$5:$B$44,1,R_Scores!$C$5:$C$44,"Tool condition",R_Scores!O$5:O$44,"&gt;=0")*COUNTIFS(R_Scores!$B$5:$B$44,1,R_Scores!$C$5:$C$44,"Paper condition",R_Scores!O$5:O$44,"&gt;=0")/12*(((COUNTIFS(R_Scores!$B$5:$B$44,1,R_Scores!$C$5:$C$44,"Tool condition",R_Scores!O$5:O$44,"&gt;=0")+COUNTIFS(R_Scores!$B$5:$B$44,1,R_Scores!$C$5:$C$44,"Paper condition",R_Scores!O$5:O$44,"&gt;=0"))+1)-SUM(Helper!DI$5:DI$44)/((COUNTIFS(R_Scores!$B$5:$B$44,1,R_Scores!$C$5:$C$44,"Tool condition",R_Scores!O$5:O$44,"&gt;=0")+COUNTIFS(R_Scores!$B$5:$B$44,1,R_Scores!$C$5:$C$44,"Paper condition",R_Scores!O$5:O$44,"&gt;=0"))*((COUNTIFS(R_Scores!$B$5:$B$44,1,R_Scores!$C$5:$C$44,"Tool condition",R_Scores!O$5:O$44,"&gt;=0")+COUNTIFS(R_Scores!$B$5:$B$44,1,R_Scores!$C$5:$C$44,"Paper condition",R_Scores!O$5:O$44,"&gt;=0"))-1))))=0,1,MIN(1,2*(1-NORMSDIST((ABS(H58-COUNTIFS(R_Scores!$B$5:$B$44,1,R_Scores!$C$5:$C$44,"Tool condition",R_Scores!O$5:O$44,"&gt;=0")*COUNTIFS(R_Scores!$B$5:$B$44,1,R_Scores!$C$5:$C$44,"Paper condition",R_Scores!O$5:O$44,"&gt;=0")/2)-0.5)/SQRT(COUNTIFS(R_Scores!$B$5:$B$44,1,R_Scores!$C$5:$C$44,"Tool condition",R_Scores!O$5:O$44,"&gt;=0")*COUNTIFS(R_Scores!$B$5:$B$44,1,R_Scores!$C$5:$C$44,"Paper condition",R_Scores!O$5:O$44,"&gt;=0")/12*(((COUNTIFS(R_Scores!$B$5:$B$44,1,R_Scores!$C$5:$C$44,"Tool condition",R_Scores!O$5:O$44,"&gt;=0")+COUNTIFS(R_Scores!$B$5:$B$44,1,R_Scores!$C$5:$C$44,"Paper condition",R_Scores!O$5:O$44,"&gt;=0"))+1)-SUM(Helper!DI$5:DI$44)/((COUNTIFS(R_Scores!$B$5:$B$44,1,R_Scores!$C$5:$C$44,"Tool condition",R_Scores!O$5:O$44,"&gt;=0")+COUNTIFS(R_Scores!$B$5:$B$44,1,R_Scores!$C$5:$C$44,"Paper condition",R_Scores!O$5:O$44,"&gt;=0"))*((COUNTIFS(R_Scores!$B$5:$B$44,1,R_Scores!$C$5:$C$44,"Tool condition",R_Scores!O$5:O$44,"&gt;=0")+COUNTIFS(R_Scores!$B$5:$B$44,1,R_Scores!$C$5:$C$44,"Paper condition",R_Scores!O$5:O$44,"&gt;=0"))-1)))))))))</f>
        <v>0.185132473355937</v>
      </c>
      <c r="J58" s="9" t="n">
        <f aca="false">IF(I58="","",INDEX(Helper!$L$100:$L$111,RANK(I58,Analysis!$I$48:$I$59,1)+COUNTIF(Analysis!$I$48:$I$59,I58)-1))</f>
        <v>0.721952544605646</v>
      </c>
      <c r="K58" s="7" t="n">
        <f aca="false">IF(H58="","",2*H58/(COUNTIFS(R_Scores!$B$5:$B$44,1,R_Scores!$C$5:$C$44,"Tool condition",R_Scores!O$5:O$44,"&gt;=0")*COUNTIFS(R_Scores!$B$5:$B$44,1,R_Scores!$C$5:$C$44,"Paper condition",R_Scores!O$5:O$44,"&gt;=0"))-1)</f>
        <v>0.3</v>
      </c>
      <c r="L58" s="8" t="n">
        <f aca="false">IF(OR(Tasks!$G$12="No",Tasks!$F$12&lt;&gt;"Yes"),"",IF(OR(COUNTIFS(R_Scores!$B$5:$B$44,2,R_Scores!$C$5:$C$44,"Tool condition",R_Scores!O$5:O$44,"&gt;=0")=0,COUNTIFS(R_Scores!$B$5:$B$44,2,R_Scores!$C$5:$C$44,"Paper condition",R_Scores!O$5:O$44,"&gt;=0")=0),"",SUM(Helper!DJ$5:DJ$44)))</f>
        <v>55</v>
      </c>
      <c r="M58" s="9" t="n">
        <f aca="false">IF(L58="","",IF(SQRT(COUNTIFS(R_Scores!$B$5:$B$44,2,R_Scores!$C$5:$C$44,"Tool condition",R_Scores!O$5:O$44,"&gt;=0")*COUNTIFS(R_Scores!$B$5:$B$44,2,R_Scores!$C$5:$C$44,"Paper condition",R_Scores!O$5:O$44,"&gt;=0")/12*(((COUNTIFS(R_Scores!$B$5:$B$44,2,R_Scores!$C$5:$C$44,"Tool condition",R_Scores!O$5:O$44,"&gt;=0")+COUNTIFS(R_Scores!$B$5:$B$44,2,R_Scores!$C$5:$C$44,"Paper condition",R_Scores!O$5:O$44,"&gt;=0"))+1)-SUM(Helper!DK$5:DK$44)/((COUNTIFS(R_Scores!$B$5:$B$44,2,R_Scores!$C$5:$C$44,"Tool condition",R_Scores!O$5:O$44,"&gt;=0")+COUNTIFS(R_Scores!$B$5:$B$44,2,R_Scores!$C$5:$C$44,"Paper condition",R_Scores!O$5:O$44,"&gt;=0"))*((COUNTIFS(R_Scores!$B$5:$B$44,2,R_Scores!$C$5:$C$44,"Tool condition",R_Scores!O$5:O$44,"&gt;=0")+COUNTIFS(R_Scores!$B$5:$B$44,2,R_Scores!$C$5:$C$44,"Paper condition",R_Scores!O$5:O$44,"&gt;=0"))-1))))=0,1,MIN(1,2*(1-NORMSDIST((ABS(L58-COUNTIFS(R_Scores!$B$5:$B$44,2,R_Scores!$C$5:$C$44,"Tool condition",R_Scores!O$5:O$44,"&gt;=0")*COUNTIFS(R_Scores!$B$5:$B$44,2,R_Scores!$C$5:$C$44,"Paper condition",R_Scores!O$5:O$44,"&gt;=0")/2)-0.5)/SQRT(COUNTIFS(R_Scores!$B$5:$B$44,2,R_Scores!$C$5:$C$44,"Tool condition",R_Scores!O$5:O$44,"&gt;=0")*COUNTIFS(R_Scores!$B$5:$B$44,2,R_Scores!$C$5:$C$44,"Paper condition",R_Scores!O$5:O$44,"&gt;=0")/12*(((COUNTIFS(R_Scores!$B$5:$B$44,2,R_Scores!$C$5:$C$44,"Tool condition",R_Scores!O$5:O$44,"&gt;=0")+COUNTIFS(R_Scores!$B$5:$B$44,2,R_Scores!$C$5:$C$44,"Paper condition",R_Scores!O$5:O$44,"&gt;=0"))+1)-SUM(Helper!DK$5:DK$44)/((COUNTIFS(R_Scores!$B$5:$B$44,2,R_Scores!$C$5:$C$44,"Tool condition",R_Scores!O$5:O$44,"&gt;=0")+COUNTIFS(R_Scores!$B$5:$B$44,2,R_Scores!$C$5:$C$44,"Paper condition",R_Scores!O$5:O$44,"&gt;=0"))*((COUNTIFS(R_Scores!$B$5:$B$44,2,R_Scores!$C$5:$C$44,"Tool condition",R_Scores!O$5:O$44,"&gt;=0")+COUNTIFS(R_Scores!$B$5:$B$44,2,R_Scores!$C$5:$C$44,"Paper condition",R_Scores!O$5:O$44,"&gt;=0"))-1)))))))))</f>
        <v>0.68089429484237</v>
      </c>
      <c r="N58" s="9" t="n">
        <f aca="false">IF(M58="","",INDEX(Helper!$P$100:$P$111,RANK(M58,Analysis!$M$48:$M$59,1)+COUNTIF(Analysis!$M$48:$M$59,M58)-1))</f>
        <v>1</v>
      </c>
      <c r="O58" s="7" t="n">
        <f aca="false">IF(L58="","",2*L58/(COUNTIFS(R_Scores!$B$5:$B$44,2,R_Scores!$C$5:$C$44,"Tool condition",R_Scores!O$5:O$44,"&gt;=0")*COUNTIFS(R_Scores!$B$5:$B$44,2,R_Scores!$C$5:$C$44,"Paper condition",R_Scores!O$5:O$44,"&gt;=0"))-1)</f>
        <v>0.1</v>
      </c>
    </row>
    <row r="59" customFormat="false" ht="14.25" hidden="false" customHeight="true" outlineLevel="0" collapsed="false">
      <c r="A59" s="6" t="s">
        <v>28</v>
      </c>
      <c r="B59" s="6" t="str">
        <f aca="false">IF(OR(Tasks!$G$13="No",Tasks!$F$13&lt;&gt;"Yes"),"",Tasks!E13&amp;"")</f>
        <v>Gate</v>
      </c>
      <c r="C59" s="6" t="str">
        <f aca="false">IF(OR(Tasks!$G$13="No",Tasks!$F$13&lt;&gt;"Yes"),"",Tasks!D13&amp;"")</f>
        <v>Code</v>
      </c>
      <c r="D59" s="6" t="n">
        <f aca="false">IF(OR(Tasks!$G$13="No",Tasks!$F$13&lt;&gt;"Yes"),"",COUNTIFS(R_Scores!$B$5:$B$44,1,R_Scores!$C$5:$C$44,"Tool condition",R_Scores!P$5:P$44,1))</f>
        <v>8</v>
      </c>
      <c r="E59" s="6" t="n">
        <f aca="false">IF(OR(Tasks!$G$13="No",Tasks!$F$13&lt;&gt;"Yes"),"",COUNTIFS(R_Scores!$B$5:$B$44,1,R_Scores!$C$5:$C$44,"Paper condition",R_Scores!P$5:P$44,1))</f>
        <v>3</v>
      </c>
      <c r="F59" s="6" t="n">
        <f aca="false">IF(OR(Tasks!$G$13="No",Tasks!$F$13&lt;&gt;"Yes"),"",COUNTIFS(R_Scores!$B$5:$B$44,2,R_Scores!$C$5:$C$44,"Tool condition",R_Scores!P$5:P$44,1))</f>
        <v>6</v>
      </c>
      <c r="G59" s="6" t="n">
        <f aca="false">IF(OR(Tasks!$G$13="No",Tasks!$F$13&lt;&gt;"Yes"),"",COUNTIFS(R_Scores!$B$5:$B$44,2,R_Scores!$C$5:$C$44,"Paper condition",R_Scores!P$5:P$44,1))</f>
        <v>1</v>
      </c>
      <c r="H59" s="8" t="n">
        <f aca="false">IF(OR(Tasks!$G$13="No",Tasks!$F$13&lt;&gt;"Yes"),"",IF(OR(COUNTIFS(R_Scores!$B$5:$B$44,1,R_Scores!$C$5:$C$44,"Tool condition",R_Scores!P$5:P$44,"&gt;=0")=0,COUNTIFS(R_Scores!$B$5:$B$44,1,R_Scores!$C$5:$C$44,"Paper condition",R_Scores!P$5:P$44,"&gt;=0")=0),"",SUM(Helper!DM$5:DM$44)))</f>
        <v>75</v>
      </c>
      <c r="I59" s="9" t="n">
        <f aca="false">IF(H59="","",IF(SQRT(COUNTIFS(R_Scores!$B$5:$B$44,1,R_Scores!$C$5:$C$44,"Tool condition",R_Scores!P$5:P$44,"&gt;=0")*COUNTIFS(R_Scores!$B$5:$B$44,1,R_Scores!$C$5:$C$44,"Paper condition",R_Scores!P$5:P$44,"&gt;=0")/12*(((COUNTIFS(R_Scores!$B$5:$B$44,1,R_Scores!$C$5:$C$44,"Tool condition",R_Scores!P$5:P$44,"&gt;=0")+COUNTIFS(R_Scores!$B$5:$B$44,1,R_Scores!$C$5:$C$44,"Paper condition",R_Scores!P$5:P$44,"&gt;=0"))+1)-SUM(Helper!DN$5:DN$44)/((COUNTIFS(R_Scores!$B$5:$B$44,1,R_Scores!$C$5:$C$44,"Tool condition",R_Scores!P$5:P$44,"&gt;=0")+COUNTIFS(R_Scores!$B$5:$B$44,1,R_Scores!$C$5:$C$44,"Paper condition",R_Scores!P$5:P$44,"&gt;=0"))*((COUNTIFS(R_Scores!$B$5:$B$44,1,R_Scores!$C$5:$C$44,"Tool condition",R_Scores!P$5:P$44,"&gt;=0")+COUNTIFS(R_Scores!$B$5:$B$44,1,R_Scores!$C$5:$C$44,"Paper condition",R_Scores!P$5:P$44,"&gt;=0"))-1))))=0,1,MIN(1,2*(1-NORMSDIST((ABS(H59-COUNTIFS(R_Scores!$B$5:$B$44,1,R_Scores!$C$5:$C$44,"Tool condition",R_Scores!P$5:P$44,"&gt;=0")*COUNTIFS(R_Scores!$B$5:$B$44,1,R_Scores!$C$5:$C$44,"Paper condition",R_Scores!P$5:P$44,"&gt;=0")/2)-0.5)/SQRT(COUNTIFS(R_Scores!$B$5:$B$44,1,R_Scores!$C$5:$C$44,"Tool condition",R_Scores!P$5:P$44,"&gt;=0")*COUNTIFS(R_Scores!$B$5:$B$44,1,R_Scores!$C$5:$C$44,"Paper condition",R_Scores!P$5:P$44,"&gt;=0")/12*(((COUNTIFS(R_Scores!$B$5:$B$44,1,R_Scores!$C$5:$C$44,"Tool condition",R_Scores!P$5:P$44,"&gt;=0")+COUNTIFS(R_Scores!$B$5:$B$44,1,R_Scores!$C$5:$C$44,"Paper condition",R_Scores!P$5:P$44,"&gt;=0"))+1)-SUM(Helper!DN$5:DN$44)/((COUNTIFS(R_Scores!$B$5:$B$44,1,R_Scores!$C$5:$C$44,"Tool condition",R_Scores!P$5:P$44,"&gt;=0")+COUNTIFS(R_Scores!$B$5:$B$44,1,R_Scores!$C$5:$C$44,"Paper condition",R_Scores!P$5:P$44,"&gt;=0"))*((COUNTIFS(R_Scores!$B$5:$B$44,1,R_Scores!$C$5:$C$44,"Tool condition",R_Scores!P$5:P$44,"&gt;=0")+COUNTIFS(R_Scores!$B$5:$B$44,1,R_Scores!$C$5:$C$44,"Paper condition",R_Scores!P$5:P$44,"&gt;=0"))-1)))))))))</f>
        <v>0.0318235023049418</v>
      </c>
      <c r="J59" s="9" t="n">
        <f aca="false">IF(I59="","",INDEX(Helper!$L$100:$L$111,RANK(I59,Analysis!$I$48:$I$59,1)+COUNTIF(Analysis!$I$48:$I$59,I59)-1))</f>
        <v>0.222764516134593</v>
      </c>
      <c r="K59" s="7" t="n">
        <f aca="false">IF(H59="","",2*H59/(COUNTIFS(R_Scores!$B$5:$B$44,1,R_Scores!$C$5:$C$44,"Tool condition",R_Scores!P$5:P$44,"&gt;=0")*COUNTIFS(R_Scores!$B$5:$B$44,1,R_Scores!$C$5:$C$44,"Paper condition",R_Scores!P$5:P$44,"&gt;=0"))-1)</f>
        <v>0.5</v>
      </c>
      <c r="L59" s="8" t="n">
        <f aca="false">IF(OR(Tasks!$G$13="No",Tasks!$F$13&lt;&gt;"Yes"),"",IF(OR(COUNTIFS(R_Scores!$B$5:$B$44,2,R_Scores!$C$5:$C$44,"Tool condition",R_Scores!P$5:P$44,"&gt;=0")=0,COUNTIFS(R_Scores!$B$5:$B$44,2,R_Scores!$C$5:$C$44,"Paper condition",R_Scores!P$5:P$44,"&gt;=0")=0),"",SUM(Helper!DO$5:DO$44)))</f>
        <v>75</v>
      </c>
      <c r="M59" s="9" t="n">
        <f aca="false">IF(L59="","",IF(SQRT(COUNTIFS(R_Scores!$B$5:$B$44,2,R_Scores!$C$5:$C$44,"Tool condition",R_Scores!P$5:P$44,"&gt;=0")*COUNTIFS(R_Scores!$B$5:$B$44,2,R_Scores!$C$5:$C$44,"Paper condition",R_Scores!P$5:P$44,"&gt;=0")/12*(((COUNTIFS(R_Scores!$B$5:$B$44,2,R_Scores!$C$5:$C$44,"Tool condition",R_Scores!P$5:P$44,"&gt;=0")+COUNTIFS(R_Scores!$B$5:$B$44,2,R_Scores!$C$5:$C$44,"Paper condition",R_Scores!P$5:P$44,"&gt;=0"))+1)-SUM(Helper!DP$5:DP$44)/((COUNTIFS(R_Scores!$B$5:$B$44,2,R_Scores!$C$5:$C$44,"Tool condition",R_Scores!P$5:P$44,"&gt;=0")+COUNTIFS(R_Scores!$B$5:$B$44,2,R_Scores!$C$5:$C$44,"Paper condition",R_Scores!P$5:P$44,"&gt;=0"))*((COUNTIFS(R_Scores!$B$5:$B$44,2,R_Scores!$C$5:$C$44,"Tool condition",R_Scores!P$5:P$44,"&gt;=0")+COUNTIFS(R_Scores!$B$5:$B$44,2,R_Scores!$C$5:$C$44,"Paper condition",R_Scores!P$5:P$44,"&gt;=0"))-1))))=0,1,MIN(1,2*(1-NORMSDIST((ABS(L59-COUNTIFS(R_Scores!$B$5:$B$44,2,R_Scores!$C$5:$C$44,"Tool condition",R_Scores!P$5:P$44,"&gt;=0")*COUNTIFS(R_Scores!$B$5:$B$44,2,R_Scores!$C$5:$C$44,"Paper condition",R_Scores!P$5:P$44,"&gt;=0")/2)-0.5)/SQRT(COUNTIFS(R_Scores!$B$5:$B$44,2,R_Scores!$C$5:$C$44,"Tool condition",R_Scores!P$5:P$44,"&gt;=0")*COUNTIFS(R_Scores!$B$5:$B$44,2,R_Scores!$C$5:$C$44,"Paper condition",R_Scores!P$5:P$44,"&gt;=0")/12*(((COUNTIFS(R_Scores!$B$5:$B$44,2,R_Scores!$C$5:$C$44,"Tool condition",R_Scores!P$5:P$44,"&gt;=0")+COUNTIFS(R_Scores!$B$5:$B$44,2,R_Scores!$C$5:$C$44,"Paper condition",R_Scores!P$5:P$44,"&gt;=0"))+1)-SUM(Helper!DP$5:DP$44)/((COUNTIFS(R_Scores!$B$5:$B$44,2,R_Scores!$C$5:$C$44,"Tool condition",R_Scores!P$5:P$44,"&gt;=0")+COUNTIFS(R_Scores!$B$5:$B$44,2,R_Scores!$C$5:$C$44,"Paper condition",R_Scores!P$5:P$44,"&gt;=0"))*((COUNTIFS(R_Scores!$B$5:$B$44,2,R_Scores!$C$5:$C$44,"Tool condition",R_Scores!P$5:P$44,"&gt;=0")+COUNTIFS(R_Scores!$B$5:$B$44,2,R_Scores!$C$5:$C$44,"Paper condition",R_Scores!P$5:P$44,"&gt;=0"))-1)))))))))</f>
        <v>0.0251565566111365</v>
      </c>
      <c r="N59" s="9" t="n">
        <f aca="false">IF(M59="","",INDEX(Helper!$P$100:$P$111,RANK(M59,Analysis!$M$48:$M$59,1)+COUNTIF(Analysis!$M$48:$M$59,M59)-1))</f>
        <v>0.176095896277955</v>
      </c>
      <c r="O59" s="7" t="n">
        <f aca="false">IF(L59="","",2*L59/(COUNTIFS(R_Scores!$B$5:$B$44,2,R_Scores!$C$5:$C$44,"Tool condition",R_Scores!P$5:P$44,"&gt;=0")*COUNTIFS(R_Scores!$B$5:$B$44,2,R_Scores!$C$5:$C$44,"Paper condition",R_Scores!P$5:P$44,"&gt;=0"))-1)</f>
        <v>0.5</v>
      </c>
    </row>
    <row r="62" customFormat="false" ht="14.25" hidden="false" customHeight="true" outlineLevel="0" collapsed="false">
      <c r="A62" s="15" t="s">
        <v>58</v>
      </c>
      <c r="B62" s="16" t="n">
        <f aca="false">COUNTIF(Tasks!G2:G13,"Yes")</f>
        <v>12</v>
      </c>
    </row>
    <row r="63" customFormat="false" ht="14.25" hidden="false" customHeight="true" outlineLevel="0" collapsed="false">
      <c r="A63" s="15" t="s">
        <v>59</v>
      </c>
      <c r="B63" s="16" t="str">
        <f aca="false">COUNTIFS(Tasks!E2:E13,"Gate",Tasks!G2:G13,"Yes")&amp;" / "&amp;COUNTIFS(Tasks!E2:E13,"Block",Tasks!G2:G13,"Yes")</f>
        <v>7 / 5</v>
      </c>
    </row>
    <row r="64" customFormat="false" ht="14.25" hidden="false" customHeight="true" outlineLevel="0" collapsed="false">
      <c r="A64" s="15" t="s">
        <v>60</v>
      </c>
      <c r="B64" s="16" t="n">
        <f aca="false">COUNTIFS(Tasks!F2:F13,"Yes",Tasks!G2:G13,"Yes")</f>
        <v>7</v>
      </c>
    </row>
    <row r="65" customFormat="false" ht="14.25" hidden="false" customHeight="true" outlineLevel="0" collapsed="false">
      <c r="A65" s="15" t="s">
        <v>61</v>
      </c>
      <c r="B65" s="16" t="n">
        <f aca="false">2*B62</f>
        <v>24</v>
      </c>
    </row>
    <row r="66" customFormat="false" ht="14.25" hidden="false" customHeight="true" outlineLevel="0" collapsed="false">
      <c r="A66" s="15" t="s">
        <v>62</v>
      </c>
      <c r="B66" s="16" t="n">
        <f aca="false">B64</f>
        <v>7</v>
      </c>
    </row>
    <row r="69" customFormat="false" ht="14.25" hidden="false" customHeight="true" outlineLevel="0" collapsed="false">
      <c r="A69" s="4" t="s">
        <v>63</v>
      </c>
    </row>
    <row r="70" customFormat="false" ht="30" hidden="false" customHeight="true" outlineLevel="0" collapsed="false">
      <c r="A70" s="5" t="s">
        <v>64</v>
      </c>
      <c r="B70" s="5" t="s">
        <v>65</v>
      </c>
      <c r="C70" s="5" t="s">
        <v>66</v>
      </c>
      <c r="D70" s="5" t="s">
        <v>67</v>
      </c>
      <c r="E70" s="5" t="s">
        <v>68</v>
      </c>
      <c r="G70" s="5" t="s">
        <v>13</v>
      </c>
      <c r="H70" s="5" t="s">
        <v>14</v>
      </c>
      <c r="I70" s="5" t="s">
        <v>16</v>
      </c>
    </row>
    <row r="71" customFormat="false" ht="14.25" hidden="false" customHeight="true" outlineLevel="0" collapsed="false">
      <c r="A71" s="11" t="s">
        <v>69</v>
      </c>
      <c r="B71" s="7" t="n">
        <f aca="false">IFERROR(AVERAGEIFS(Participants!$D$2:$D$21,Participants!$B$2:$B$21,"Tool condition"),"")</f>
        <v>1.1</v>
      </c>
      <c r="C71" s="7" t="n">
        <f aca="false">IFERROR(SQRT((SUMPRODUCT((Participants!$B$2:$B$21="Tool condition")*(Participants!$D$2:$D$21)^2)-COUNTIFS(Participants!$B$2:$B$21,"Tool condition",Participants!$D$2:$D$21,"&gt;=0")*B71^2)/(COUNTIFS(Participants!$B$2:$B$21,"Tool condition",Participants!$D$2:$D$21,"&gt;=0")-1)),"")</f>
        <v>0.316227766016838</v>
      </c>
      <c r="D71" s="7" t="n">
        <f aca="false">IFERROR(AVERAGEIFS(Participants!$D$2:$D$21,Participants!$B$2:$B$21,"Paper condition"),"")</f>
        <v>1.1</v>
      </c>
      <c r="E71" s="7" t="n">
        <f aca="false">IFERROR(SQRT((SUMPRODUCT((Participants!$B$2:$B$21="Paper condition")*(Participants!$D$2:$D$21)^2)-COUNTIFS(Participants!$B$2:$B$21,"Paper condition",Participants!$D$2:$D$21,"&gt;=0")*D71^2)/(COUNTIFS(Participants!$B$2:$B$21,"Paper condition",Participants!$D$2:$D$21,"&gt;=0")-1)),"")</f>
        <v>0.316227766016838</v>
      </c>
      <c r="G71" s="8" t="n">
        <f aca="false">IF(OR(COUNTIFS(Participants!$B$2:$B$21,"Tool condition",Participants!$D$2:$D$21,"&gt;=0")=0,COUNTIFS(Participants!$B$2:$B$21,"Paper condition",Participants!$D$2:$D$21,"&gt;=0")=0),"",SUM(Helper!FF$52:FF$71))</f>
        <v>50</v>
      </c>
      <c r="H71" s="9" t="n">
        <f aca="false">IF(G71="","",IF(SQRT(COUNTIFS(Participants!$B$2:$B$21,"Tool condition",Participants!$D$2:$D$21,"&gt;=0")*COUNTIFS(Participants!$B$2:$B$21,"Paper condition",Participants!$D$2:$D$21,"&gt;=0")/12*(((COUNTIFS(Participants!$B$2:$B$21,"Tool condition",Participants!$D$2:$D$21,"&gt;=0")+COUNTIFS(Participants!$B$2:$B$21,"Paper condition",Participants!$D$2:$D$21,"&gt;=0"))+1)-SUM(Helper!FG$52:FG$71)/((COUNTIFS(Participants!$B$2:$B$21,"Tool condition",Participants!$D$2:$D$21,"&gt;=0")+COUNTIFS(Participants!$B$2:$B$21,"Paper condition",Participants!$D$2:$D$21,"&gt;=0"))*((COUNTIFS(Participants!$B$2:$B$21,"Tool condition",Participants!$D$2:$D$21,"&gt;=0")+COUNTIFS(Participants!$B$2:$B$21,"Paper condition",Participants!$D$2:$D$21,"&gt;=0"))-1))))=0,1,MIN(1,2*(1-NORMSDIST((ABS(G71-COUNTIFS(Participants!$B$2:$B$21,"Tool condition",Participants!$D$2:$D$21,"&gt;=0")*COUNTIFS(Participants!$B$2:$B$21,"Paper condition",Participants!$D$2:$D$21,"&gt;=0")/2)-0.5)/SQRT(COUNTIFS(Participants!$B$2:$B$21,"Tool condition",Participants!$D$2:$D$21,"&gt;=0")*COUNTIFS(Participants!$B$2:$B$21,"Paper condition",Participants!$D$2:$D$21,"&gt;=0")/12*(((COUNTIFS(Participants!$B$2:$B$21,"Tool condition",Participants!$D$2:$D$21,"&gt;=0")+COUNTIFS(Participants!$B$2:$B$21,"Paper condition",Participants!$D$2:$D$21,"&gt;=0"))+1)-SUM(Helper!FG$52:FG$71)/((COUNTIFS(Participants!$B$2:$B$21,"Tool condition",Participants!$D$2:$D$21,"&gt;=0")+COUNTIFS(Participants!$B$2:$B$21,"Paper condition",Participants!$D$2:$D$21,"&gt;=0"))*((COUNTIFS(Participants!$B$2:$B$21,"Tool condition",Participants!$D$2:$D$21,"&gt;=0")+COUNTIFS(Participants!$B$2:$B$21,"Paper condition",Participants!$D$2:$D$21,"&gt;=0"))-1)))))))))</f>
        <v>1</v>
      </c>
      <c r="I71" s="7" t="n">
        <f aca="false">IF(G71="","",2*G71/(COUNTIFS(Participants!$B$2:$B$21,"Tool condition",Participants!$D$2:$D$21,"&gt;=0")*COUNTIFS(Participants!$B$2:$B$21,"Paper condition",Participants!$D$2:$D$21,"&gt;=0"))-1)</f>
        <v>0</v>
      </c>
    </row>
    <row r="72" customFormat="false" ht="14.25" hidden="false" customHeight="true" outlineLevel="0" collapsed="false">
      <c r="A72" s="11" t="s">
        <v>70</v>
      </c>
      <c r="B72" s="7" t="n">
        <f aca="false">IFERROR(AVERAGEIFS(Participants!$E$2:$E$21,Participants!$B$2:$B$21,"Tool condition"),"")</f>
        <v>3.2</v>
      </c>
      <c r="C72" s="7" t="n">
        <f aca="false">IFERROR(SQRT((SUMPRODUCT((Participants!$B$2:$B$21="Tool condition")*(Participants!$E$2:$E$21)^2)-COUNTIFS(Participants!$B$2:$B$21,"Tool condition",Participants!$E$2:$E$21,"&gt;=0")*B72^2)/(COUNTIFS(Participants!$B$2:$B$21,"Tool condition",Participants!$E$2:$E$21,"&gt;=0")-1)),"")</f>
        <v>0.421637021355781</v>
      </c>
      <c r="D72" s="7" t="n">
        <f aca="false">IFERROR(AVERAGEIFS(Participants!$E$2:$E$21,Participants!$B$2:$B$21,"Paper condition"),"")</f>
        <v>3.1</v>
      </c>
      <c r="E72" s="7" t="n">
        <f aca="false">IFERROR(SQRT((SUMPRODUCT((Participants!$B$2:$B$21="Paper condition")*(Participants!$E$2:$E$21)^2)-COUNTIFS(Participants!$B$2:$B$21,"Paper condition",Participants!$E$2:$E$21,"&gt;=0")*D72^2)/(COUNTIFS(Participants!$B$2:$B$21,"Paper condition",Participants!$E$2:$E$21,"&gt;=0")-1)),"")</f>
        <v>0.316227766016836</v>
      </c>
      <c r="G72" s="8" t="n">
        <f aca="false">IF(OR(COUNTIFS(Participants!$B$2:$B$21,"Tool condition",Participants!$E$2:$E$21,"&gt;=0")=0,COUNTIFS(Participants!$B$2:$B$21,"Paper condition",Participants!$E$2:$E$21,"&gt;=0")=0),"",SUM(Helper!FH$52:FH$71))</f>
        <v>55</v>
      </c>
      <c r="H72" s="9" t="n">
        <f aca="false">IF(G72="","",IF(SQRT(COUNTIFS(Participants!$B$2:$B$21,"Tool condition",Participants!$E$2:$E$21,"&gt;=0")*COUNTIFS(Participants!$B$2:$B$21,"Paper condition",Participants!$E$2:$E$21,"&gt;=0")/12*(((COUNTIFS(Participants!$B$2:$B$21,"Tool condition",Participants!$E$2:$E$21,"&gt;=0")+COUNTIFS(Participants!$B$2:$B$21,"Paper condition",Participants!$E$2:$E$21,"&gt;=0"))+1)-SUM(Helper!FI$52:FI$71)/((COUNTIFS(Participants!$B$2:$B$21,"Tool condition",Participants!$E$2:$E$21,"&gt;=0")+COUNTIFS(Participants!$B$2:$B$21,"Paper condition",Participants!$E$2:$E$21,"&gt;=0"))*((COUNTIFS(Participants!$B$2:$B$21,"Tool condition",Participants!$E$2:$E$21,"&gt;=0")+COUNTIFS(Participants!$B$2:$B$21,"Paper condition",Participants!$E$2:$E$21,"&gt;=0"))-1))))=0,1,MIN(1,2*(1-NORMSDIST((ABS(G72-COUNTIFS(Participants!$B$2:$B$21,"Tool condition",Participants!$E$2:$E$21,"&gt;=0")*COUNTIFS(Participants!$B$2:$B$21,"Paper condition",Participants!$E$2:$E$21,"&gt;=0")/2)-0.5)/SQRT(COUNTIFS(Participants!$B$2:$B$21,"Tool condition",Participants!$E$2:$E$21,"&gt;=0")*COUNTIFS(Participants!$B$2:$B$21,"Paper condition",Participants!$E$2:$E$21,"&gt;=0")/12*(((COUNTIFS(Participants!$B$2:$B$21,"Tool condition",Participants!$E$2:$E$21,"&gt;=0")+COUNTIFS(Participants!$B$2:$B$21,"Paper condition",Participants!$E$2:$E$21,"&gt;=0"))+1)-SUM(Helper!FI$52:FI$71)/((COUNTIFS(Participants!$B$2:$B$21,"Tool condition",Participants!$E$2:$E$21,"&gt;=0")+COUNTIFS(Participants!$B$2:$B$21,"Paper condition",Participants!$E$2:$E$21,"&gt;=0"))*((COUNTIFS(Participants!$B$2:$B$21,"Tool condition",Participants!$E$2:$E$21,"&gt;=0")+COUNTIFS(Participants!$B$2:$B$21,"Paper condition",Participants!$E$2:$E$21,"&gt;=0"))-1)))))))))</f>
        <v>0.582778217974038</v>
      </c>
      <c r="I72" s="7" t="n">
        <f aca="false">IF(G72="","",2*G72/(COUNTIFS(Participants!$B$2:$B$21,"Tool condition",Participants!$E$2:$E$21,"&gt;=0")*COUNTIFS(Participants!$B$2:$B$21,"Paper condition",Participants!$E$2:$E$21,"&gt;=0"))-1)</f>
        <v>0.1</v>
      </c>
    </row>
    <row r="73" customFormat="false" ht="14.25" hidden="false" customHeight="true" outlineLevel="0" collapsed="false">
      <c r="A73" s="11" t="s">
        <v>71</v>
      </c>
      <c r="B73" s="7" t="n">
        <f aca="false">IFERROR(AVERAGEIFS(Participants!$F$2:$F$21,Participants!$B$2:$B$21,"Tool condition"),"")</f>
        <v>3.4</v>
      </c>
      <c r="C73" s="7" t="n">
        <f aca="false">IFERROR(SQRT((SUMPRODUCT((Participants!$B$2:$B$21="Tool condition")*(Participants!$F$2:$F$21)^2)-COUNTIFS(Participants!$B$2:$B$21,"Tool condition",Participants!$F$2:$F$21,"&gt;=0")*B73^2)/(COUNTIFS(Participants!$B$2:$B$21,"Tool condition",Participants!$F$2:$F$21,"&gt;=0")-1)),"")</f>
        <v>0.516397779494323</v>
      </c>
      <c r="D73" s="7" t="n">
        <f aca="false">IFERROR(AVERAGEIFS(Participants!$F$2:$F$21,Participants!$B$2:$B$21,"Paper condition"),"")</f>
        <v>3.5</v>
      </c>
      <c r="E73" s="7" t="n">
        <f aca="false">IFERROR(SQRT((SUMPRODUCT((Participants!$B$2:$B$21="Paper condition")*(Participants!$F$2:$F$21)^2)-COUNTIFS(Participants!$B$2:$B$21,"Paper condition",Participants!$F$2:$F$21,"&gt;=0")*D73^2)/(COUNTIFS(Participants!$B$2:$B$21,"Paper condition",Participants!$F$2:$F$21,"&gt;=0")-1)),"")</f>
        <v>0.52704627669473</v>
      </c>
      <c r="G73" s="8" t="n">
        <f aca="false">IF(OR(COUNTIFS(Participants!$B$2:$B$21,"Tool condition",Participants!$F$2:$F$21,"&gt;=0")=0,COUNTIFS(Participants!$B$2:$B$21,"Paper condition",Participants!$F$2:$F$21,"&gt;=0")=0),"",SUM(Helper!FJ$52:FJ$71))</f>
        <v>45</v>
      </c>
      <c r="H73" s="9" t="n">
        <f aca="false">IF(G73="","",IF(SQRT(COUNTIFS(Participants!$B$2:$B$21,"Tool condition",Participants!$F$2:$F$21,"&gt;=0")*COUNTIFS(Participants!$B$2:$B$21,"Paper condition",Participants!$F$2:$F$21,"&gt;=0")/12*(((COUNTIFS(Participants!$B$2:$B$21,"Tool condition",Participants!$F$2:$F$21,"&gt;=0")+COUNTIFS(Participants!$B$2:$B$21,"Paper condition",Participants!$F$2:$F$21,"&gt;=0"))+1)-SUM(Helper!FK$52:FK$71)/((COUNTIFS(Participants!$B$2:$B$21,"Tool condition",Participants!$F$2:$F$21,"&gt;=0")+COUNTIFS(Participants!$B$2:$B$21,"Paper condition",Participants!$F$2:$F$21,"&gt;=0"))*((COUNTIFS(Participants!$B$2:$B$21,"Tool condition",Participants!$F$2:$F$21,"&gt;=0")+COUNTIFS(Participants!$B$2:$B$21,"Paper condition",Participants!$F$2:$F$21,"&gt;=0"))-1))))=0,1,MIN(1,2*(1-NORMSDIST((ABS(G73-COUNTIFS(Participants!$B$2:$B$21,"Tool condition",Participants!$F$2:$F$21,"&gt;=0")*COUNTIFS(Participants!$B$2:$B$21,"Paper condition",Participants!$F$2:$F$21,"&gt;=0")/2)-0.5)/SQRT(COUNTIFS(Participants!$B$2:$B$21,"Tool condition",Participants!$F$2:$F$21,"&gt;=0")*COUNTIFS(Participants!$B$2:$B$21,"Paper condition",Participants!$F$2:$F$21,"&gt;=0")/12*(((COUNTIFS(Participants!$B$2:$B$21,"Tool condition",Participants!$F$2:$F$21,"&gt;=0")+COUNTIFS(Participants!$B$2:$B$21,"Paper condition",Participants!$F$2:$F$21,"&gt;=0"))+1)-SUM(Helper!FK$52:FK$71)/((COUNTIFS(Participants!$B$2:$B$21,"Tool condition",Participants!$F$2:$F$21,"&gt;=0")+COUNTIFS(Participants!$B$2:$B$21,"Paper condition",Participants!$F$2:$F$21,"&gt;=0"))*((COUNTIFS(Participants!$B$2:$B$21,"Tool condition",Participants!$F$2:$F$21,"&gt;=0")+COUNTIFS(Participants!$B$2:$B$21,"Paper condition",Participants!$F$2:$F$21,"&gt;=0"))-1)))))))))</f>
        <v>0.693376361757653</v>
      </c>
      <c r="I73" s="7" t="n">
        <f aca="false">IF(G73="","",2*G73/(COUNTIFS(Participants!$B$2:$B$21,"Tool condition",Participants!$F$2:$F$21,"&gt;=0")*COUNTIFS(Participants!$B$2:$B$21,"Paper condition",Participants!$F$2:$F$21,"&gt;=0"))-1)</f>
        <v>-0.1</v>
      </c>
    </row>
  </sheetData>
  <mergeCells count="8">
    <mergeCell ref="A2:S2"/>
    <mergeCell ref="D5:G5"/>
    <mergeCell ref="H5:K5"/>
    <mergeCell ref="L5:O5"/>
    <mergeCell ref="P5:S5"/>
    <mergeCell ref="D46:G46"/>
    <mergeCell ref="H46:K46"/>
    <mergeCell ref="L46:O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8" activeCellId="0" sqref="C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5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8"/>
    <col collapsed="false" customWidth="true" hidden="false" outlineLevel="0" max="8" min="8" style="1" width="40"/>
  </cols>
  <sheetData>
    <row r="1" customFormat="false" ht="14.25" hidden="false" customHeight="true" outlineLevel="0" collapsed="false">
      <c r="A1" s="5" t="s">
        <v>72</v>
      </c>
      <c r="B1" s="5" t="s">
        <v>73</v>
      </c>
      <c r="C1" s="5" t="s">
        <v>74</v>
      </c>
      <c r="D1" s="5" t="s">
        <v>8</v>
      </c>
      <c r="E1" s="5" t="s">
        <v>7</v>
      </c>
      <c r="F1" s="5" t="s">
        <v>75</v>
      </c>
      <c r="G1" s="5" t="s">
        <v>76</v>
      </c>
      <c r="H1" s="5" t="s">
        <v>77</v>
      </c>
    </row>
    <row r="2" customFormat="false" ht="27" hidden="false" customHeight="true" outlineLevel="0" collapsed="false">
      <c r="A2" s="6" t="s">
        <v>17</v>
      </c>
      <c r="B2" s="17" t="s">
        <v>78</v>
      </c>
      <c r="C2" s="17" t="s">
        <v>79</v>
      </c>
      <c r="D2" s="6" t="s">
        <v>80</v>
      </c>
      <c r="E2" s="6" t="s">
        <v>81</v>
      </c>
      <c r="F2" s="6" t="s">
        <v>82</v>
      </c>
      <c r="G2" s="6" t="str">
        <f aca="false">IF(COUNTA(B2:E2)&gt;0,"Yes","No")</f>
        <v>Yes</v>
      </c>
      <c r="H2" s="17" t="s">
        <v>83</v>
      </c>
    </row>
    <row r="3" customFormat="false" ht="27" hidden="false" customHeight="true" outlineLevel="0" collapsed="false">
      <c r="A3" s="6" t="s">
        <v>18</v>
      </c>
      <c r="B3" s="17" t="s">
        <v>84</v>
      </c>
      <c r="C3" s="17" t="s">
        <v>85</v>
      </c>
      <c r="D3" s="6" t="s">
        <v>86</v>
      </c>
      <c r="E3" s="6" t="s">
        <v>81</v>
      </c>
      <c r="F3" s="6" t="s">
        <v>82</v>
      </c>
      <c r="G3" s="6" t="str">
        <f aca="false">IF(COUNTA(B3:E3)&gt;0,"Yes","No")</f>
        <v>Yes</v>
      </c>
      <c r="H3" s="17" t="s">
        <v>87</v>
      </c>
    </row>
    <row r="4" customFormat="false" ht="27" hidden="false" customHeight="true" outlineLevel="0" collapsed="false">
      <c r="A4" s="6" t="s">
        <v>19</v>
      </c>
      <c r="B4" s="17" t="s">
        <v>88</v>
      </c>
      <c r="C4" s="17" t="s">
        <v>89</v>
      </c>
      <c r="D4" s="6" t="s">
        <v>80</v>
      </c>
      <c r="E4" s="6" t="s">
        <v>90</v>
      </c>
      <c r="F4" s="6" t="s">
        <v>91</v>
      </c>
      <c r="G4" s="6" t="str">
        <f aca="false">IF(COUNTA(B4:E4)&gt;0,"Yes","No")</f>
        <v>Yes</v>
      </c>
      <c r="H4" s="17"/>
    </row>
    <row r="5" customFormat="false" ht="14.25" hidden="false" customHeight="true" outlineLevel="0" collapsed="false">
      <c r="A5" s="6" t="s">
        <v>20</v>
      </c>
      <c r="B5" s="17" t="s">
        <v>92</v>
      </c>
      <c r="C5" s="17" t="s">
        <v>93</v>
      </c>
      <c r="D5" s="6" t="s">
        <v>80</v>
      </c>
      <c r="E5" s="6" t="s">
        <v>81</v>
      </c>
      <c r="F5" s="6" t="s">
        <v>91</v>
      </c>
      <c r="G5" s="6" t="str">
        <f aca="false">IF(COUNTA(B5:E5)&gt;0,"Yes","No")</f>
        <v>Yes</v>
      </c>
      <c r="H5" s="17"/>
    </row>
    <row r="6" customFormat="false" ht="27" hidden="false" customHeight="true" outlineLevel="0" collapsed="false">
      <c r="A6" s="6" t="s">
        <v>21</v>
      </c>
      <c r="B6" s="17" t="s">
        <v>94</v>
      </c>
      <c r="C6" s="17" t="s">
        <v>95</v>
      </c>
      <c r="D6" s="6" t="s">
        <v>96</v>
      </c>
      <c r="E6" s="6" t="s">
        <v>81</v>
      </c>
      <c r="F6" s="6" t="s">
        <v>82</v>
      </c>
      <c r="G6" s="6" t="str">
        <f aca="false">IF(COUNTA(B6:E6)&gt;0,"Yes","No")</f>
        <v>Yes</v>
      </c>
      <c r="H6" s="17" t="s">
        <v>97</v>
      </c>
    </row>
    <row r="7" customFormat="false" ht="27" hidden="false" customHeight="true" outlineLevel="0" collapsed="false">
      <c r="A7" s="6" t="s">
        <v>22</v>
      </c>
      <c r="B7" s="17" t="s">
        <v>98</v>
      </c>
      <c r="C7" s="17" t="s">
        <v>99</v>
      </c>
      <c r="D7" s="6" t="s">
        <v>86</v>
      </c>
      <c r="E7" s="6" t="s">
        <v>81</v>
      </c>
      <c r="F7" s="6" t="s">
        <v>82</v>
      </c>
      <c r="G7" s="6" t="str">
        <f aca="false">IF(COUNTA(B7:E7)&gt;0,"Yes","No")</f>
        <v>Yes</v>
      </c>
      <c r="H7" s="17" t="s">
        <v>97</v>
      </c>
    </row>
    <row r="8" customFormat="false" ht="27" hidden="false" customHeight="true" outlineLevel="0" collapsed="false">
      <c r="A8" s="6" t="s">
        <v>23</v>
      </c>
      <c r="B8" s="17" t="s">
        <v>100</v>
      </c>
      <c r="C8" s="17" t="s">
        <v>101</v>
      </c>
      <c r="D8" s="6" t="s">
        <v>80</v>
      </c>
      <c r="E8" s="6" t="s">
        <v>90</v>
      </c>
      <c r="F8" s="6" t="s">
        <v>91</v>
      </c>
      <c r="G8" s="6" t="str">
        <f aca="false">IF(COUNTA(B8:E8)&gt;0,"Yes","No")</f>
        <v>Yes</v>
      </c>
      <c r="H8" s="17"/>
    </row>
    <row r="9" customFormat="false" ht="27" hidden="false" customHeight="true" outlineLevel="0" collapsed="false">
      <c r="A9" s="6" t="s">
        <v>24</v>
      </c>
      <c r="B9" s="17" t="s">
        <v>102</v>
      </c>
      <c r="C9" s="17" t="s">
        <v>103</v>
      </c>
      <c r="D9" s="6" t="s">
        <v>96</v>
      </c>
      <c r="E9" s="6" t="s">
        <v>90</v>
      </c>
      <c r="F9" s="6" t="s">
        <v>91</v>
      </c>
      <c r="G9" s="6" t="str">
        <f aca="false">IF(COUNTA(B9:E9)&gt;0,"Yes","No")</f>
        <v>Yes</v>
      </c>
      <c r="H9" s="17"/>
    </row>
    <row r="10" customFormat="false" ht="27" hidden="false" customHeight="true" outlineLevel="0" collapsed="false">
      <c r="A10" s="6" t="s">
        <v>25</v>
      </c>
      <c r="B10" s="17" t="s">
        <v>104</v>
      </c>
      <c r="C10" s="17" t="s">
        <v>105</v>
      </c>
      <c r="D10" s="6" t="s">
        <v>86</v>
      </c>
      <c r="E10" s="6" t="s">
        <v>90</v>
      </c>
      <c r="F10" s="6" t="s">
        <v>91</v>
      </c>
      <c r="G10" s="6" t="str">
        <f aca="false">IF(COUNTA(B10:E10)&gt;0,"Yes","No")</f>
        <v>Yes</v>
      </c>
      <c r="H10" s="17"/>
    </row>
    <row r="11" customFormat="false" ht="27" hidden="false" customHeight="true" outlineLevel="0" collapsed="false">
      <c r="A11" s="6" t="s">
        <v>26</v>
      </c>
      <c r="B11" s="17" t="s">
        <v>106</v>
      </c>
      <c r="C11" s="17" t="s">
        <v>107</v>
      </c>
      <c r="D11" s="6" t="s">
        <v>86</v>
      </c>
      <c r="E11" s="6" t="s">
        <v>90</v>
      </c>
      <c r="F11" s="6" t="s">
        <v>82</v>
      </c>
      <c r="G11" s="6" t="str">
        <f aca="false">IF(COUNTA(B11:E11)&gt;0,"Yes","No")</f>
        <v>Yes</v>
      </c>
      <c r="H11" s="17" t="s">
        <v>108</v>
      </c>
    </row>
    <row r="12" customFormat="false" ht="27" hidden="false" customHeight="true" outlineLevel="0" collapsed="false">
      <c r="A12" s="6" t="s">
        <v>27</v>
      </c>
      <c r="B12" s="17" t="s">
        <v>109</v>
      </c>
      <c r="C12" s="17" t="s">
        <v>110</v>
      </c>
      <c r="D12" s="6" t="s">
        <v>96</v>
      </c>
      <c r="E12" s="6" t="s">
        <v>81</v>
      </c>
      <c r="F12" s="6" t="s">
        <v>82</v>
      </c>
      <c r="G12" s="6" t="str">
        <f aca="false">IF(COUNTA(B12:E12)&gt;0,"Yes","No")</f>
        <v>Yes</v>
      </c>
      <c r="H12" s="17" t="s">
        <v>111</v>
      </c>
    </row>
    <row r="13" customFormat="false" ht="27" hidden="false" customHeight="true" outlineLevel="0" collapsed="false">
      <c r="A13" s="6" t="s">
        <v>28</v>
      </c>
      <c r="B13" s="17" t="s">
        <v>112</v>
      </c>
      <c r="C13" s="17" t="s">
        <v>113</v>
      </c>
      <c r="D13" s="6" t="s">
        <v>86</v>
      </c>
      <c r="E13" s="6" t="s">
        <v>81</v>
      </c>
      <c r="F13" s="6" t="s">
        <v>82</v>
      </c>
      <c r="G13" s="6" t="str">
        <f aca="false">IF(COUNTA(B13:E13)&gt;0,"Yes","No")</f>
        <v>Yes</v>
      </c>
      <c r="H13" s="17" t="s">
        <v>114</v>
      </c>
    </row>
    <row r="15" customFormat="false" ht="14.25" hidden="false" customHeight="true" outlineLevel="0" collapsed="false">
      <c r="A15" s="18" t="s">
        <v>115</v>
      </c>
    </row>
  </sheetData>
  <dataValidations count="3">
    <dataValidation allowBlank="true" errorStyle="stop" operator="between" showDropDown="false" showErrorMessage="false" showInputMessage="false" sqref="D2:D13" type="list">
      <formula1>"Model,Derivation,Code"</formula1>
      <formula2>0</formula2>
    </dataValidation>
    <dataValidation allowBlank="true" errorStyle="stop" operator="between" showDropDown="false" showErrorMessage="false" showInputMessage="false" sqref="E2:E13" type="list">
      <formula1>"Gate,Block"</formula1>
      <formula2>0</formula2>
    </dataValidation>
    <dataValidation allowBlank="true" errorStyle="stop" operator="between" showDropDown="false" showErrorMessage="false" showInputMessage="false" sqref="F2:F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32" activeCellId="0" sqref="G3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30"/>
  </cols>
  <sheetData>
    <row r="1" customFormat="false" ht="30" hidden="false" customHeight="true" outlineLevel="0" collapsed="false">
      <c r="A1" s="5" t="s">
        <v>72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/>
      <c r="H1" s="5"/>
    </row>
    <row r="2" customFormat="false" ht="14.25" hidden="false" customHeight="true" outlineLevel="0" collapsed="false">
      <c r="A2" s="6" t="s">
        <v>121</v>
      </c>
      <c r="B2" s="6" t="s">
        <v>122</v>
      </c>
      <c r="C2" s="6" t="s">
        <v>123</v>
      </c>
      <c r="D2" s="6" t="n">
        <v>1</v>
      </c>
      <c r="E2" s="6" t="n">
        <v>3</v>
      </c>
      <c r="F2" s="6" t="n">
        <v>3</v>
      </c>
      <c r="G2" s="6"/>
      <c r="H2" s="6"/>
    </row>
    <row r="3" customFormat="false" ht="14.25" hidden="false" customHeight="true" outlineLevel="0" collapsed="false">
      <c r="A3" s="6" t="s">
        <v>124</v>
      </c>
      <c r="B3" s="6" t="s">
        <v>122</v>
      </c>
      <c r="C3" s="6" t="s">
        <v>123</v>
      </c>
      <c r="D3" s="6" t="n">
        <v>1</v>
      </c>
      <c r="E3" s="6" t="n">
        <v>3</v>
      </c>
      <c r="F3" s="6" t="n">
        <v>3</v>
      </c>
      <c r="G3" s="6"/>
      <c r="H3" s="6"/>
    </row>
    <row r="4" customFormat="false" ht="14.25" hidden="false" customHeight="true" outlineLevel="0" collapsed="false">
      <c r="A4" s="6" t="s">
        <v>125</v>
      </c>
      <c r="B4" s="6" t="s">
        <v>122</v>
      </c>
      <c r="C4" s="6" t="s">
        <v>123</v>
      </c>
      <c r="D4" s="6" t="n">
        <v>1</v>
      </c>
      <c r="E4" s="6" t="n">
        <v>3</v>
      </c>
      <c r="F4" s="6" t="n">
        <v>4</v>
      </c>
      <c r="G4" s="6"/>
      <c r="H4" s="6"/>
    </row>
    <row r="5" customFormat="false" ht="14.25" hidden="false" customHeight="true" outlineLevel="0" collapsed="false">
      <c r="A5" s="6" t="s">
        <v>126</v>
      </c>
      <c r="B5" s="6" t="s">
        <v>122</v>
      </c>
      <c r="C5" s="6" t="s">
        <v>123</v>
      </c>
      <c r="D5" s="6" t="n">
        <v>1</v>
      </c>
      <c r="E5" s="6" t="n">
        <v>3</v>
      </c>
      <c r="F5" s="6" t="n">
        <v>3</v>
      </c>
      <c r="G5" s="6"/>
      <c r="H5" s="6"/>
    </row>
    <row r="6" customFormat="false" ht="14.25" hidden="false" customHeight="true" outlineLevel="0" collapsed="false">
      <c r="A6" s="6" t="s">
        <v>127</v>
      </c>
      <c r="B6" s="6" t="s">
        <v>122</v>
      </c>
      <c r="C6" s="6" t="s">
        <v>123</v>
      </c>
      <c r="D6" s="6" t="n">
        <v>2</v>
      </c>
      <c r="E6" s="6" t="n">
        <v>4</v>
      </c>
      <c r="F6" s="6" t="n">
        <v>4</v>
      </c>
      <c r="G6" s="6"/>
      <c r="H6" s="6"/>
    </row>
    <row r="7" customFormat="false" ht="14.25" hidden="false" customHeight="true" outlineLevel="0" collapsed="false">
      <c r="A7" s="6" t="s">
        <v>128</v>
      </c>
      <c r="B7" s="6" t="s">
        <v>122</v>
      </c>
      <c r="C7" s="6" t="s">
        <v>123</v>
      </c>
      <c r="D7" s="6" t="n">
        <v>1</v>
      </c>
      <c r="E7" s="6" t="n">
        <v>3</v>
      </c>
      <c r="F7" s="6" t="n">
        <v>3</v>
      </c>
      <c r="G7" s="6"/>
      <c r="H7" s="6"/>
    </row>
    <row r="8" customFormat="false" ht="14.25" hidden="false" customHeight="true" outlineLevel="0" collapsed="false">
      <c r="A8" s="6" t="s">
        <v>129</v>
      </c>
      <c r="B8" s="6" t="s">
        <v>122</v>
      </c>
      <c r="C8" s="6" t="s">
        <v>123</v>
      </c>
      <c r="D8" s="6" t="n">
        <v>1</v>
      </c>
      <c r="E8" s="6" t="n">
        <v>3</v>
      </c>
      <c r="F8" s="6" t="n">
        <v>4</v>
      </c>
      <c r="G8" s="6"/>
      <c r="H8" s="6"/>
    </row>
    <row r="9" customFormat="false" ht="14.25" hidden="false" customHeight="true" outlineLevel="0" collapsed="false">
      <c r="A9" s="6" t="s">
        <v>130</v>
      </c>
      <c r="B9" s="6" t="s">
        <v>122</v>
      </c>
      <c r="C9" s="6" t="s">
        <v>123</v>
      </c>
      <c r="D9" s="6" t="n">
        <v>1</v>
      </c>
      <c r="E9" s="6" t="n">
        <v>3</v>
      </c>
      <c r="F9" s="6" t="n">
        <v>3</v>
      </c>
      <c r="G9" s="6"/>
      <c r="H9" s="6"/>
    </row>
    <row r="10" customFormat="false" ht="14.25" hidden="false" customHeight="true" outlineLevel="0" collapsed="false">
      <c r="A10" s="6" t="s">
        <v>131</v>
      </c>
      <c r="B10" s="6" t="s">
        <v>122</v>
      </c>
      <c r="C10" s="6" t="s">
        <v>123</v>
      </c>
      <c r="D10" s="6" t="n">
        <v>1</v>
      </c>
      <c r="E10" s="6" t="n">
        <v>3</v>
      </c>
      <c r="F10" s="6" t="n">
        <v>4</v>
      </c>
      <c r="G10" s="6"/>
      <c r="H10" s="6"/>
    </row>
    <row r="11" customFormat="false" ht="14.25" hidden="false" customHeight="true" outlineLevel="0" collapsed="false">
      <c r="A11" s="6" t="s">
        <v>26</v>
      </c>
      <c r="B11" s="6" t="s">
        <v>122</v>
      </c>
      <c r="C11" s="6" t="s">
        <v>123</v>
      </c>
      <c r="D11" s="6" t="n">
        <v>1</v>
      </c>
      <c r="E11" s="6" t="n">
        <v>4</v>
      </c>
      <c r="F11" s="6" t="n">
        <v>3</v>
      </c>
      <c r="G11" s="6"/>
      <c r="H11" s="6"/>
    </row>
    <row r="12" customFormat="false" ht="14.25" hidden="false" customHeight="true" outlineLevel="0" collapsed="false">
      <c r="A12" s="6" t="s">
        <v>132</v>
      </c>
      <c r="B12" s="6" t="s">
        <v>133</v>
      </c>
      <c r="C12" s="6" t="s">
        <v>123</v>
      </c>
      <c r="D12" s="6" t="n">
        <v>2</v>
      </c>
      <c r="E12" s="6" t="n">
        <v>3</v>
      </c>
      <c r="F12" s="6" t="n">
        <v>4</v>
      </c>
      <c r="G12" s="6"/>
      <c r="H12" s="6"/>
    </row>
    <row r="13" customFormat="false" ht="14.25" hidden="false" customHeight="true" outlineLevel="0" collapsed="false">
      <c r="A13" s="6" t="s">
        <v>134</v>
      </c>
      <c r="B13" s="6" t="s">
        <v>133</v>
      </c>
      <c r="C13" s="6" t="s">
        <v>123</v>
      </c>
      <c r="D13" s="6" t="n">
        <v>1</v>
      </c>
      <c r="E13" s="6" t="n">
        <v>3</v>
      </c>
      <c r="F13" s="6" t="n">
        <v>4</v>
      </c>
      <c r="G13" s="6"/>
      <c r="H13" s="6"/>
    </row>
    <row r="14" customFormat="false" ht="14.25" hidden="false" customHeight="true" outlineLevel="0" collapsed="false">
      <c r="A14" s="6" t="s">
        <v>135</v>
      </c>
      <c r="B14" s="6" t="s">
        <v>133</v>
      </c>
      <c r="C14" s="6" t="s">
        <v>123</v>
      </c>
      <c r="D14" s="6" t="n">
        <v>1</v>
      </c>
      <c r="E14" s="6" t="n">
        <v>3</v>
      </c>
      <c r="F14" s="6" t="n">
        <v>4</v>
      </c>
      <c r="G14" s="6"/>
      <c r="H14" s="6"/>
    </row>
    <row r="15" customFormat="false" ht="14.25" hidden="false" customHeight="true" outlineLevel="0" collapsed="false">
      <c r="A15" s="6" t="s">
        <v>136</v>
      </c>
      <c r="B15" s="6" t="s">
        <v>133</v>
      </c>
      <c r="C15" s="6" t="s">
        <v>123</v>
      </c>
      <c r="D15" s="6" t="n">
        <v>1</v>
      </c>
      <c r="E15" s="6" t="n">
        <v>3</v>
      </c>
      <c r="F15" s="6" t="n">
        <v>3</v>
      </c>
      <c r="G15" s="6"/>
      <c r="H15" s="6"/>
    </row>
    <row r="16" customFormat="false" ht="14.25" hidden="false" customHeight="true" outlineLevel="0" collapsed="false">
      <c r="A16" s="6" t="s">
        <v>137</v>
      </c>
      <c r="B16" s="6" t="s">
        <v>133</v>
      </c>
      <c r="C16" s="6" t="s">
        <v>123</v>
      </c>
      <c r="D16" s="6" t="n">
        <v>1</v>
      </c>
      <c r="E16" s="6" t="n">
        <v>3</v>
      </c>
      <c r="F16" s="6" t="n">
        <v>3</v>
      </c>
      <c r="G16" s="6"/>
      <c r="H16" s="6"/>
    </row>
    <row r="17" customFormat="false" ht="14.25" hidden="false" customHeight="true" outlineLevel="0" collapsed="false">
      <c r="A17" s="6" t="s">
        <v>138</v>
      </c>
      <c r="B17" s="6" t="s">
        <v>133</v>
      </c>
      <c r="C17" s="6" t="s">
        <v>123</v>
      </c>
      <c r="D17" s="6" t="n">
        <v>1</v>
      </c>
      <c r="E17" s="6" t="n">
        <v>3</v>
      </c>
      <c r="F17" s="6" t="n">
        <v>3</v>
      </c>
      <c r="G17" s="6"/>
      <c r="H17" s="6"/>
    </row>
    <row r="18" customFormat="false" ht="14.25" hidden="false" customHeight="true" outlineLevel="0" collapsed="false">
      <c r="A18" s="6" t="s">
        <v>139</v>
      </c>
      <c r="B18" s="6" t="s">
        <v>133</v>
      </c>
      <c r="C18" s="6" t="s">
        <v>123</v>
      </c>
      <c r="D18" s="6" t="n">
        <v>1</v>
      </c>
      <c r="E18" s="6" t="n">
        <v>3</v>
      </c>
      <c r="F18" s="6" t="n">
        <v>3</v>
      </c>
      <c r="G18" s="6"/>
      <c r="H18" s="6"/>
    </row>
    <row r="19" customFormat="false" ht="14.25" hidden="false" customHeight="true" outlineLevel="0" collapsed="false">
      <c r="A19" s="6" t="s">
        <v>140</v>
      </c>
      <c r="B19" s="6" t="s">
        <v>133</v>
      </c>
      <c r="C19" s="6" t="s">
        <v>123</v>
      </c>
      <c r="D19" s="6" t="n">
        <v>1</v>
      </c>
      <c r="E19" s="6" t="n">
        <v>3</v>
      </c>
      <c r="F19" s="6" t="n">
        <v>4</v>
      </c>
      <c r="G19" s="6"/>
      <c r="H19" s="6"/>
    </row>
    <row r="20" customFormat="false" ht="14.25" hidden="false" customHeight="true" outlineLevel="0" collapsed="false">
      <c r="A20" s="6" t="s">
        <v>141</v>
      </c>
      <c r="B20" s="6" t="s">
        <v>133</v>
      </c>
      <c r="C20" s="6" t="s">
        <v>123</v>
      </c>
      <c r="D20" s="6" t="n">
        <v>1</v>
      </c>
      <c r="E20" s="6" t="n">
        <v>3</v>
      </c>
      <c r="F20" s="6" t="n">
        <v>4</v>
      </c>
      <c r="G20" s="6"/>
      <c r="H20" s="6"/>
    </row>
    <row r="21" customFormat="false" ht="14.25" hidden="false" customHeight="true" outlineLevel="0" collapsed="false">
      <c r="A21" s="6" t="s">
        <v>142</v>
      </c>
      <c r="B21" s="6" t="s">
        <v>133</v>
      </c>
      <c r="C21" s="6" t="s">
        <v>123</v>
      </c>
      <c r="D21" s="6" t="n">
        <v>1</v>
      </c>
      <c r="E21" s="6" t="n">
        <v>4</v>
      </c>
      <c r="F21" s="6" t="n">
        <v>3</v>
      </c>
      <c r="G21" s="6"/>
      <c r="H21" s="6"/>
    </row>
  </sheetData>
  <dataValidations count="4">
    <dataValidation allowBlank="false" errorStyle="stop" operator="between" showDropDown="false" showErrorMessage="false" showInputMessage="false" sqref="B2:B21" type="list">
      <formula1>"Tool condition,Paper condition"</formula1>
      <formula2>0</formula2>
    </dataValidation>
    <dataValidation allowBlank="false" errorStyle="stop" operator="between" showDropDown="false" showErrorMessage="false" showInputMessage="false" sqref="C2:C21" type="list">
      <formula1>"Paper,Tool"</formula1>
      <formula2>0</formula2>
    </dataValidation>
    <dataValidation allowBlank="true" errorStyle="stop" operator="between" showDropDown="false" showErrorMessage="false" showInputMessage="false" sqref="D2:F21" type="whole">
      <formula1>1</formula1>
      <formula2>5</formula2>
    </dataValidation>
    <dataValidation allowBlank="true" errorStyle="stop" operator="between" showDropDown="false" showErrorMessage="false" showInputMessage="false" sqref="G2:G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24" activePane="bottomRight" state="frozen"/>
      <selection pane="topLeft" activeCell="A1" activeCellId="0" sqref="A1"/>
      <selection pane="topRight" activeCell="E1" activeCellId="0" sqref="E1"/>
      <selection pane="bottomLeft" activeCell="A24" activeCellId="0" sqref="A24"/>
      <selection pane="bottomRight" activeCell="N51" activeCellId="0" sqref="N5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16" min="5" style="1" width="6"/>
  </cols>
  <sheetData>
    <row r="1" customFormat="false" ht="17.25" hidden="false" customHeight="true" outlineLevel="0" collapsed="false">
      <c r="A1" s="2" t="s">
        <v>143</v>
      </c>
    </row>
    <row r="4" customFormat="false" ht="14.25" hidden="false" customHeight="true" outlineLevel="0" collapsed="false">
      <c r="A4" s="5" t="s">
        <v>72</v>
      </c>
      <c r="B4" s="5" t="s">
        <v>144</v>
      </c>
      <c r="C4" s="5" t="s">
        <v>116</v>
      </c>
      <c r="D4" s="5" t="s">
        <v>145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</row>
    <row r="5" customFormat="false" ht="14.25" hidden="false" customHeight="true" outlineLevel="0" collapsed="false">
      <c r="A5" s="6" t="s">
        <v>121</v>
      </c>
      <c r="B5" s="6" t="n">
        <v>1</v>
      </c>
      <c r="C5" s="6" t="str">
        <f aca="false">IFERROR(INDEX(Participants!$B$2:$B$21,MATCH(A5,Participants!$A$2:$A$21,0)),"")</f>
        <v>Tool condition</v>
      </c>
      <c r="D5" s="6" t="str">
        <f aca="false">IF(C5="Tool condition","Tool",IF(C5="Paper condition","Paper",""))</f>
        <v>Tool</v>
      </c>
      <c r="E5" s="6" t="n">
        <v>2</v>
      </c>
      <c r="F5" s="6" t="n">
        <v>2</v>
      </c>
      <c r="G5" s="6" t="n">
        <v>2</v>
      </c>
      <c r="H5" s="6" t="n">
        <v>2</v>
      </c>
      <c r="I5" s="6" t="n">
        <v>2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</row>
    <row r="6" customFormat="false" ht="14.25" hidden="false" customHeight="true" outlineLevel="0" collapsed="false">
      <c r="A6" s="6" t="s">
        <v>124</v>
      </c>
      <c r="B6" s="6" t="n">
        <v>1</v>
      </c>
      <c r="C6" s="6" t="str">
        <f aca="false">IFERROR(INDEX(Participants!$B$2:$B$21,MATCH(A6,Participants!$A$2:$A$21,0)),"")</f>
        <v>Tool condition</v>
      </c>
      <c r="D6" s="6" t="str">
        <f aca="false">IF(C6="Tool condition","Tool",IF(C6="Paper condition","Paper",""))</f>
        <v>Tool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2</v>
      </c>
      <c r="M6" s="6" t="n">
        <v>2</v>
      </c>
      <c r="N6" s="6" t="n">
        <v>2</v>
      </c>
      <c r="O6" s="6" t="n">
        <v>2</v>
      </c>
      <c r="P6" s="6" t="n">
        <v>2</v>
      </c>
    </row>
    <row r="7" customFormat="false" ht="14.25" hidden="false" customHeight="true" outlineLevel="0" collapsed="false">
      <c r="A7" s="6" t="s">
        <v>125</v>
      </c>
      <c r="B7" s="6" t="n">
        <v>1</v>
      </c>
      <c r="C7" s="6" t="str">
        <f aca="false">IFERROR(INDEX(Participants!$B$2:$B$21,MATCH(A7,Participants!$A$2:$A$21,0)),"")</f>
        <v>Tool condition</v>
      </c>
      <c r="D7" s="6" t="str">
        <f aca="false">IF(C7="Tool condition","Tool",IF(C7="Paper condition","Paper",""))</f>
        <v>Tool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</row>
    <row r="8" customFormat="false" ht="14.25" hidden="false" customHeight="true" outlineLevel="0" collapsed="false">
      <c r="A8" s="6" t="s">
        <v>126</v>
      </c>
      <c r="B8" s="6" t="n">
        <v>1</v>
      </c>
      <c r="C8" s="6" t="str">
        <f aca="false">IFERROR(INDEX(Participants!$B$2:$B$21,MATCH(A8,Participants!$A$2:$A$21,0)),"")</f>
        <v>Tool condition</v>
      </c>
      <c r="D8" s="6" t="str">
        <f aca="false">IF(C8="Tool condition","Tool",IF(C8="Paper condition","Paper",""))</f>
        <v>Tool</v>
      </c>
      <c r="E8" s="6" t="n">
        <v>2</v>
      </c>
      <c r="F8" s="6" t="n">
        <v>2</v>
      </c>
      <c r="G8" s="6" t="n">
        <v>2</v>
      </c>
      <c r="H8" s="6" t="n">
        <v>2</v>
      </c>
      <c r="I8" s="6" t="n">
        <v>2</v>
      </c>
      <c r="J8" s="6" t="n">
        <v>2</v>
      </c>
      <c r="K8" s="6" t="n">
        <v>2</v>
      </c>
      <c r="L8" s="6" t="n">
        <v>2</v>
      </c>
      <c r="M8" s="6" t="n">
        <v>2</v>
      </c>
      <c r="N8" s="6" t="n">
        <v>2</v>
      </c>
      <c r="O8" s="6" t="n">
        <v>2</v>
      </c>
      <c r="P8" s="6" t="n">
        <v>2</v>
      </c>
    </row>
    <row r="9" customFormat="false" ht="14.25" hidden="false" customHeight="true" outlineLevel="0" collapsed="false">
      <c r="A9" s="6" t="s">
        <v>127</v>
      </c>
      <c r="B9" s="6" t="n">
        <v>1</v>
      </c>
      <c r="C9" s="6" t="str">
        <f aca="false">IFERROR(INDEX(Participants!$B$2:$B$21,MATCH(A9,Participants!$A$2:$A$21,0)),"")</f>
        <v>Tool condition</v>
      </c>
      <c r="D9" s="6" t="str">
        <f aca="false">IF(C9="Tool condition","Tool",IF(C9="Paper condition","Paper",""))</f>
        <v>Tool</v>
      </c>
      <c r="E9" s="6" t="n">
        <v>2</v>
      </c>
      <c r="F9" s="6" t="n">
        <v>2</v>
      </c>
      <c r="G9" s="6" t="n">
        <v>2</v>
      </c>
      <c r="H9" s="6" t="n">
        <v>2</v>
      </c>
      <c r="I9" s="6" t="n">
        <v>2</v>
      </c>
      <c r="J9" s="6" t="n">
        <v>2</v>
      </c>
      <c r="K9" s="6" t="n">
        <v>2</v>
      </c>
      <c r="L9" s="6" t="n">
        <v>2</v>
      </c>
      <c r="M9" s="6" t="n">
        <v>2</v>
      </c>
      <c r="N9" s="6" t="n">
        <v>2</v>
      </c>
      <c r="O9" s="6" t="n">
        <v>2</v>
      </c>
      <c r="P9" s="6" t="n">
        <v>2</v>
      </c>
    </row>
    <row r="10" customFormat="false" ht="14.25" hidden="false" customHeight="true" outlineLevel="0" collapsed="false">
      <c r="A10" s="6" t="s">
        <v>128</v>
      </c>
      <c r="B10" s="6" t="n">
        <v>1</v>
      </c>
      <c r="C10" s="6" t="str">
        <f aca="false">IFERROR(INDEX(Participants!$B$2:$B$21,MATCH(A10,Participants!$A$2:$A$21,0)),"")</f>
        <v>Tool condition</v>
      </c>
      <c r="D10" s="6" t="str">
        <f aca="false">IF(C10="Tool condition","Tool",IF(C10="Paper condition","Paper",""))</f>
        <v>Tool</v>
      </c>
      <c r="E10" s="6" t="n">
        <v>2</v>
      </c>
      <c r="F10" s="6" t="n">
        <v>2</v>
      </c>
      <c r="G10" s="6" t="n">
        <v>2</v>
      </c>
      <c r="H10" s="6" t="n">
        <v>2</v>
      </c>
      <c r="I10" s="6" t="n">
        <v>2</v>
      </c>
      <c r="J10" s="6" t="n">
        <v>2</v>
      </c>
      <c r="K10" s="6" t="n">
        <v>2</v>
      </c>
      <c r="L10" s="6" t="n">
        <v>2</v>
      </c>
      <c r="M10" s="6" t="n">
        <v>2</v>
      </c>
      <c r="N10" s="6" t="n">
        <v>2</v>
      </c>
      <c r="O10" s="6" t="n">
        <v>2</v>
      </c>
      <c r="P10" s="6" t="n">
        <v>2</v>
      </c>
    </row>
    <row r="11" customFormat="false" ht="14.25" hidden="false" customHeight="true" outlineLevel="0" collapsed="false">
      <c r="A11" s="6" t="s">
        <v>129</v>
      </c>
      <c r="B11" s="6" t="n">
        <v>1</v>
      </c>
      <c r="C11" s="6" t="str">
        <f aca="false">IFERROR(INDEX(Participants!$B$2:$B$21,MATCH(A11,Participants!$A$2:$A$21,0)),"")</f>
        <v>Tool condition</v>
      </c>
      <c r="D11" s="6" t="str">
        <f aca="false">IF(C11="Tool condition","Tool",IF(C11="Paper condition","Paper",""))</f>
        <v>Tool</v>
      </c>
      <c r="E11" s="6" t="n">
        <v>2</v>
      </c>
      <c r="F11" s="6" t="n">
        <v>2</v>
      </c>
      <c r="G11" s="6" t="n">
        <v>2</v>
      </c>
      <c r="H11" s="6" t="n">
        <v>2</v>
      </c>
      <c r="I11" s="6" t="n">
        <v>2</v>
      </c>
      <c r="J11" s="6" t="n">
        <v>2</v>
      </c>
      <c r="K11" s="6" t="n">
        <v>2</v>
      </c>
      <c r="L11" s="6" t="n">
        <v>2</v>
      </c>
      <c r="M11" s="6" t="n">
        <v>2</v>
      </c>
      <c r="N11" s="6" t="n">
        <v>2</v>
      </c>
      <c r="O11" s="6" t="n">
        <v>2</v>
      </c>
      <c r="P11" s="6" t="n">
        <v>2</v>
      </c>
    </row>
    <row r="12" customFormat="false" ht="14.25" hidden="false" customHeight="true" outlineLevel="0" collapsed="false">
      <c r="A12" s="6" t="s">
        <v>130</v>
      </c>
      <c r="B12" s="6" t="n">
        <v>1</v>
      </c>
      <c r="C12" s="6" t="str">
        <f aca="false">IFERROR(INDEX(Participants!$B$2:$B$21,MATCH(A12,Participants!$A$2:$A$21,0)),"")</f>
        <v>Tool condition</v>
      </c>
      <c r="D12" s="6" t="str">
        <f aca="false">IF(C12="Tool condition","Tool",IF(C12="Paper condition","Paper",""))</f>
        <v>Tool</v>
      </c>
      <c r="E12" s="6" t="n">
        <v>2</v>
      </c>
      <c r="F12" s="6" t="n">
        <v>2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2</v>
      </c>
      <c r="L12" s="6" t="n">
        <v>2</v>
      </c>
      <c r="M12" s="6" t="n">
        <v>2</v>
      </c>
      <c r="N12" s="6" t="n">
        <v>2</v>
      </c>
      <c r="O12" s="6" t="n">
        <v>2</v>
      </c>
      <c r="P12" s="6" t="n">
        <v>2</v>
      </c>
    </row>
    <row r="13" customFormat="false" ht="14.25" hidden="false" customHeight="true" outlineLevel="0" collapsed="false">
      <c r="A13" s="6" t="s">
        <v>131</v>
      </c>
      <c r="B13" s="6" t="n">
        <v>1</v>
      </c>
      <c r="C13" s="6" t="str">
        <f aca="false">IFERROR(INDEX(Participants!$B$2:$B$21,MATCH(A13,Participants!$A$2:$A$21,0)),"")</f>
        <v>Tool condition</v>
      </c>
      <c r="D13" s="6" t="str">
        <f aca="false">IF(C13="Tool condition","Tool",IF(C13="Paper condition","Paper",""))</f>
        <v>Tool</v>
      </c>
      <c r="E13" s="6" t="n">
        <v>2</v>
      </c>
      <c r="F13" s="6" t="n">
        <v>2</v>
      </c>
      <c r="G13" s="6" t="n">
        <v>2</v>
      </c>
      <c r="H13" s="6" t="n">
        <v>2</v>
      </c>
      <c r="I13" s="6" t="n">
        <v>2</v>
      </c>
      <c r="J13" s="6" t="n">
        <v>2</v>
      </c>
      <c r="K13" s="6" t="n">
        <v>2</v>
      </c>
      <c r="L13" s="6" t="n">
        <v>2</v>
      </c>
      <c r="M13" s="6" t="n">
        <v>2</v>
      </c>
      <c r="N13" s="6" t="n">
        <v>2</v>
      </c>
      <c r="O13" s="6" t="n">
        <v>2</v>
      </c>
      <c r="P13" s="6" t="n">
        <v>2</v>
      </c>
    </row>
    <row r="14" customFormat="false" ht="14.25" hidden="false" customHeight="true" outlineLevel="0" collapsed="false">
      <c r="A14" s="6" t="s">
        <v>26</v>
      </c>
      <c r="B14" s="6" t="n">
        <v>1</v>
      </c>
      <c r="C14" s="6" t="str">
        <f aca="false">IFERROR(INDEX(Participants!$B$2:$B$21,MATCH(A14,Participants!$A$2:$A$21,0)),"")</f>
        <v>Tool condition</v>
      </c>
      <c r="D14" s="6" t="str">
        <f aca="false">IF(C14="Tool condition","Tool",IF(C14="Paper condition","Paper",""))</f>
        <v>Tool</v>
      </c>
      <c r="E14" s="6" t="n">
        <v>2</v>
      </c>
      <c r="F14" s="6" t="n">
        <v>2</v>
      </c>
      <c r="G14" s="6" t="n">
        <v>2</v>
      </c>
      <c r="H14" s="6" t="n">
        <v>2</v>
      </c>
      <c r="I14" s="6" t="n">
        <v>2</v>
      </c>
      <c r="J14" s="6" t="n">
        <v>2</v>
      </c>
      <c r="K14" s="6" t="n">
        <v>2</v>
      </c>
      <c r="L14" s="6" t="n">
        <v>2</v>
      </c>
      <c r="M14" s="6" t="n">
        <v>2</v>
      </c>
      <c r="N14" s="6" t="n">
        <v>2</v>
      </c>
      <c r="O14" s="6" t="n">
        <v>2</v>
      </c>
      <c r="P14" s="6" t="n">
        <v>2</v>
      </c>
    </row>
    <row r="15" customFormat="false" ht="14.25" hidden="false" customHeight="true" outlineLevel="0" collapsed="false">
      <c r="A15" s="6" t="s">
        <v>132</v>
      </c>
      <c r="B15" s="6" t="n">
        <v>1</v>
      </c>
      <c r="C15" s="6" t="str">
        <f aca="false">IFERROR(INDEX(Participants!$B$2:$B$21,MATCH(A15,Participants!$A$2:$A$21,0)),"")</f>
        <v>Paper condition</v>
      </c>
      <c r="D15" s="6" t="str">
        <f aca="false">IF(C15="Tool condition","Tool",IF(C15="Paper condition","Paper",""))</f>
        <v>Paper</v>
      </c>
      <c r="E15" s="6" t="n">
        <v>2</v>
      </c>
      <c r="F15" s="6" t="n">
        <v>1</v>
      </c>
      <c r="G15" s="6" t="n">
        <v>2</v>
      </c>
      <c r="H15" s="6" t="n">
        <v>2</v>
      </c>
      <c r="I15" s="6" t="n">
        <v>1</v>
      </c>
      <c r="J15" s="6" t="n">
        <v>2</v>
      </c>
      <c r="K15" s="6" t="n">
        <v>1</v>
      </c>
      <c r="L15" s="6" t="n">
        <v>2</v>
      </c>
      <c r="M15" s="6" t="n">
        <v>2</v>
      </c>
      <c r="N15" s="6" t="n">
        <v>1</v>
      </c>
      <c r="O15" s="6" t="n">
        <v>2</v>
      </c>
      <c r="P15" s="6" t="n">
        <v>1</v>
      </c>
    </row>
    <row r="16" customFormat="false" ht="14.25" hidden="false" customHeight="true" outlineLevel="0" collapsed="false">
      <c r="A16" s="6" t="s">
        <v>134</v>
      </c>
      <c r="B16" s="6" t="n">
        <v>1</v>
      </c>
      <c r="C16" s="6" t="str">
        <f aca="false">IFERROR(INDEX(Participants!$B$2:$B$21,MATCH(A16,Participants!$A$2:$A$21,0)),"")</f>
        <v>Paper condition</v>
      </c>
      <c r="D16" s="6" t="str">
        <f aca="false">IF(C16="Tool condition","Tool",IF(C16="Paper condition","Paper",""))</f>
        <v>Paper</v>
      </c>
      <c r="E16" s="6" t="n">
        <v>2</v>
      </c>
      <c r="F16" s="6" t="n">
        <v>2</v>
      </c>
      <c r="G16" s="6" t="n">
        <v>2</v>
      </c>
      <c r="H16" s="6" t="n">
        <v>2</v>
      </c>
      <c r="I16" s="6" t="n">
        <v>2</v>
      </c>
      <c r="J16" s="6" t="n">
        <v>1</v>
      </c>
      <c r="K16" s="6" t="n">
        <v>2</v>
      </c>
      <c r="L16" s="6" t="n">
        <v>2</v>
      </c>
      <c r="M16" s="6" t="n">
        <v>2</v>
      </c>
      <c r="N16" s="6" t="n">
        <v>2</v>
      </c>
      <c r="O16" s="6" t="n">
        <v>1</v>
      </c>
      <c r="P16" s="6" t="n">
        <v>2</v>
      </c>
    </row>
    <row r="17" customFormat="false" ht="14.25" hidden="false" customHeight="true" outlineLevel="0" collapsed="false">
      <c r="A17" s="6" t="s">
        <v>135</v>
      </c>
      <c r="B17" s="6" t="n">
        <v>1</v>
      </c>
      <c r="C17" s="6" t="str">
        <f aca="false">IFERROR(INDEX(Participants!$B$2:$B$21,MATCH(A17,Participants!$A$2:$A$21,0)),"")</f>
        <v>Paper condition</v>
      </c>
      <c r="D17" s="6" t="str">
        <f aca="false">IF(C17="Tool condition","Tool",IF(C17="Paper condition","Paper",""))</f>
        <v>Paper</v>
      </c>
      <c r="E17" s="6" t="n">
        <v>1</v>
      </c>
      <c r="F17" s="6" t="n">
        <v>1</v>
      </c>
      <c r="G17" s="6" t="n">
        <v>2</v>
      </c>
      <c r="H17" s="6" t="n">
        <v>1</v>
      </c>
      <c r="I17" s="6" t="n">
        <v>0</v>
      </c>
      <c r="J17" s="6" t="n">
        <v>1</v>
      </c>
      <c r="K17" s="6" t="n">
        <v>2</v>
      </c>
      <c r="L17" s="6" t="n">
        <v>1</v>
      </c>
      <c r="M17" s="6" t="n">
        <v>2</v>
      </c>
      <c r="N17" s="6" t="n">
        <v>0</v>
      </c>
      <c r="O17" s="6" t="n">
        <v>1</v>
      </c>
      <c r="P17" s="6" t="n">
        <v>0</v>
      </c>
    </row>
    <row r="18" customFormat="false" ht="14.25" hidden="false" customHeight="true" outlineLevel="0" collapsed="false">
      <c r="A18" s="6" t="s">
        <v>136</v>
      </c>
      <c r="B18" s="6" t="n">
        <v>1</v>
      </c>
      <c r="C18" s="6" t="str">
        <f aca="false">IFERROR(INDEX(Participants!$B$2:$B$21,MATCH(A18,Participants!$A$2:$A$21,0)),"")</f>
        <v>Paper condition</v>
      </c>
      <c r="D18" s="6" t="str">
        <f aca="false">IF(C18="Tool condition","Tool",IF(C18="Paper condition","Paper",""))</f>
        <v>Paper</v>
      </c>
      <c r="E18" s="6" t="n">
        <v>2</v>
      </c>
      <c r="F18" s="6" t="n">
        <v>2</v>
      </c>
      <c r="G18" s="6" t="n">
        <v>1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1</v>
      </c>
      <c r="N18" s="6" t="n">
        <v>2</v>
      </c>
      <c r="O18" s="6" t="n">
        <v>2</v>
      </c>
      <c r="P18" s="6" t="n">
        <v>2</v>
      </c>
    </row>
    <row r="19" customFormat="false" ht="14.25" hidden="false" customHeight="true" outlineLevel="0" collapsed="false">
      <c r="A19" s="6" t="s">
        <v>137</v>
      </c>
      <c r="B19" s="6" t="n">
        <v>1</v>
      </c>
      <c r="C19" s="6" t="str">
        <f aca="false">IFERROR(INDEX(Participants!$B$2:$B$21,MATCH(A19,Participants!$A$2:$A$21,0)),"")</f>
        <v>Paper condition</v>
      </c>
      <c r="D19" s="6" t="str">
        <f aca="false">IF(C19="Tool condition","Tool",IF(C19="Paper condition","Paper",""))</f>
        <v>Paper</v>
      </c>
      <c r="E19" s="6" t="n">
        <v>1</v>
      </c>
      <c r="F19" s="6" t="n">
        <v>0</v>
      </c>
      <c r="G19" s="6" t="n">
        <v>2</v>
      </c>
      <c r="H19" s="6" t="n">
        <v>1</v>
      </c>
      <c r="I19" s="6" t="n">
        <v>1</v>
      </c>
      <c r="J19" s="6" t="n">
        <v>2</v>
      </c>
      <c r="K19" s="6" t="n">
        <v>1</v>
      </c>
      <c r="L19" s="6" t="n">
        <v>2</v>
      </c>
      <c r="M19" s="6" t="n">
        <v>2</v>
      </c>
      <c r="N19" s="6" t="n">
        <v>1</v>
      </c>
      <c r="O19" s="6" t="n">
        <v>1</v>
      </c>
      <c r="P19" s="6" t="n">
        <v>1</v>
      </c>
    </row>
    <row r="20" customFormat="false" ht="14.25" hidden="false" customHeight="true" outlineLevel="0" collapsed="false">
      <c r="A20" s="6" t="s">
        <v>138</v>
      </c>
      <c r="B20" s="6" t="n">
        <v>1</v>
      </c>
      <c r="C20" s="6" t="str">
        <f aca="false">IFERROR(INDEX(Participants!$B$2:$B$21,MATCH(A20,Participants!$A$2:$A$21,0)),"")</f>
        <v>Paper condition</v>
      </c>
      <c r="D20" s="6" t="str">
        <f aca="false">IF(C20="Tool condition","Tool",IF(C20="Paper condition","Paper",""))</f>
        <v>Paper</v>
      </c>
      <c r="E20" s="6" t="n">
        <v>2</v>
      </c>
      <c r="F20" s="6" t="n">
        <v>1</v>
      </c>
      <c r="G20" s="6" t="n">
        <v>2</v>
      </c>
      <c r="H20" s="6" t="n">
        <v>2</v>
      </c>
      <c r="I20" s="6" t="n">
        <v>1</v>
      </c>
      <c r="J20" s="6" t="n">
        <v>1</v>
      </c>
      <c r="K20" s="6" t="n">
        <v>2</v>
      </c>
      <c r="L20" s="6" t="n">
        <v>1</v>
      </c>
      <c r="M20" s="6" t="n">
        <v>2</v>
      </c>
      <c r="N20" s="6" t="n">
        <v>2</v>
      </c>
      <c r="O20" s="6" t="n">
        <v>2</v>
      </c>
      <c r="P20" s="6" t="n">
        <v>1</v>
      </c>
    </row>
    <row r="21" customFormat="false" ht="14.25" hidden="false" customHeight="true" outlineLevel="0" collapsed="false">
      <c r="A21" s="6" t="s">
        <v>139</v>
      </c>
      <c r="B21" s="6" t="n">
        <v>1</v>
      </c>
      <c r="C21" s="6" t="str">
        <f aca="false">IFERROR(INDEX(Participants!$B$2:$B$21,MATCH(A21,Participants!$A$2:$A$21,0)),"")</f>
        <v>Paper condition</v>
      </c>
      <c r="D21" s="6" t="str">
        <f aca="false">IF(C21="Tool condition","Tool",IF(C21="Paper condition","Paper",""))</f>
        <v>Paper</v>
      </c>
      <c r="E21" s="6" t="n">
        <v>0</v>
      </c>
      <c r="F21" s="6" t="n">
        <v>1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2</v>
      </c>
      <c r="M21" s="6" t="n">
        <v>1</v>
      </c>
      <c r="N21" s="6" t="n">
        <v>0</v>
      </c>
      <c r="O21" s="6" t="n">
        <v>1</v>
      </c>
      <c r="P21" s="6" t="n">
        <v>1</v>
      </c>
    </row>
    <row r="22" customFormat="false" ht="14.25" hidden="false" customHeight="true" outlineLevel="0" collapsed="false">
      <c r="A22" s="6" t="s">
        <v>140</v>
      </c>
      <c r="B22" s="6" t="n">
        <v>1</v>
      </c>
      <c r="C22" s="6" t="str">
        <f aca="false">IFERROR(INDEX(Participants!$B$2:$B$21,MATCH(A22,Participants!$A$2:$A$21,0)),"")</f>
        <v>Paper condition</v>
      </c>
      <c r="D22" s="6" t="str">
        <f aca="false">IF(C22="Tool condition","Tool",IF(C22="Paper condition","Paper",""))</f>
        <v>Paper</v>
      </c>
      <c r="E22" s="6" t="n">
        <v>2</v>
      </c>
      <c r="F22" s="6" t="n">
        <v>2</v>
      </c>
      <c r="G22" s="6" t="n">
        <v>2</v>
      </c>
      <c r="H22" s="6" t="n">
        <v>2</v>
      </c>
      <c r="I22" s="6" t="n">
        <v>2</v>
      </c>
      <c r="J22" s="6" t="n">
        <v>2</v>
      </c>
      <c r="K22" s="6" t="n">
        <v>2</v>
      </c>
      <c r="L22" s="6" t="n">
        <v>2</v>
      </c>
      <c r="M22" s="6" t="n">
        <v>2</v>
      </c>
      <c r="N22" s="6" t="n">
        <v>2</v>
      </c>
      <c r="O22" s="6" t="n">
        <v>2</v>
      </c>
      <c r="P22" s="6" t="n">
        <v>1</v>
      </c>
    </row>
    <row r="23" customFormat="false" ht="14.25" hidden="false" customHeight="true" outlineLevel="0" collapsed="false">
      <c r="A23" s="6" t="s">
        <v>141</v>
      </c>
      <c r="B23" s="6" t="n">
        <v>1</v>
      </c>
      <c r="C23" s="6" t="str">
        <f aca="false">IFERROR(INDEX(Participants!$B$2:$B$21,MATCH(A23,Participants!$A$2:$A$21,0)),"")</f>
        <v>Paper condition</v>
      </c>
      <c r="D23" s="6" t="str">
        <f aca="false">IF(C23="Tool condition","Tool",IF(C23="Paper condition","Paper",""))</f>
        <v>Paper</v>
      </c>
      <c r="E23" s="6" t="n">
        <v>1</v>
      </c>
      <c r="F23" s="6" t="n">
        <v>1</v>
      </c>
      <c r="G23" s="6" t="n">
        <v>1</v>
      </c>
      <c r="H23" s="6" t="n">
        <v>2</v>
      </c>
      <c r="I23" s="6" t="n">
        <v>1</v>
      </c>
      <c r="J23" s="6" t="n">
        <v>0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0</v>
      </c>
      <c r="P23" s="6" t="n">
        <v>1</v>
      </c>
    </row>
    <row r="24" customFormat="false" ht="14.25" hidden="false" customHeight="true" outlineLevel="0" collapsed="false">
      <c r="A24" s="6" t="s">
        <v>142</v>
      </c>
      <c r="B24" s="6" t="n">
        <v>1</v>
      </c>
      <c r="C24" s="6" t="str">
        <f aca="false">IFERROR(INDEX(Participants!$B$2:$B$21,MATCH(A24,Participants!$A$2:$A$21,0)),"")</f>
        <v>Paper condition</v>
      </c>
      <c r="D24" s="6" t="str">
        <f aca="false">IF(C24="Tool condition","Tool",IF(C24="Paper condition","Paper",""))</f>
        <v>Paper</v>
      </c>
      <c r="E24" s="6" t="n">
        <v>2</v>
      </c>
      <c r="F24" s="6" t="n">
        <v>2</v>
      </c>
      <c r="G24" s="6" t="n">
        <v>2</v>
      </c>
      <c r="H24" s="6" t="n">
        <v>1</v>
      </c>
      <c r="I24" s="6" t="n">
        <v>2</v>
      </c>
      <c r="J24" s="6" t="n">
        <v>2</v>
      </c>
      <c r="K24" s="6" t="n">
        <v>1</v>
      </c>
      <c r="L24" s="6" t="n">
        <v>2</v>
      </c>
      <c r="M24" s="6" t="n">
        <v>2</v>
      </c>
      <c r="N24" s="6" t="n">
        <v>1</v>
      </c>
      <c r="O24" s="6" t="n">
        <v>2</v>
      </c>
      <c r="P24" s="6" t="n">
        <v>2</v>
      </c>
    </row>
    <row r="25" customFormat="false" ht="14.25" hidden="false" customHeight="true" outlineLevel="0" collapsed="false">
      <c r="A25" s="6" t="s">
        <v>121</v>
      </c>
      <c r="B25" s="6" t="n">
        <v>2</v>
      </c>
      <c r="C25" s="6" t="str">
        <f aca="false">IFERROR(INDEX(Participants!$B$2:$B$21,MATCH(A25,Participants!$A$2:$A$21,0)),"")</f>
        <v>Tool condition</v>
      </c>
      <c r="D25" s="6" t="str">
        <f aca="false">IFERROR(INDEX(Participants!$C$2:$C$21,MATCH(A25,Participants!$A$2:$A$21,0)),"")</f>
        <v>Paper</v>
      </c>
      <c r="E25" s="6" t="n">
        <v>2</v>
      </c>
      <c r="F25" s="6" t="n">
        <v>2</v>
      </c>
      <c r="G25" s="6" t="n">
        <v>2</v>
      </c>
      <c r="H25" s="6" t="n">
        <v>1</v>
      </c>
      <c r="I25" s="6" t="n">
        <v>2</v>
      </c>
      <c r="J25" s="6" t="n">
        <v>2</v>
      </c>
      <c r="K25" s="6" t="n">
        <v>1</v>
      </c>
      <c r="L25" s="6" t="n">
        <v>2</v>
      </c>
      <c r="M25" s="6" t="n">
        <v>1</v>
      </c>
      <c r="N25" s="6" t="n">
        <v>2</v>
      </c>
      <c r="O25" s="6" t="n">
        <v>1</v>
      </c>
      <c r="P25" s="6" t="n">
        <v>0</v>
      </c>
    </row>
    <row r="26" customFormat="false" ht="14.25" hidden="false" customHeight="true" outlineLevel="0" collapsed="false">
      <c r="A26" s="6" t="s">
        <v>124</v>
      </c>
      <c r="B26" s="6" t="n">
        <v>2</v>
      </c>
      <c r="C26" s="6" t="str">
        <f aca="false">IFERROR(INDEX(Participants!$B$2:$B$21,MATCH(A26,Participants!$A$2:$A$21,0)),"")</f>
        <v>Tool condition</v>
      </c>
      <c r="D26" s="6" t="str">
        <f aca="false">IFERROR(INDEX(Participants!$C$2:$C$21,MATCH(A26,Participants!$A$2:$A$21,0)),"")</f>
        <v>Paper</v>
      </c>
      <c r="E26" s="6" t="n">
        <v>2</v>
      </c>
      <c r="F26" s="6" t="n">
        <v>1</v>
      </c>
      <c r="G26" s="6" t="n">
        <v>2</v>
      </c>
      <c r="H26" s="6" t="n">
        <v>2</v>
      </c>
      <c r="I26" s="6" t="n">
        <v>1</v>
      </c>
      <c r="J26" s="6" t="n">
        <v>2</v>
      </c>
      <c r="K26" s="6" t="n">
        <v>2</v>
      </c>
      <c r="L26" s="6" t="n">
        <v>1</v>
      </c>
      <c r="M26" s="6" t="n">
        <v>2</v>
      </c>
      <c r="N26" s="6" t="n">
        <v>1</v>
      </c>
      <c r="O26" s="6" t="n">
        <v>2</v>
      </c>
      <c r="P26" s="6" t="n">
        <v>1</v>
      </c>
    </row>
    <row r="27" customFormat="false" ht="14.25" hidden="false" customHeight="true" outlineLevel="0" collapsed="false">
      <c r="A27" s="6" t="s">
        <v>125</v>
      </c>
      <c r="B27" s="6" t="n">
        <v>2</v>
      </c>
      <c r="C27" s="6" t="str">
        <f aca="false">IFERROR(INDEX(Participants!$B$2:$B$21,MATCH(A27,Participants!$A$2:$A$21,0)),"")</f>
        <v>Tool condition</v>
      </c>
      <c r="D27" s="6" t="str">
        <f aca="false">IFERROR(INDEX(Participants!$C$2:$C$21,MATCH(A27,Participants!$A$2:$A$21,0)),"")</f>
        <v>Paper</v>
      </c>
      <c r="E27" s="6" t="n">
        <v>1</v>
      </c>
      <c r="F27" s="6" t="n">
        <v>2</v>
      </c>
      <c r="G27" s="6" t="n">
        <v>2</v>
      </c>
      <c r="H27" s="6" t="n">
        <v>2</v>
      </c>
      <c r="I27" s="6" t="n">
        <v>2</v>
      </c>
      <c r="J27" s="6" t="n">
        <v>1</v>
      </c>
      <c r="K27" s="6" t="n">
        <v>2</v>
      </c>
      <c r="L27" s="6" t="n">
        <v>1</v>
      </c>
      <c r="M27" s="6" t="n">
        <v>1</v>
      </c>
      <c r="N27" s="6" t="n">
        <v>0</v>
      </c>
      <c r="O27" s="6" t="n">
        <v>2</v>
      </c>
      <c r="P27" s="6" t="n">
        <v>1</v>
      </c>
    </row>
    <row r="28" customFormat="false" ht="14.25" hidden="false" customHeight="true" outlineLevel="0" collapsed="false">
      <c r="A28" s="6" t="s">
        <v>126</v>
      </c>
      <c r="B28" s="6" t="n">
        <v>2</v>
      </c>
      <c r="C28" s="6" t="str">
        <f aca="false">IFERROR(INDEX(Participants!$B$2:$B$21,MATCH(A28,Participants!$A$2:$A$21,0)),"")</f>
        <v>Tool condition</v>
      </c>
      <c r="D28" s="6" t="str">
        <f aca="false">IFERROR(INDEX(Participants!$C$2:$C$21,MATCH(A28,Participants!$A$2:$A$21,0)),"")</f>
        <v>Paper</v>
      </c>
      <c r="E28" s="6" t="n">
        <v>2</v>
      </c>
      <c r="F28" s="6" t="n">
        <v>2</v>
      </c>
      <c r="G28" s="6" t="n">
        <v>1</v>
      </c>
      <c r="H28" s="6" t="n">
        <v>2</v>
      </c>
      <c r="I28" s="6" t="n">
        <v>1</v>
      </c>
      <c r="J28" s="6" t="n">
        <v>2</v>
      </c>
      <c r="K28" s="6" t="n">
        <v>1</v>
      </c>
      <c r="L28" s="6" t="n">
        <v>2</v>
      </c>
      <c r="M28" s="6" t="n">
        <v>2</v>
      </c>
      <c r="N28" s="6" t="n">
        <v>1</v>
      </c>
      <c r="O28" s="6" t="n">
        <v>0</v>
      </c>
      <c r="P28" s="6" t="n">
        <v>1</v>
      </c>
    </row>
    <row r="29" customFormat="false" ht="14.25" hidden="false" customHeight="true" outlineLevel="0" collapsed="false">
      <c r="A29" s="6" t="s">
        <v>127</v>
      </c>
      <c r="B29" s="6" t="n">
        <v>2</v>
      </c>
      <c r="C29" s="6" t="str">
        <f aca="false">IFERROR(INDEX(Participants!$B$2:$B$21,MATCH(A29,Participants!$A$2:$A$21,0)),"")</f>
        <v>Tool condition</v>
      </c>
      <c r="D29" s="6" t="str">
        <f aca="false">IFERROR(INDEX(Participants!$C$2:$C$21,MATCH(A29,Participants!$A$2:$A$21,0)),"")</f>
        <v>Paper</v>
      </c>
      <c r="E29" s="6" t="n">
        <v>2</v>
      </c>
      <c r="F29" s="6" t="n">
        <v>1</v>
      </c>
      <c r="G29" s="6" t="n">
        <v>2</v>
      </c>
      <c r="H29" s="6" t="n">
        <v>1</v>
      </c>
      <c r="I29" s="6" t="n">
        <v>2</v>
      </c>
      <c r="J29" s="6" t="n">
        <v>2</v>
      </c>
      <c r="K29" s="6" t="n">
        <v>2</v>
      </c>
      <c r="L29" s="6" t="n">
        <v>1</v>
      </c>
      <c r="M29" s="6" t="n">
        <v>0</v>
      </c>
      <c r="N29" s="6" t="n">
        <v>2</v>
      </c>
      <c r="O29" s="6" t="n">
        <v>1</v>
      </c>
      <c r="P29" s="6" t="n">
        <v>1</v>
      </c>
    </row>
    <row r="30" customFormat="false" ht="14.25" hidden="false" customHeight="true" outlineLevel="0" collapsed="false">
      <c r="A30" s="6" t="s">
        <v>128</v>
      </c>
      <c r="B30" s="6" t="n">
        <v>2</v>
      </c>
      <c r="C30" s="6" t="str">
        <f aca="false">IFERROR(INDEX(Participants!$B$2:$B$21,MATCH(A30,Participants!$A$2:$A$21,0)),"")</f>
        <v>Tool condition</v>
      </c>
      <c r="D30" s="6" t="str">
        <f aca="false">IFERROR(INDEX(Participants!$C$2:$C$21,MATCH(A30,Participants!$A$2:$A$21,0)),"")</f>
        <v>Paper</v>
      </c>
      <c r="E30" s="6" t="n">
        <v>2</v>
      </c>
      <c r="F30" s="6" t="n">
        <v>2</v>
      </c>
      <c r="G30" s="6" t="n">
        <v>2</v>
      </c>
      <c r="H30" s="6" t="n">
        <v>1</v>
      </c>
      <c r="I30" s="6" t="n">
        <v>2</v>
      </c>
      <c r="J30" s="6" t="n">
        <v>1</v>
      </c>
      <c r="K30" s="6" t="n">
        <v>2</v>
      </c>
      <c r="L30" s="6" t="n">
        <v>2</v>
      </c>
      <c r="M30" s="6" t="n">
        <v>1</v>
      </c>
      <c r="N30" s="6" t="n">
        <v>1</v>
      </c>
      <c r="O30" s="6" t="n">
        <v>2</v>
      </c>
      <c r="P30" s="6" t="n">
        <v>0</v>
      </c>
    </row>
    <row r="31" customFormat="false" ht="14.25" hidden="false" customHeight="true" outlineLevel="0" collapsed="false">
      <c r="A31" s="6" t="s">
        <v>129</v>
      </c>
      <c r="B31" s="6" t="n">
        <v>2</v>
      </c>
      <c r="C31" s="6" t="str">
        <f aca="false">IFERROR(INDEX(Participants!$B$2:$B$21,MATCH(A31,Participants!$A$2:$A$21,0)),"")</f>
        <v>Tool condition</v>
      </c>
      <c r="D31" s="6" t="str">
        <f aca="false">IFERROR(INDEX(Participants!$C$2:$C$21,MATCH(A31,Participants!$A$2:$A$21,0)),"")</f>
        <v>Paper</v>
      </c>
      <c r="E31" s="6" t="n">
        <v>1</v>
      </c>
      <c r="F31" s="6" t="n">
        <v>2</v>
      </c>
      <c r="G31" s="6" t="n">
        <v>1</v>
      </c>
      <c r="H31" s="6" t="n">
        <v>2</v>
      </c>
      <c r="I31" s="6" t="n">
        <v>2</v>
      </c>
      <c r="J31" s="6" t="n">
        <v>2</v>
      </c>
      <c r="K31" s="6" t="n">
        <v>1</v>
      </c>
      <c r="L31" s="6" t="n">
        <v>2</v>
      </c>
      <c r="M31" s="6" t="n">
        <v>2</v>
      </c>
      <c r="N31" s="6" t="n">
        <v>0</v>
      </c>
      <c r="O31" s="6" t="n">
        <v>1</v>
      </c>
      <c r="P31" s="6" t="n">
        <v>1</v>
      </c>
    </row>
    <row r="32" customFormat="false" ht="14.25" hidden="false" customHeight="true" outlineLevel="0" collapsed="false">
      <c r="A32" s="6" t="s">
        <v>130</v>
      </c>
      <c r="B32" s="6" t="n">
        <v>2</v>
      </c>
      <c r="C32" s="6" t="str">
        <f aca="false">IFERROR(INDEX(Participants!$B$2:$B$21,MATCH(A32,Participants!$A$2:$A$21,0)),"")</f>
        <v>Tool condition</v>
      </c>
      <c r="D32" s="6" t="str">
        <f aca="false">IFERROR(INDEX(Participants!$C$2:$C$21,MATCH(A32,Participants!$A$2:$A$21,0)),"")</f>
        <v>Paper</v>
      </c>
      <c r="E32" s="6" t="n">
        <v>2</v>
      </c>
      <c r="F32" s="6" t="n">
        <v>2</v>
      </c>
      <c r="G32" s="6" t="n">
        <v>2</v>
      </c>
      <c r="H32" s="6" t="n">
        <v>2</v>
      </c>
      <c r="I32" s="6" t="n">
        <v>1</v>
      </c>
      <c r="J32" s="6" t="n">
        <v>1</v>
      </c>
      <c r="K32" s="6" t="n">
        <v>2</v>
      </c>
      <c r="L32" s="6" t="n">
        <v>1</v>
      </c>
      <c r="M32" s="6" t="n">
        <v>1</v>
      </c>
      <c r="N32" s="6" t="n">
        <v>2</v>
      </c>
      <c r="O32" s="6" t="n">
        <v>0</v>
      </c>
      <c r="P32" s="6" t="n">
        <v>1</v>
      </c>
    </row>
    <row r="33" customFormat="false" ht="14.25" hidden="false" customHeight="true" outlineLevel="0" collapsed="false">
      <c r="A33" s="6" t="s">
        <v>131</v>
      </c>
      <c r="B33" s="6" t="n">
        <v>2</v>
      </c>
      <c r="C33" s="6" t="str">
        <f aca="false">IFERROR(INDEX(Participants!$B$2:$B$21,MATCH(A33,Participants!$A$2:$A$21,0)),"")</f>
        <v>Tool condition</v>
      </c>
      <c r="D33" s="6" t="str">
        <f aca="false">IFERROR(INDEX(Participants!$C$2:$C$21,MATCH(A33,Participants!$A$2:$A$21,0)),"")</f>
        <v>Paper</v>
      </c>
      <c r="E33" s="6" t="n">
        <v>2</v>
      </c>
      <c r="F33" s="6" t="n">
        <v>1</v>
      </c>
      <c r="G33" s="6" t="n">
        <v>2</v>
      </c>
      <c r="H33" s="6" t="n">
        <v>2</v>
      </c>
      <c r="I33" s="6" t="n">
        <v>2</v>
      </c>
      <c r="J33" s="6" t="n">
        <v>1</v>
      </c>
      <c r="K33" s="6" t="n">
        <v>1</v>
      </c>
      <c r="L33" s="6" t="n">
        <v>2</v>
      </c>
      <c r="M33" s="6" t="n">
        <v>0</v>
      </c>
      <c r="N33" s="6" t="n">
        <v>1</v>
      </c>
      <c r="O33" s="6" t="n">
        <v>2</v>
      </c>
      <c r="P33" s="6" t="n">
        <v>0</v>
      </c>
    </row>
    <row r="34" customFormat="false" ht="14.25" hidden="false" customHeight="true" outlineLevel="0" collapsed="false">
      <c r="A34" s="6" t="s">
        <v>26</v>
      </c>
      <c r="B34" s="6" t="n">
        <v>2</v>
      </c>
      <c r="C34" s="6" t="str">
        <f aca="false">IFERROR(INDEX(Participants!$B$2:$B$21,MATCH(A34,Participants!$A$2:$A$21,0)),"")</f>
        <v>Tool condition</v>
      </c>
      <c r="D34" s="6" t="str">
        <f aca="false">IFERROR(INDEX(Participants!$C$2:$C$21,MATCH(A34,Participants!$A$2:$A$21,0)),"")</f>
        <v>Paper</v>
      </c>
      <c r="E34" s="6" t="n">
        <v>1</v>
      </c>
      <c r="F34" s="6" t="n">
        <v>2</v>
      </c>
      <c r="G34" s="6" t="n">
        <v>2</v>
      </c>
      <c r="H34" s="6" t="n">
        <v>1</v>
      </c>
      <c r="I34" s="6" t="n">
        <v>2</v>
      </c>
      <c r="J34" s="6" t="n">
        <v>2</v>
      </c>
      <c r="K34" s="6" t="n">
        <v>2</v>
      </c>
      <c r="L34" s="6" t="n">
        <v>1</v>
      </c>
      <c r="M34" s="6" t="n">
        <v>2</v>
      </c>
      <c r="N34" s="6" t="n">
        <v>0</v>
      </c>
      <c r="O34" s="6" t="n">
        <v>1</v>
      </c>
      <c r="P34" s="6" t="n">
        <v>1</v>
      </c>
    </row>
    <row r="35" customFormat="false" ht="14.25" hidden="false" customHeight="true" outlineLevel="0" collapsed="false">
      <c r="A35" s="6" t="s">
        <v>132</v>
      </c>
      <c r="B35" s="6" t="n">
        <v>2</v>
      </c>
      <c r="C35" s="6" t="str">
        <f aca="false">IFERROR(INDEX(Participants!$B$2:$B$21,MATCH(A35,Participants!$A$2:$A$21,0)),"")</f>
        <v>Paper condition</v>
      </c>
      <c r="D35" s="6" t="str">
        <f aca="false">IFERROR(INDEX(Participants!$C$2:$C$21,MATCH(A35,Participants!$A$2:$A$21,0)),"")</f>
        <v>Paper</v>
      </c>
      <c r="E35" s="6" t="n">
        <v>2</v>
      </c>
      <c r="F35" s="6" t="n">
        <v>1</v>
      </c>
      <c r="G35" s="6" t="n">
        <v>2</v>
      </c>
      <c r="H35" s="6" t="n">
        <v>1</v>
      </c>
      <c r="I35" s="6" t="n">
        <v>1</v>
      </c>
      <c r="J35" s="6" t="n">
        <v>2</v>
      </c>
      <c r="K35" s="6" t="n">
        <v>1</v>
      </c>
      <c r="L35" s="6" t="n">
        <v>1</v>
      </c>
      <c r="M35" s="6" t="n">
        <v>2</v>
      </c>
      <c r="N35" s="6" t="n">
        <v>1</v>
      </c>
      <c r="O35" s="6" t="n">
        <v>1</v>
      </c>
      <c r="P35" s="6" t="n">
        <v>0</v>
      </c>
    </row>
    <row r="36" customFormat="false" ht="14.25" hidden="false" customHeight="true" outlineLevel="0" collapsed="false">
      <c r="A36" s="6" t="s">
        <v>134</v>
      </c>
      <c r="B36" s="6" t="n">
        <v>2</v>
      </c>
      <c r="C36" s="6" t="str">
        <f aca="false">IFERROR(INDEX(Participants!$B$2:$B$21,MATCH(A36,Participants!$A$2:$A$21,0)),"")</f>
        <v>Paper condition</v>
      </c>
      <c r="D36" s="6" t="str">
        <f aca="false">IFERROR(INDEX(Participants!$C$2:$C$21,MATCH(A36,Participants!$A$2:$A$21,0)),"")</f>
        <v>Paper</v>
      </c>
      <c r="E36" s="6" t="n">
        <v>1</v>
      </c>
      <c r="F36" s="6" t="n">
        <v>2</v>
      </c>
      <c r="G36" s="6" t="n">
        <v>1</v>
      </c>
      <c r="H36" s="6" t="n">
        <v>2</v>
      </c>
      <c r="I36" s="6" t="n">
        <v>2</v>
      </c>
      <c r="J36" s="6" t="n">
        <v>1</v>
      </c>
      <c r="K36" s="6" t="n">
        <v>1</v>
      </c>
      <c r="L36" s="6" t="n">
        <v>2</v>
      </c>
      <c r="M36" s="6" t="n">
        <v>1</v>
      </c>
      <c r="N36" s="6" t="n">
        <v>1</v>
      </c>
      <c r="O36" s="6" t="n">
        <v>0</v>
      </c>
      <c r="P36" s="6" t="n">
        <v>1</v>
      </c>
    </row>
    <row r="37" customFormat="false" ht="14.25" hidden="false" customHeight="true" outlineLevel="0" collapsed="false">
      <c r="A37" s="6" t="s">
        <v>135</v>
      </c>
      <c r="B37" s="6" t="n">
        <v>2</v>
      </c>
      <c r="C37" s="6" t="str">
        <f aca="false">IFERROR(INDEX(Participants!$B$2:$B$21,MATCH(A37,Participants!$A$2:$A$21,0)),"")</f>
        <v>Paper condition</v>
      </c>
      <c r="D37" s="6" t="str">
        <f aca="false">IFERROR(INDEX(Participants!$C$2:$C$21,MATCH(A37,Participants!$A$2:$A$21,0)),"")</f>
        <v>Paper</v>
      </c>
      <c r="E37" s="6" t="n">
        <v>1</v>
      </c>
      <c r="F37" s="6" t="n">
        <v>1</v>
      </c>
      <c r="G37" s="6" t="n">
        <v>2</v>
      </c>
      <c r="H37" s="6" t="n">
        <v>1</v>
      </c>
      <c r="I37" s="6" t="n">
        <v>0</v>
      </c>
      <c r="J37" s="6" t="n">
        <v>1</v>
      </c>
      <c r="K37" s="6" t="n">
        <v>2</v>
      </c>
      <c r="L37" s="6" t="n">
        <v>1</v>
      </c>
      <c r="M37" s="6" t="n">
        <v>2</v>
      </c>
      <c r="N37" s="6" t="n">
        <v>0</v>
      </c>
      <c r="O37" s="6" t="n">
        <v>1</v>
      </c>
      <c r="P37" s="6" t="n">
        <v>1</v>
      </c>
    </row>
    <row r="38" customFormat="false" ht="14.25" hidden="false" customHeight="true" outlineLevel="0" collapsed="false">
      <c r="A38" s="6" t="s">
        <v>136</v>
      </c>
      <c r="B38" s="6" t="n">
        <v>2</v>
      </c>
      <c r="C38" s="6" t="str">
        <f aca="false">IFERROR(INDEX(Participants!$B$2:$B$21,MATCH(A38,Participants!$A$2:$A$21,0)),"")</f>
        <v>Paper condition</v>
      </c>
      <c r="D38" s="6" t="str">
        <f aca="false">IFERROR(INDEX(Participants!$C$2:$C$21,MATCH(A38,Participants!$A$2:$A$21,0)),"")</f>
        <v>Paper</v>
      </c>
      <c r="E38" s="6" t="n">
        <v>2</v>
      </c>
      <c r="F38" s="6" t="n">
        <v>2</v>
      </c>
      <c r="G38" s="6" t="n">
        <v>1</v>
      </c>
      <c r="H38" s="6" t="n">
        <v>2</v>
      </c>
      <c r="I38" s="6" t="n">
        <v>1</v>
      </c>
      <c r="J38" s="6" t="n">
        <v>2</v>
      </c>
      <c r="K38" s="6" t="n">
        <v>1</v>
      </c>
      <c r="L38" s="6" t="n">
        <v>1</v>
      </c>
      <c r="M38" s="6" t="n">
        <v>1</v>
      </c>
      <c r="N38" s="6" t="n">
        <v>2</v>
      </c>
      <c r="O38" s="6" t="n">
        <v>1</v>
      </c>
      <c r="P38" s="6" t="n">
        <v>0</v>
      </c>
    </row>
    <row r="39" customFormat="false" ht="14.25" hidden="false" customHeight="true" outlineLevel="0" collapsed="false">
      <c r="A39" s="6" t="s">
        <v>137</v>
      </c>
      <c r="B39" s="6" t="n">
        <v>2</v>
      </c>
      <c r="C39" s="6" t="str">
        <f aca="false">IFERROR(INDEX(Participants!$B$2:$B$21,MATCH(A39,Participants!$A$2:$A$21,0)),"")</f>
        <v>Paper condition</v>
      </c>
      <c r="D39" s="6" t="str">
        <f aca="false">IFERROR(INDEX(Participants!$C$2:$C$21,MATCH(A39,Participants!$A$2:$A$21,0)),"")</f>
        <v>Paper</v>
      </c>
      <c r="E39" s="6" t="n">
        <v>1</v>
      </c>
      <c r="F39" s="6" t="n">
        <v>0</v>
      </c>
      <c r="G39" s="6" t="n">
        <v>2</v>
      </c>
      <c r="H39" s="6" t="n">
        <v>1</v>
      </c>
      <c r="I39" s="6" t="n">
        <v>1</v>
      </c>
      <c r="J39" s="6" t="n">
        <v>2</v>
      </c>
      <c r="K39" s="6" t="n">
        <v>1</v>
      </c>
      <c r="L39" s="6" t="n">
        <v>2</v>
      </c>
      <c r="M39" s="6" t="n">
        <v>2</v>
      </c>
      <c r="N39" s="6" t="n">
        <v>1</v>
      </c>
      <c r="O39" s="6" t="n">
        <v>0</v>
      </c>
      <c r="P39" s="6" t="n">
        <v>1</v>
      </c>
    </row>
    <row r="40" customFormat="false" ht="14.25" hidden="false" customHeight="true" outlineLevel="0" collapsed="false">
      <c r="A40" s="6" t="s">
        <v>138</v>
      </c>
      <c r="B40" s="6" t="n">
        <v>2</v>
      </c>
      <c r="C40" s="6" t="str">
        <f aca="false">IFERROR(INDEX(Participants!$B$2:$B$21,MATCH(A40,Participants!$A$2:$A$21,0)),"")</f>
        <v>Paper condition</v>
      </c>
      <c r="D40" s="6" t="str">
        <f aca="false">IFERROR(INDEX(Participants!$C$2:$C$21,MATCH(A40,Participants!$A$2:$A$21,0)),"")</f>
        <v>Paper</v>
      </c>
      <c r="E40" s="6" t="n">
        <v>2</v>
      </c>
      <c r="F40" s="6" t="n">
        <v>1</v>
      </c>
      <c r="G40" s="6" t="n">
        <v>2</v>
      </c>
      <c r="H40" s="6" t="n">
        <v>2</v>
      </c>
      <c r="I40" s="6" t="n">
        <v>1</v>
      </c>
      <c r="J40" s="6" t="n">
        <v>1</v>
      </c>
      <c r="K40" s="6" t="n">
        <v>2</v>
      </c>
      <c r="L40" s="6" t="n">
        <v>1</v>
      </c>
      <c r="M40" s="6" t="n">
        <v>1</v>
      </c>
      <c r="N40" s="6" t="n">
        <v>2</v>
      </c>
      <c r="O40" s="6" t="n">
        <v>1</v>
      </c>
      <c r="P40" s="6" t="n">
        <v>0</v>
      </c>
    </row>
    <row r="41" customFormat="false" ht="14.25" hidden="false" customHeight="true" outlineLevel="0" collapsed="false">
      <c r="A41" s="6" t="s">
        <v>139</v>
      </c>
      <c r="B41" s="6" t="n">
        <v>2</v>
      </c>
      <c r="C41" s="6" t="str">
        <f aca="false">IFERROR(INDEX(Participants!$B$2:$B$21,MATCH(A41,Participants!$A$2:$A$21,0)),"")</f>
        <v>Paper condition</v>
      </c>
      <c r="D41" s="6" t="str">
        <f aca="false">IFERROR(INDEX(Participants!$C$2:$C$21,MATCH(A41,Participants!$A$2:$A$21,0)),"")</f>
        <v>Paper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2</v>
      </c>
      <c r="M41" s="6" t="n">
        <v>1</v>
      </c>
      <c r="N41" s="6" t="n">
        <v>0</v>
      </c>
      <c r="O41" s="6" t="n">
        <v>1</v>
      </c>
      <c r="P41" s="6" t="n">
        <v>1</v>
      </c>
    </row>
    <row r="42" customFormat="false" ht="14.25" hidden="false" customHeight="true" outlineLevel="0" collapsed="false">
      <c r="A42" s="6" t="s">
        <v>140</v>
      </c>
      <c r="B42" s="6" t="n">
        <v>2</v>
      </c>
      <c r="C42" s="6" t="str">
        <f aca="false">IFERROR(INDEX(Participants!$B$2:$B$21,MATCH(A42,Participants!$A$2:$A$21,0)),"")</f>
        <v>Paper condition</v>
      </c>
      <c r="D42" s="6" t="str">
        <f aca="false">IFERROR(INDEX(Participants!$C$2:$C$21,MATCH(A42,Participants!$A$2:$A$21,0)),"")</f>
        <v>Paper</v>
      </c>
      <c r="E42" s="6" t="n">
        <v>2</v>
      </c>
      <c r="F42" s="6" t="n">
        <v>2</v>
      </c>
      <c r="G42" s="6" t="n">
        <v>2</v>
      </c>
      <c r="H42" s="6" t="n">
        <v>1</v>
      </c>
      <c r="I42" s="6" t="n">
        <v>2</v>
      </c>
      <c r="J42" s="6" t="n">
        <v>2</v>
      </c>
      <c r="K42" s="6" t="n">
        <v>1</v>
      </c>
      <c r="L42" s="6" t="n">
        <v>2</v>
      </c>
      <c r="M42" s="6" t="n">
        <v>1</v>
      </c>
      <c r="N42" s="6" t="n">
        <v>2</v>
      </c>
      <c r="O42" s="6" t="n">
        <v>1</v>
      </c>
      <c r="P42" s="6" t="n">
        <v>0</v>
      </c>
    </row>
    <row r="43" customFormat="false" ht="14.25" hidden="false" customHeight="true" outlineLevel="0" collapsed="false">
      <c r="A43" s="6" t="s">
        <v>141</v>
      </c>
      <c r="B43" s="6" t="n">
        <v>2</v>
      </c>
      <c r="C43" s="6" t="str">
        <f aca="false">IFERROR(INDEX(Participants!$B$2:$B$21,MATCH(A43,Participants!$A$2:$A$21,0)),"")</f>
        <v>Paper condition</v>
      </c>
      <c r="D43" s="6" t="str">
        <f aca="false">IFERROR(INDEX(Participants!$C$2:$C$21,MATCH(A43,Participants!$A$2:$A$21,0)),"")</f>
        <v>Paper</v>
      </c>
      <c r="E43" s="6" t="n">
        <v>1</v>
      </c>
      <c r="F43" s="6" t="n">
        <v>1</v>
      </c>
      <c r="G43" s="6" t="n">
        <v>1</v>
      </c>
      <c r="H43" s="6" t="n">
        <v>2</v>
      </c>
      <c r="I43" s="6" t="n">
        <v>1</v>
      </c>
      <c r="J43" s="6" t="n">
        <v>1</v>
      </c>
      <c r="K43" s="6" t="n">
        <v>2</v>
      </c>
      <c r="L43" s="6" t="n">
        <v>1</v>
      </c>
      <c r="M43" s="6" t="n">
        <v>0</v>
      </c>
      <c r="N43" s="6" t="n">
        <v>1</v>
      </c>
      <c r="O43" s="6" t="n">
        <v>1</v>
      </c>
      <c r="P43" s="6" t="n">
        <v>0</v>
      </c>
    </row>
    <row r="44" customFormat="false" ht="14.25" hidden="false" customHeight="true" outlineLevel="0" collapsed="false">
      <c r="A44" s="6" t="s">
        <v>142</v>
      </c>
      <c r="B44" s="6" t="n">
        <v>2</v>
      </c>
      <c r="C44" s="6" t="str">
        <f aca="false">IFERROR(INDEX(Participants!$B$2:$B$21,MATCH(A44,Participants!$A$2:$A$21,0)),"")</f>
        <v>Paper condition</v>
      </c>
      <c r="D44" s="6" t="str">
        <f aca="false">IFERROR(INDEX(Participants!$C$2:$C$21,MATCH(A44,Participants!$A$2:$A$21,0)),"")</f>
        <v>Paper</v>
      </c>
      <c r="E44" s="6" t="n">
        <v>2</v>
      </c>
      <c r="F44" s="6" t="n">
        <v>2</v>
      </c>
      <c r="G44" s="6" t="n">
        <v>2</v>
      </c>
      <c r="H44" s="6" t="n">
        <v>1</v>
      </c>
      <c r="I44" s="6" t="n">
        <v>2</v>
      </c>
      <c r="J44" s="6" t="n">
        <v>2</v>
      </c>
      <c r="K44" s="6" t="n">
        <v>1</v>
      </c>
      <c r="L44" s="6" t="n">
        <v>2</v>
      </c>
      <c r="M44" s="6" t="n">
        <v>2</v>
      </c>
      <c r="N44" s="6" t="n">
        <v>1</v>
      </c>
      <c r="O44" s="6" t="n">
        <v>0</v>
      </c>
      <c r="P44" s="6" t="n">
        <v>1</v>
      </c>
    </row>
  </sheetData>
  <dataValidations count="1">
    <dataValidation allowBlank="true" error="Integers 0 to 2 only" errorStyle="stop" operator="between" showDropDown="false" showErrorMessage="true" showInputMessage="false" sqref="E5:P44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K31" activeCellId="0" sqref="K3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16" min="5" style="1" width="6"/>
  </cols>
  <sheetData>
    <row r="1" customFormat="false" ht="17.25" hidden="false" customHeight="true" outlineLevel="0" collapsed="false">
      <c r="A1" s="2" t="s">
        <v>146</v>
      </c>
    </row>
    <row r="4" customFormat="false" ht="14.25" hidden="false" customHeight="true" outlineLevel="0" collapsed="false">
      <c r="A4" s="5" t="s">
        <v>72</v>
      </c>
      <c r="B4" s="5" t="s">
        <v>144</v>
      </c>
      <c r="C4" s="5" t="s">
        <v>116</v>
      </c>
      <c r="D4" s="5" t="s">
        <v>145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</row>
    <row r="5" customFormat="false" ht="14.25" hidden="false" customHeight="true" outlineLevel="0" collapsed="false">
      <c r="A5" s="6" t="s">
        <v>121</v>
      </c>
      <c r="B5" s="6" t="n">
        <v>1</v>
      </c>
      <c r="C5" s="6" t="str">
        <f aca="false">IFERROR(INDEX(Participants!$B$2:$B$21,MATCH(A5,Participants!$A$2:$A$21,0)),"")</f>
        <v>Tool condition</v>
      </c>
      <c r="D5" s="6" t="str">
        <f aca="false">IF(C5="Tool condition","Tool",IF(C5="Paper condition","Paper",""))</f>
        <v>Tool</v>
      </c>
      <c r="E5" s="6" t="n">
        <v>1</v>
      </c>
      <c r="F5" s="6" t="n">
        <v>1</v>
      </c>
      <c r="G5" s="6"/>
      <c r="H5" s="6"/>
      <c r="I5" s="6" t="n">
        <v>1</v>
      </c>
      <c r="J5" s="6" t="n">
        <v>1</v>
      </c>
      <c r="K5" s="6"/>
      <c r="L5" s="6"/>
      <c r="M5" s="6"/>
      <c r="N5" s="6" t="n">
        <v>1</v>
      </c>
      <c r="O5" s="6" t="n">
        <v>1</v>
      </c>
      <c r="P5" s="6" t="n">
        <v>1</v>
      </c>
    </row>
    <row r="6" customFormat="false" ht="14.25" hidden="false" customHeight="true" outlineLevel="0" collapsed="false">
      <c r="A6" s="6" t="s">
        <v>124</v>
      </c>
      <c r="B6" s="6" t="n">
        <v>1</v>
      </c>
      <c r="C6" s="6" t="str">
        <f aca="false">IFERROR(INDEX(Participants!$B$2:$B$21,MATCH(A6,Participants!$A$2:$A$21,0)),"")</f>
        <v>Tool condition</v>
      </c>
      <c r="D6" s="6" t="str">
        <f aca="false">IF(C6="Tool condition","Tool",IF(C6="Paper condition","Paper",""))</f>
        <v>Tool</v>
      </c>
      <c r="E6" s="6" t="n">
        <v>1</v>
      </c>
      <c r="F6" s="6" t="n">
        <v>1</v>
      </c>
      <c r="G6" s="6"/>
      <c r="H6" s="6"/>
      <c r="I6" s="6" t="n">
        <v>1</v>
      </c>
      <c r="J6" s="6" t="n">
        <v>1</v>
      </c>
      <c r="K6" s="6"/>
      <c r="L6" s="6"/>
      <c r="M6" s="6"/>
      <c r="N6" s="6" t="n">
        <v>1</v>
      </c>
      <c r="O6" s="6" t="n">
        <v>1</v>
      </c>
      <c r="P6" s="6" t="n">
        <v>0</v>
      </c>
    </row>
    <row r="7" customFormat="false" ht="14.25" hidden="false" customHeight="true" outlineLevel="0" collapsed="false">
      <c r="A7" s="6" t="s">
        <v>125</v>
      </c>
      <c r="B7" s="6" t="n">
        <v>1</v>
      </c>
      <c r="C7" s="6" t="str">
        <f aca="false">IFERROR(INDEX(Participants!$B$2:$B$21,MATCH(A7,Participants!$A$2:$A$21,0)),"")</f>
        <v>Tool condition</v>
      </c>
      <c r="D7" s="6" t="str">
        <f aca="false">IF(C7="Tool condition","Tool",IF(C7="Paper condition","Paper",""))</f>
        <v>Tool</v>
      </c>
      <c r="E7" s="6" t="n">
        <v>1</v>
      </c>
      <c r="F7" s="6" t="n">
        <v>1</v>
      </c>
      <c r="G7" s="6"/>
      <c r="H7" s="6"/>
      <c r="I7" s="6" t="n">
        <v>0</v>
      </c>
      <c r="J7" s="6" t="n">
        <v>1</v>
      </c>
      <c r="K7" s="6"/>
      <c r="L7" s="6"/>
      <c r="M7" s="6"/>
      <c r="N7" s="6" t="n">
        <v>1</v>
      </c>
      <c r="O7" s="6" t="n">
        <v>1</v>
      </c>
      <c r="P7" s="6" t="n">
        <v>1</v>
      </c>
    </row>
    <row r="8" customFormat="false" ht="14.25" hidden="false" customHeight="true" outlineLevel="0" collapsed="false">
      <c r="A8" s="6" t="s">
        <v>126</v>
      </c>
      <c r="B8" s="6" t="n">
        <v>1</v>
      </c>
      <c r="C8" s="6" t="str">
        <f aca="false">IFERROR(INDEX(Participants!$B$2:$B$21,MATCH(A8,Participants!$A$2:$A$21,0)),"")</f>
        <v>Tool condition</v>
      </c>
      <c r="D8" s="6" t="str">
        <f aca="false">IF(C8="Tool condition","Tool",IF(C8="Paper condition","Paper",""))</f>
        <v>Tool</v>
      </c>
      <c r="E8" s="6" t="n">
        <v>1</v>
      </c>
      <c r="F8" s="6" t="n">
        <v>1</v>
      </c>
      <c r="G8" s="6"/>
      <c r="H8" s="6"/>
      <c r="I8" s="6" t="n">
        <v>1</v>
      </c>
      <c r="J8" s="6" t="n">
        <v>1</v>
      </c>
      <c r="K8" s="6"/>
      <c r="L8" s="6"/>
      <c r="M8" s="6"/>
      <c r="N8" s="6" t="n">
        <v>0</v>
      </c>
      <c r="O8" s="6" t="n">
        <v>1</v>
      </c>
      <c r="P8" s="6" t="n">
        <v>1</v>
      </c>
    </row>
    <row r="9" customFormat="false" ht="14.25" hidden="false" customHeight="true" outlineLevel="0" collapsed="false">
      <c r="A9" s="6" t="s">
        <v>127</v>
      </c>
      <c r="B9" s="6" t="n">
        <v>1</v>
      </c>
      <c r="C9" s="6" t="str">
        <f aca="false">IFERROR(INDEX(Participants!$B$2:$B$21,MATCH(A9,Participants!$A$2:$A$21,0)),"")</f>
        <v>Tool condition</v>
      </c>
      <c r="D9" s="6" t="str">
        <f aca="false">IF(C9="Tool condition","Tool",IF(C9="Paper condition","Paper",""))</f>
        <v>Tool</v>
      </c>
      <c r="E9" s="6" t="n">
        <v>1</v>
      </c>
      <c r="F9" s="6" t="n">
        <v>0</v>
      </c>
      <c r="G9" s="6"/>
      <c r="H9" s="6"/>
      <c r="I9" s="6" t="n">
        <v>1</v>
      </c>
      <c r="J9" s="6" t="n">
        <v>1</v>
      </c>
      <c r="K9" s="6"/>
      <c r="L9" s="6"/>
      <c r="M9" s="6"/>
      <c r="N9" s="6" t="n">
        <v>1</v>
      </c>
      <c r="O9" s="6" t="n">
        <v>1</v>
      </c>
      <c r="P9" s="6" t="n">
        <v>1</v>
      </c>
    </row>
    <row r="10" customFormat="false" ht="14.25" hidden="false" customHeight="true" outlineLevel="0" collapsed="false">
      <c r="A10" s="6" t="s">
        <v>128</v>
      </c>
      <c r="B10" s="6" t="n">
        <v>1</v>
      </c>
      <c r="C10" s="6" t="str">
        <f aca="false">IFERROR(INDEX(Participants!$B$2:$B$21,MATCH(A10,Participants!$A$2:$A$21,0)),"")</f>
        <v>Tool condition</v>
      </c>
      <c r="D10" s="6" t="str">
        <f aca="false">IF(C10="Tool condition","Tool",IF(C10="Paper condition","Paper",""))</f>
        <v>Tool</v>
      </c>
      <c r="E10" s="6" t="n">
        <v>1</v>
      </c>
      <c r="F10" s="6" t="n">
        <v>1</v>
      </c>
      <c r="G10" s="6"/>
      <c r="H10" s="6"/>
      <c r="I10" s="6" t="n">
        <v>1</v>
      </c>
      <c r="J10" s="6" t="n">
        <v>1</v>
      </c>
      <c r="K10" s="6"/>
      <c r="L10" s="6"/>
      <c r="M10" s="6"/>
      <c r="N10" s="6" t="n">
        <v>1</v>
      </c>
      <c r="O10" s="6" t="n">
        <v>0</v>
      </c>
      <c r="P10" s="6" t="n">
        <v>1</v>
      </c>
    </row>
    <row r="11" customFormat="false" ht="14.25" hidden="false" customHeight="true" outlineLevel="0" collapsed="false">
      <c r="A11" s="6" t="s">
        <v>129</v>
      </c>
      <c r="B11" s="6" t="n">
        <v>1</v>
      </c>
      <c r="C11" s="6" t="str">
        <f aca="false">IFERROR(INDEX(Participants!$B$2:$B$21,MATCH(A11,Participants!$A$2:$A$21,0)),"")</f>
        <v>Tool condition</v>
      </c>
      <c r="D11" s="6" t="str">
        <f aca="false">IF(C11="Tool condition","Tool",IF(C11="Paper condition","Paper",""))</f>
        <v>Tool</v>
      </c>
      <c r="E11" s="6" t="n">
        <v>1</v>
      </c>
      <c r="F11" s="6" t="n">
        <v>1</v>
      </c>
      <c r="G11" s="6"/>
      <c r="H11" s="6"/>
      <c r="I11" s="6" t="n">
        <v>1</v>
      </c>
      <c r="J11" s="6" t="n">
        <v>0</v>
      </c>
      <c r="K11" s="6"/>
      <c r="L11" s="6"/>
      <c r="M11" s="6"/>
      <c r="N11" s="6" t="n">
        <v>1</v>
      </c>
      <c r="O11" s="6" t="n">
        <v>1</v>
      </c>
      <c r="P11" s="6" t="n">
        <v>1</v>
      </c>
    </row>
    <row r="12" customFormat="false" ht="14.25" hidden="false" customHeight="true" outlineLevel="0" collapsed="false">
      <c r="A12" s="6" t="s">
        <v>130</v>
      </c>
      <c r="B12" s="6" t="n">
        <v>1</v>
      </c>
      <c r="C12" s="6" t="str">
        <f aca="false">IFERROR(INDEX(Participants!$B$2:$B$21,MATCH(A12,Participants!$A$2:$A$21,0)),"")</f>
        <v>Tool condition</v>
      </c>
      <c r="D12" s="6" t="str">
        <f aca="false">IF(C12="Tool condition","Tool",IF(C12="Paper condition","Paper",""))</f>
        <v>Tool</v>
      </c>
      <c r="E12" s="6" t="n">
        <v>0</v>
      </c>
      <c r="F12" s="6" t="n">
        <v>1</v>
      </c>
      <c r="G12" s="6"/>
      <c r="H12" s="6"/>
      <c r="I12" s="6" t="n">
        <v>1</v>
      </c>
      <c r="J12" s="6" t="n">
        <v>1</v>
      </c>
      <c r="K12" s="6"/>
      <c r="L12" s="6"/>
      <c r="M12" s="6"/>
      <c r="N12" s="6" t="n">
        <v>1</v>
      </c>
      <c r="O12" s="6" t="n">
        <v>1</v>
      </c>
      <c r="P12" s="6" t="n">
        <v>0</v>
      </c>
    </row>
    <row r="13" customFormat="false" ht="14.25" hidden="false" customHeight="true" outlineLevel="0" collapsed="false">
      <c r="A13" s="6" t="s">
        <v>131</v>
      </c>
      <c r="B13" s="6" t="n">
        <v>1</v>
      </c>
      <c r="C13" s="6" t="str">
        <f aca="false">IFERROR(INDEX(Participants!$B$2:$B$21,MATCH(A13,Participants!$A$2:$A$21,0)),"")</f>
        <v>Tool condition</v>
      </c>
      <c r="D13" s="6" t="str">
        <f aca="false">IF(C13="Tool condition","Tool",IF(C13="Paper condition","Paper",""))</f>
        <v>Tool</v>
      </c>
      <c r="E13" s="6" t="n">
        <v>1</v>
      </c>
      <c r="F13" s="6" t="n">
        <v>0</v>
      </c>
      <c r="G13" s="6"/>
      <c r="H13" s="6"/>
      <c r="I13" s="6" t="n">
        <v>1</v>
      </c>
      <c r="J13" s="6" t="n">
        <v>1</v>
      </c>
      <c r="K13" s="6"/>
      <c r="L13" s="6"/>
      <c r="M13" s="6"/>
      <c r="N13" s="6" t="n">
        <v>0</v>
      </c>
      <c r="O13" s="6" t="n">
        <v>1</v>
      </c>
      <c r="P13" s="6" t="n">
        <v>1</v>
      </c>
    </row>
    <row r="14" customFormat="false" ht="14.25" hidden="false" customHeight="true" outlineLevel="0" collapsed="false">
      <c r="A14" s="6" t="s">
        <v>26</v>
      </c>
      <c r="B14" s="6" t="n">
        <v>1</v>
      </c>
      <c r="C14" s="6" t="str">
        <f aca="false">IFERROR(INDEX(Participants!$B$2:$B$21,MATCH(A14,Participants!$A$2:$A$21,0)),"")</f>
        <v>Tool condition</v>
      </c>
      <c r="D14" s="6" t="str">
        <f aca="false">IF(C14="Tool condition","Tool",IF(C14="Paper condition","Paper",""))</f>
        <v>Tool</v>
      </c>
      <c r="E14" s="6" t="n">
        <v>1</v>
      </c>
      <c r="F14" s="6" t="n">
        <v>1</v>
      </c>
      <c r="G14" s="6"/>
      <c r="H14" s="6"/>
      <c r="I14" s="6" t="n">
        <v>0</v>
      </c>
      <c r="J14" s="6" t="n">
        <v>1</v>
      </c>
      <c r="K14" s="6"/>
      <c r="L14" s="6"/>
      <c r="M14" s="6"/>
      <c r="N14" s="6" t="n">
        <v>1</v>
      </c>
      <c r="O14" s="6" t="n">
        <v>0</v>
      </c>
      <c r="P14" s="6" t="n">
        <v>1</v>
      </c>
    </row>
    <row r="15" customFormat="false" ht="14.25" hidden="false" customHeight="true" outlineLevel="0" collapsed="false">
      <c r="A15" s="6" t="s">
        <v>132</v>
      </c>
      <c r="B15" s="6" t="n">
        <v>1</v>
      </c>
      <c r="C15" s="6" t="str">
        <f aca="false">IFERROR(INDEX(Participants!$B$2:$B$21,MATCH(A15,Participants!$A$2:$A$21,0)),"")</f>
        <v>Paper condition</v>
      </c>
      <c r="D15" s="6" t="str">
        <f aca="false">IF(C15="Tool condition","Tool",IF(C15="Paper condition","Paper",""))</f>
        <v>Paper</v>
      </c>
      <c r="E15" s="6" t="n">
        <v>1</v>
      </c>
      <c r="F15" s="6" t="n">
        <v>1</v>
      </c>
      <c r="G15" s="6"/>
      <c r="H15" s="6"/>
      <c r="I15" s="6" t="n">
        <v>0</v>
      </c>
      <c r="J15" s="6" t="n">
        <v>1</v>
      </c>
      <c r="K15" s="6"/>
      <c r="L15" s="6"/>
      <c r="M15" s="6"/>
      <c r="N15" s="6" t="n">
        <v>0</v>
      </c>
      <c r="O15" s="6" t="n">
        <v>1</v>
      </c>
      <c r="P15" s="6" t="n">
        <v>0</v>
      </c>
    </row>
    <row r="16" customFormat="false" ht="14.25" hidden="false" customHeight="true" outlineLevel="0" collapsed="false">
      <c r="A16" s="6" t="s">
        <v>134</v>
      </c>
      <c r="B16" s="6" t="n">
        <v>1</v>
      </c>
      <c r="C16" s="6" t="str">
        <f aca="false">IFERROR(INDEX(Participants!$B$2:$B$21,MATCH(A16,Participants!$A$2:$A$21,0)),"")</f>
        <v>Paper condition</v>
      </c>
      <c r="D16" s="6" t="str">
        <f aca="false">IF(C16="Tool condition","Tool",IF(C16="Paper condition","Paper",""))</f>
        <v>Paper</v>
      </c>
      <c r="E16" s="6" t="n">
        <v>1</v>
      </c>
      <c r="F16" s="6" t="n">
        <v>1</v>
      </c>
      <c r="G16" s="6"/>
      <c r="H16" s="6"/>
      <c r="I16" s="6" t="n">
        <v>1</v>
      </c>
      <c r="J16" s="6" t="n">
        <v>1</v>
      </c>
      <c r="K16" s="6"/>
      <c r="L16" s="6"/>
      <c r="M16" s="6"/>
      <c r="N16" s="6" t="n">
        <v>1</v>
      </c>
      <c r="O16" s="6" t="n">
        <v>0</v>
      </c>
      <c r="P16" s="6" t="n">
        <v>1</v>
      </c>
    </row>
    <row r="17" customFormat="false" ht="14.25" hidden="false" customHeight="true" outlineLevel="0" collapsed="false">
      <c r="A17" s="6" t="s">
        <v>135</v>
      </c>
      <c r="B17" s="6" t="n">
        <v>1</v>
      </c>
      <c r="C17" s="6" t="str">
        <f aca="false">IFERROR(INDEX(Participants!$B$2:$B$21,MATCH(A17,Participants!$A$2:$A$21,0)),"")</f>
        <v>Paper condition</v>
      </c>
      <c r="D17" s="6" t="str">
        <f aca="false">IF(C17="Tool condition","Tool",IF(C17="Paper condition","Paper",""))</f>
        <v>Paper</v>
      </c>
      <c r="E17" s="6" t="n">
        <v>0</v>
      </c>
      <c r="F17" s="6" t="n">
        <v>0</v>
      </c>
      <c r="G17" s="6"/>
      <c r="H17" s="6"/>
      <c r="I17" s="6" t="n">
        <v>0</v>
      </c>
      <c r="J17" s="6" t="n">
        <v>0</v>
      </c>
      <c r="K17" s="6"/>
      <c r="L17" s="6"/>
      <c r="M17" s="6"/>
      <c r="N17" s="6" t="n">
        <v>0</v>
      </c>
      <c r="O17" s="6" t="n">
        <v>0</v>
      </c>
      <c r="P17" s="6" t="n">
        <v>0</v>
      </c>
    </row>
    <row r="18" customFormat="false" ht="14.25" hidden="false" customHeight="true" outlineLevel="0" collapsed="false">
      <c r="A18" s="6" t="s">
        <v>136</v>
      </c>
      <c r="B18" s="6" t="n">
        <v>1</v>
      </c>
      <c r="C18" s="6" t="str">
        <f aca="false">IFERROR(INDEX(Participants!$B$2:$B$21,MATCH(A18,Participants!$A$2:$A$21,0)),"")</f>
        <v>Paper condition</v>
      </c>
      <c r="D18" s="6" t="str">
        <f aca="false">IF(C18="Tool condition","Tool",IF(C18="Paper condition","Paper",""))</f>
        <v>Paper</v>
      </c>
      <c r="E18" s="6" t="n">
        <v>1</v>
      </c>
      <c r="F18" s="6" t="n">
        <v>1</v>
      </c>
      <c r="G18" s="6"/>
      <c r="H18" s="6"/>
      <c r="I18" s="6" t="n">
        <v>1</v>
      </c>
      <c r="J18" s="6" t="n">
        <v>1</v>
      </c>
      <c r="K18" s="6"/>
      <c r="L18" s="6"/>
      <c r="M18" s="6"/>
      <c r="N18" s="6" t="n">
        <v>1</v>
      </c>
      <c r="O18" s="6" t="n">
        <v>1</v>
      </c>
      <c r="P18" s="6" t="n">
        <v>1</v>
      </c>
    </row>
    <row r="19" customFormat="false" ht="14.25" hidden="false" customHeight="true" outlineLevel="0" collapsed="false">
      <c r="A19" s="6" t="s">
        <v>137</v>
      </c>
      <c r="B19" s="6" t="n">
        <v>1</v>
      </c>
      <c r="C19" s="6" t="str">
        <f aca="false">IFERROR(INDEX(Participants!$B$2:$B$21,MATCH(A19,Participants!$A$2:$A$21,0)),"")</f>
        <v>Paper condition</v>
      </c>
      <c r="D19" s="6" t="str">
        <f aca="false">IF(C19="Tool condition","Tool",IF(C19="Paper condition","Paper",""))</f>
        <v>Paper</v>
      </c>
      <c r="E19" s="6" t="n">
        <v>0</v>
      </c>
      <c r="F19" s="6" t="n">
        <v>0</v>
      </c>
      <c r="G19" s="6"/>
      <c r="H19" s="6"/>
      <c r="I19" s="6" t="n">
        <v>1</v>
      </c>
      <c r="J19" s="6" t="n">
        <v>1</v>
      </c>
      <c r="K19" s="6"/>
      <c r="L19" s="6"/>
      <c r="M19" s="6"/>
      <c r="N19" s="6" t="n">
        <v>0</v>
      </c>
      <c r="O19" s="6" t="n">
        <v>0</v>
      </c>
      <c r="P19" s="6" t="n">
        <v>0</v>
      </c>
    </row>
    <row r="20" customFormat="false" ht="14.25" hidden="false" customHeight="true" outlineLevel="0" collapsed="false">
      <c r="A20" s="6" t="s">
        <v>138</v>
      </c>
      <c r="B20" s="6" t="n">
        <v>1</v>
      </c>
      <c r="C20" s="6" t="str">
        <f aca="false">IFERROR(INDEX(Participants!$B$2:$B$21,MATCH(A20,Participants!$A$2:$A$21,0)),"")</f>
        <v>Paper condition</v>
      </c>
      <c r="D20" s="6" t="str">
        <f aca="false">IF(C20="Tool condition","Tool",IF(C20="Paper condition","Paper",""))</f>
        <v>Paper</v>
      </c>
      <c r="E20" s="6" t="n">
        <v>1</v>
      </c>
      <c r="F20" s="6" t="n">
        <v>0</v>
      </c>
      <c r="G20" s="6"/>
      <c r="H20" s="6"/>
      <c r="I20" s="6" t="n">
        <v>0</v>
      </c>
      <c r="J20" s="6" t="n">
        <v>0</v>
      </c>
      <c r="K20" s="6"/>
      <c r="L20" s="6"/>
      <c r="M20" s="6"/>
      <c r="N20" s="6" t="n">
        <v>1</v>
      </c>
      <c r="O20" s="6" t="n">
        <v>1</v>
      </c>
      <c r="P20" s="6" t="n">
        <v>0</v>
      </c>
    </row>
    <row r="21" customFormat="false" ht="14.25" hidden="false" customHeight="true" outlineLevel="0" collapsed="false">
      <c r="A21" s="6" t="s">
        <v>139</v>
      </c>
      <c r="B21" s="6" t="n">
        <v>1</v>
      </c>
      <c r="C21" s="6" t="str">
        <f aca="false">IFERROR(INDEX(Participants!$B$2:$B$21,MATCH(A21,Participants!$A$2:$A$21,0)),"")</f>
        <v>Paper condition</v>
      </c>
      <c r="D21" s="6" t="str">
        <f aca="false">IF(C21="Tool condition","Tool",IF(C21="Paper condition","Paper",""))</f>
        <v>Paper</v>
      </c>
      <c r="E21" s="6" t="n">
        <v>0</v>
      </c>
      <c r="F21" s="6" t="n">
        <v>0</v>
      </c>
      <c r="G21" s="6"/>
      <c r="H21" s="6"/>
      <c r="I21" s="6" t="n">
        <v>0</v>
      </c>
      <c r="J21" s="6" t="n">
        <v>0</v>
      </c>
      <c r="K21" s="6"/>
      <c r="L21" s="6"/>
      <c r="M21" s="6"/>
      <c r="N21" s="6" t="n">
        <v>0</v>
      </c>
      <c r="O21" s="6" t="n">
        <v>0</v>
      </c>
      <c r="P21" s="6" t="n">
        <v>0</v>
      </c>
    </row>
    <row r="22" customFormat="false" ht="14.25" hidden="false" customHeight="true" outlineLevel="0" collapsed="false">
      <c r="A22" s="6" t="s">
        <v>140</v>
      </c>
      <c r="B22" s="6" t="n">
        <v>1</v>
      </c>
      <c r="C22" s="6" t="str">
        <f aca="false">IFERROR(INDEX(Participants!$B$2:$B$21,MATCH(A22,Participants!$A$2:$A$21,0)),"")</f>
        <v>Paper condition</v>
      </c>
      <c r="D22" s="6" t="str">
        <f aca="false">IF(C22="Tool condition","Tool",IF(C22="Paper condition","Paper",""))</f>
        <v>Paper</v>
      </c>
      <c r="E22" s="6" t="n">
        <v>1</v>
      </c>
      <c r="F22" s="6" t="n">
        <v>1</v>
      </c>
      <c r="G22" s="6"/>
      <c r="H22" s="6"/>
      <c r="I22" s="6" t="n">
        <v>1</v>
      </c>
      <c r="J22" s="6" t="n">
        <v>1</v>
      </c>
      <c r="K22" s="6"/>
      <c r="L22" s="6"/>
      <c r="M22" s="6"/>
      <c r="N22" s="6" t="n">
        <v>1</v>
      </c>
      <c r="O22" s="6" t="n">
        <v>1</v>
      </c>
      <c r="P22" s="6" t="n">
        <v>0</v>
      </c>
    </row>
    <row r="23" customFormat="false" ht="14.25" hidden="false" customHeight="true" outlineLevel="0" collapsed="false">
      <c r="A23" s="6" t="s">
        <v>141</v>
      </c>
      <c r="B23" s="6" t="n">
        <v>1</v>
      </c>
      <c r="C23" s="6" t="str">
        <f aca="false">IFERROR(INDEX(Participants!$B$2:$B$21,MATCH(A23,Participants!$A$2:$A$21,0)),"")</f>
        <v>Paper condition</v>
      </c>
      <c r="D23" s="6" t="str">
        <f aca="false">IF(C23="Tool condition","Tool",IF(C23="Paper condition","Paper",""))</f>
        <v>Paper</v>
      </c>
      <c r="E23" s="6" t="n">
        <v>0</v>
      </c>
      <c r="F23" s="6" t="n">
        <v>1</v>
      </c>
      <c r="G23" s="6"/>
      <c r="H23" s="6"/>
      <c r="I23" s="6" t="n">
        <v>0</v>
      </c>
      <c r="J23" s="6" t="n">
        <v>0</v>
      </c>
      <c r="K23" s="6"/>
      <c r="L23" s="6"/>
      <c r="M23" s="6"/>
      <c r="N23" s="6" t="n">
        <v>0</v>
      </c>
      <c r="O23" s="6" t="n">
        <v>0</v>
      </c>
      <c r="P23" s="6" t="n">
        <v>0</v>
      </c>
    </row>
    <row r="24" customFormat="false" ht="14.25" hidden="false" customHeight="true" outlineLevel="0" collapsed="false">
      <c r="A24" s="6" t="s">
        <v>142</v>
      </c>
      <c r="B24" s="6" t="n">
        <v>1</v>
      </c>
      <c r="C24" s="6" t="str">
        <f aca="false">IFERROR(INDEX(Participants!$B$2:$B$21,MATCH(A24,Participants!$A$2:$A$21,0)),"")</f>
        <v>Paper condition</v>
      </c>
      <c r="D24" s="6" t="str">
        <f aca="false">IF(C24="Tool condition","Tool",IF(C24="Paper condition","Paper",""))</f>
        <v>Paper</v>
      </c>
      <c r="E24" s="6" t="n">
        <v>1</v>
      </c>
      <c r="F24" s="6" t="n">
        <v>1</v>
      </c>
      <c r="G24" s="6"/>
      <c r="H24" s="6"/>
      <c r="I24" s="6" t="n">
        <v>1</v>
      </c>
      <c r="J24" s="6" t="n">
        <v>1</v>
      </c>
      <c r="K24" s="6"/>
      <c r="L24" s="6"/>
      <c r="M24" s="6"/>
      <c r="N24" s="6" t="n">
        <v>0</v>
      </c>
      <c r="O24" s="6" t="n">
        <v>1</v>
      </c>
      <c r="P24" s="6" t="n">
        <v>1</v>
      </c>
    </row>
    <row r="25" customFormat="false" ht="14.25" hidden="false" customHeight="true" outlineLevel="0" collapsed="false">
      <c r="A25" s="6" t="s">
        <v>121</v>
      </c>
      <c r="B25" s="6" t="n">
        <v>2</v>
      </c>
      <c r="C25" s="6" t="str">
        <f aca="false">IFERROR(INDEX(Participants!$B$2:$B$21,MATCH(A25,Participants!$A$2:$A$21,0)),"")</f>
        <v>Tool condition</v>
      </c>
      <c r="D25" s="6" t="str">
        <f aca="false">IFERROR(INDEX(Participants!$C$2:$C$21,MATCH(A25,Participants!$A$2:$A$21,0)),"")</f>
        <v>Paper</v>
      </c>
      <c r="E25" s="6" t="n">
        <v>1</v>
      </c>
      <c r="F25" s="6" t="n">
        <v>1</v>
      </c>
      <c r="G25" s="6"/>
      <c r="H25" s="6"/>
      <c r="I25" s="6" t="n">
        <v>1</v>
      </c>
      <c r="J25" s="6" t="n">
        <v>1</v>
      </c>
      <c r="K25" s="6"/>
      <c r="L25" s="6"/>
      <c r="M25" s="6"/>
      <c r="N25" s="6" t="n">
        <v>1</v>
      </c>
      <c r="O25" s="6" t="n">
        <v>1</v>
      </c>
      <c r="P25" s="6" t="n">
        <v>1</v>
      </c>
    </row>
    <row r="26" customFormat="false" ht="14.25" hidden="false" customHeight="true" outlineLevel="0" collapsed="false">
      <c r="A26" s="6" t="s">
        <v>124</v>
      </c>
      <c r="B26" s="6" t="n">
        <v>2</v>
      </c>
      <c r="C26" s="6" t="str">
        <f aca="false">IFERROR(INDEX(Participants!$B$2:$B$21,MATCH(A26,Participants!$A$2:$A$21,0)),"")</f>
        <v>Tool condition</v>
      </c>
      <c r="D26" s="6" t="str">
        <f aca="false">IFERROR(INDEX(Participants!$C$2:$C$21,MATCH(A26,Participants!$A$2:$A$21,0)),"")</f>
        <v>Paper</v>
      </c>
      <c r="E26" s="6" t="n">
        <v>1</v>
      </c>
      <c r="F26" s="6" t="n">
        <v>1</v>
      </c>
      <c r="G26" s="6"/>
      <c r="H26" s="6"/>
      <c r="I26" s="6" t="n">
        <v>1</v>
      </c>
      <c r="J26" s="6" t="n">
        <v>0</v>
      </c>
      <c r="K26" s="6"/>
      <c r="L26" s="6"/>
      <c r="M26" s="6"/>
      <c r="N26" s="6" t="n">
        <v>1</v>
      </c>
      <c r="O26" s="6" t="n">
        <v>1</v>
      </c>
      <c r="P26" s="6" t="n">
        <v>0</v>
      </c>
    </row>
    <row r="27" customFormat="false" ht="14.25" hidden="false" customHeight="true" outlineLevel="0" collapsed="false">
      <c r="A27" s="6" t="s">
        <v>125</v>
      </c>
      <c r="B27" s="6" t="n">
        <v>2</v>
      </c>
      <c r="C27" s="6" t="str">
        <f aca="false">IFERROR(INDEX(Participants!$B$2:$B$21,MATCH(A27,Participants!$A$2:$A$21,0)),"")</f>
        <v>Tool condition</v>
      </c>
      <c r="D27" s="6" t="str">
        <f aca="false">IFERROR(INDEX(Participants!$C$2:$C$21,MATCH(A27,Participants!$A$2:$A$21,0)),"")</f>
        <v>Paper</v>
      </c>
      <c r="E27" s="6" t="n">
        <v>1</v>
      </c>
      <c r="F27" s="6" t="n">
        <v>0</v>
      </c>
      <c r="G27" s="6"/>
      <c r="H27" s="6"/>
      <c r="I27" s="6" t="n">
        <v>0</v>
      </c>
      <c r="J27" s="6" t="n">
        <v>1</v>
      </c>
      <c r="K27" s="6"/>
      <c r="L27" s="6"/>
      <c r="M27" s="6"/>
      <c r="N27" s="6" t="n">
        <v>1</v>
      </c>
      <c r="O27" s="6" t="n">
        <v>1</v>
      </c>
      <c r="P27" s="6" t="n">
        <v>1</v>
      </c>
    </row>
    <row r="28" customFormat="false" ht="14.25" hidden="false" customHeight="true" outlineLevel="0" collapsed="false">
      <c r="A28" s="6" t="s">
        <v>126</v>
      </c>
      <c r="B28" s="6" t="n">
        <v>2</v>
      </c>
      <c r="C28" s="6" t="str">
        <f aca="false">IFERROR(INDEX(Participants!$B$2:$B$21,MATCH(A28,Participants!$A$2:$A$21,0)),"")</f>
        <v>Tool condition</v>
      </c>
      <c r="D28" s="6" t="str">
        <f aca="false">IFERROR(INDEX(Participants!$C$2:$C$21,MATCH(A28,Participants!$A$2:$A$21,0)),"")</f>
        <v>Paper</v>
      </c>
      <c r="E28" s="6" t="n">
        <v>1</v>
      </c>
      <c r="F28" s="6" t="n">
        <v>1</v>
      </c>
      <c r="G28" s="6"/>
      <c r="H28" s="6"/>
      <c r="I28" s="6" t="n">
        <v>1</v>
      </c>
      <c r="J28" s="6" t="n">
        <v>1</v>
      </c>
      <c r="K28" s="6"/>
      <c r="L28" s="6"/>
      <c r="M28" s="6"/>
      <c r="N28" s="6" t="n">
        <v>0</v>
      </c>
      <c r="O28" s="6" t="n">
        <v>1</v>
      </c>
      <c r="P28" s="6" t="n">
        <v>0</v>
      </c>
    </row>
    <row r="29" customFormat="false" ht="14.25" hidden="false" customHeight="true" outlineLevel="0" collapsed="false">
      <c r="A29" s="6" t="s">
        <v>127</v>
      </c>
      <c r="B29" s="6" t="n">
        <v>2</v>
      </c>
      <c r="C29" s="6" t="str">
        <f aca="false">IFERROR(INDEX(Participants!$B$2:$B$21,MATCH(A29,Participants!$A$2:$A$21,0)),"")</f>
        <v>Tool condition</v>
      </c>
      <c r="D29" s="6" t="str">
        <f aca="false">IFERROR(INDEX(Participants!$C$2:$C$21,MATCH(A29,Participants!$A$2:$A$21,0)),"")</f>
        <v>Paper</v>
      </c>
      <c r="E29" s="6" t="n">
        <v>1</v>
      </c>
      <c r="F29" s="6" t="n">
        <v>0</v>
      </c>
      <c r="G29" s="6"/>
      <c r="H29" s="6"/>
      <c r="I29" s="6" t="n">
        <v>1</v>
      </c>
      <c r="J29" s="6" t="n">
        <v>1</v>
      </c>
      <c r="K29" s="6"/>
      <c r="L29" s="6"/>
      <c r="M29" s="6"/>
      <c r="N29" s="6" t="n">
        <v>1</v>
      </c>
      <c r="O29" s="6" t="n">
        <v>0</v>
      </c>
      <c r="P29" s="6" t="n">
        <v>1</v>
      </c>
    </row>
    <row r="30" customFormat="false" ht="14.25" hidden="false" customHeight="true" outlineLevel="0" collapsed="false">
      <c r="A30" s="6" t="s">
        <v>128</v>
      </c>
      <c r="B30" s="6" t="n">
        <v>2</v>
      </c>
      <c r="C30" s="6" t="str">
        <f aca="false">IFERROR(INDEX(Participants!$B$2:$B$21,MATCH(A30,Participants!$A$2:$A$21,0)),"")</f>
        <v>Tool condition</v>
      </c>
      <c r="D30" s="6" t="str">
        <f aca="false">IFERROR(INDEX(Participants!$C$2:$C$21,MATCH(A30,Participants!$A$2:$A$21,0)),"")</f>
        <v>Paper</v>
      </c>
      <c r="E30" s="6" t="n">
        <v>0</v>
      </c>
      <c r="F30" s="6" t="n">
        <v>1</v>
      </c>
      <c r="G30" s="6"/>
      <c r="H30" s="6"/>
      <c r="I30" s="6" t="n">
        <v>1</v>
      </c>
      <c r="J30" s="6" t="n">
        <v>1</v>
      </c>
      <c r="K30" s="6"/>
      <c r="L30" s="6"/>
      <c r="M30" s="6"/>
      <c r="N30" s="6" t="n">
        <v>1</v>
      </c>
      <c r="O30" s="6" t="n">
        <v>0</v>
      </c>
      <c r="P30" s="6" t="n">
        <v>1</v>
      </c>
    </row>
    <row r="31" customFormat="false" ht="14.25" hidden="false" customHeight="true" outlineLevel="0" collapsed="false">
      <c r="A31" s="6" t="s">
        <v>129</v>
      </c>
      <c r="B31" s="6" t="n">
        <v>2</v>
      </c>
      <c r="C31" s="6" t="str">
        <f aca="false">IFERROR(INDEX(Participants!$B$2:$B$21,MATCH(A31,Participants!$A$2:$A$21,0)),"")</f>
        <v>Tool condition</v>
      </c>
      <c r="D31" s="6" t="str">
        <f aca="false">IFERROR(INDEX(Participants!$C$2:$C$21,MATCH(A31,Participants!$A$2:$A$21,0)),"")</f>
        <v>Paper</v>
      </c>
      <c r="E31" s="6" t="n">
        <v>1</v>
      </c>
      <c r="F31" s="6" t="n">
        <v>1</v>
      </c>
      <c r="G31" s="6"/>
      <c r="H31" s="6"/>
      <c r="I31" s="6" t="n">
        <v>1</v>
      </c>
      <c r="J31" s="6" t="n">
        <v>0</v>
      </c>
      <c r="K31" s="6"/>
      <c r="L31" s="6"/>
      <c r="M31" s="6"/>
      <c r="N31" s="6" t="n">
        <v>1</v>
      </c>
      <c r="O31" s="6" t="n">
        <v>1</v>
      </c>
      <c r="P31" s="6" t="n">
        <v>0</v>
      </c>
    </row>
    <row r="32" customFormat="false" ht="14.25" hidden="false" customHeight="true" outlineLevel="0" collapsed="false">
      <c r="A32" s="6" t="s">
        <v>130</v>
      </c>
      <c r="B32" s="6" t="n">
        <v>2</v>
      </c>
      <c r="C32" s="6" t="str">
        <f aca="false">IFERROR(INDEX(Participants!$B$2:$B$21,MATCH(A32,Participants!$A$2:$A$21,0)),"")</f>
        <v>Tool condition</v>
      </c>
      <c r="D32" s="6" t="str">
        <f aca="false">IFERROR(INDEX(Participants!$C$2:$C$21,MATCH(A32,Participants!$A$2:$A$21,0)),"")</f>
        <v>Paper</v>
      </c>
      <c r="E32" s="6" t="n">
        <v>0</v>
      </c>
      <c r="F32" s="6" t="n">
        <v>1</v>
      </c>
      <c r="G32" s="6"/>
      <c r="H32" s="6"/>
      <c r="I32" s="6" t="n">
        <v>1</v>
      </c>
      <c r="J32" s="6" t="n">
        <v>1</v>
      </c>
      <c r="K32" s="6"/>
      <c r="L32" s="6"/>
      <c r="M32" s="6"/>
      <c r="N32" s="6" t="n">
        <v>1</v>
      </c>
      <c r="O32" s="6" t="n">
        <v>1</v>
      </c>
      <c r="P32" s="6" t="n">
        <v>0</v>
      </c>
    </row>
    <row r="33" customFormat="false" ht="14.25" hidden="false" customHeight="true" outlineLevel="0" collapsed="false">
      <c r="A33" s="6" t="s">
        <v>131</v>
      </c>
      <c r="B33" s="6" t="n">
        <v>2</v>
      </c>
      <c r="C33" s="6" t="str">
        <f aca="false">IFERROR(INDEX(Participants!$B$2:$B$21,MATCH(A33,Participants!$A$2:$A$21,0)),"")</f>
        <v>Tool condition</v>
      </c>
      <c r="D33" s="6" t="str">
        <f aca="false">IFERROR(INDEX(Participants!$C$2:$C$21,MATCH(A33,Participants!$A$2:$A$21,0)),"")</f>
        <v>Paper</v>
      </c>
      <c r="E33" s="6" t="n">
        <v>1</v>
      </c>
      <c r="F33" s="6" t="n">
        <v>0</v>
      </c>
      <c r="G33" s="6"/>
      <c r="H33" s="6"/>
      <c r="I33" s="6" t="n">
        <v>1</v>
      </c>
      <c r="J33" s="6" t="n">
        <v>1</v>
      </c>
      <c r="K33" s="6"/>
      <c r="L33" s="6"/>
      <c r="M33" s="6"/>
      <c r="N33" s="6" t="n">
        <v>0</v>
      </c>
      <c r="O33" s="6" t="n">
        <v>1</v>
      </c>
      <c r="P33" s="6" t="n">
        <v>1</v>
      </c>
    </row>
    <row r="34" customFormat="false" ht="14.25" hidden="false" customHeight="true" outlineLevel="0" collapsed="false">
      <c r="A34" s="6" t="s">
        <v>26</v>
      </c>
      <c r="B34" s="6" t="n">
        <v>2</v>
      </c>
      <c r="C34" s="6" t="str">
        <f aca="false">IFERROR(INDEX(Participants!$B$2:$B$21,MATCH(A34,Participants!$A$2:$A$21,0)),"")</f>
        <v>Tool condition</v>
      </c>
      <c r="D34" s="6" t="str">
        <f aca="false">IFERROR(INDEX(Participants!$C$2:$C$21,MATCH(A34,Participants!$A$2:$A$21,0)),"")</f>
        <v>Paper</v>
      </c>
      <c r="E34" s="6" t="n">
        <v>1</v>
      </c>
      <c r="F34" s="6" t="n">
        <v>1</v>
      </c>
      <c r="G34" s="6"/>
      <c r="H34" s="6"/>
      <c r="I34" s="6" t="n">
        <v>0</v>
      </c>
      <c r="J34" s="6" t="n">
        <v>1</v>
      </c>
      <c r="K34" s="6"/>
      <c r="L34" s="6"/>
      <c r="M34" s="6"/>
      <c r="N34" s="6" t="n">
        <v>1</v>
      </c>
      <c r="O34" s="6" t="n">
        <v>0</v>
      </c>
      <c r="P34" s="6" t="n">
        <v>1</v>
      </c>
    </row>
    <row r="35" customFormat="false" ht="14.25" hidden="false" customHeight="true" outlineLevel="0" collapsed="false">
      <c r="A35" s="6" t="s">
        <v>132</v>
      </c>
      <c r="B35" s="6" t="n">
        <v>2</v>
      </c>
      <c r="C35" s="6" t="str">
        <f aca="false">IFERROR(INDEX(Participants!$B$2:$B$21,MATCH(A35,Participants!$A$2:$A$21,0)),"")</f>
        <v>Paper condition</v>
      </c>
      <c r="D35" s="6" t="str">
        <f aca="false">IFERROR(INDEX(Participants!$C$2:$C$21,MATCH(A35,Participants!$A$2:$A$21,0)),"")</f>
        <v>Paper</v>
      </c>
      <c r="E35" s="6" t="n">
        <v>1</v>
      </c>
      <c r="F35" s="6" t="n">
        <v>1</v>
      </c>
      <c r="G35" s="6"/>
      <c r="H35" s="6"/>
      <c r="I35" s="6" t="n">
        <v>1</v>
      </c>
      <c r="J35" s="6" t="n">
        <v>0</v>
      </c>
      <c r="K35" s="6"/>
      <c r="L35" s="6"/>
      <c r="M35" s="6"/>
      <c r="N35" s="6" t="n">
        <v>1</v>
      </c>
      <c r="O35" s="6" t="n">
        <v>0</v>
      </c>
      <c r="P35" s="6" t="n">
        <v>0</v>
      </c>
    </row>
    <row r="36" customFormat="false" ht="14.25" hidden="false" customHeight="true" outlineLevel="0" collapsed="false">
      <c r="A36" s="6" t="s">
        <v>134</v>
      </c>
      <c r="B36" s="6" t="n">
        <v>2</v>
      </c>
      <c r="C36" s="6" t="str">
        <f aca="false">IFERROR(INDEX(Participants!$B$2:$B$21,MATCH(A36,Participants!$A$2:$A$21,0)),"")</f>
        <v>Paper condition</v>
      </c>
      <c r="D36" s="6" t="str">
        <f aca="false">IFERROR(INDEX(Participants!$C$2:$C$21,MATCH(A36,Participants!$A$2:$A$21,0)),"")</f>
        <v>Paper</v>
      </c>
      <c r="E36" s="6" t="n">
        <v>1</v>
      </c>
      <c r="F36" s="6" t="n">
        <v>0</v>
      </c>
      <c r="G36" s="6"/>
      <c r="H36" s="6"/>
      <c r="I36" s="6" t="n">
        <v>1</v>
      </c>
      <c r="J36" s="6" t="n">
        <v>1</v>
      </c>
      <c r="K36" s="6"/>
      <c r="L36" s="6"/>
      <c r="M36" s="6"/>
      <c r="N36" s="6" t="n">
        <v>0</v>
      </c>
      <c r="O36" s="6" t="n">
        <v>1</v>
      </c>
      <c r="P36" s="6" t="n">
        <v>0</v>
      </c>
    </row>
    <row r="37" customFormat="false" ht="14.25" hidden="false" customHeight="true" outlineLevel="0" collapsed="false">
      <c r="A37" s="6" t="s">
        <v>135</v>
      </c>
      <c r="B37" s="6" t="n">
        <v>2</v>
      </c>
      <c r="C37" s="6" t="str">
        <f aca="false">IFERROR(INDEX(Participants!$B$2:$B$21,MATCH(A37,Participants!$A$2:$A$21,0)),"")</f>
        <v>Paper condition</v>
      </c>
      <c r="D37" s="6" t="str">
        <f aca="false">IFERROR(INDEX(Participants!$C$2:$C$21,MATCH(A37,Participants!$A$2:$A$21,0)),"")</f>
        <v>Paper</v>
      </c>
      <c r="E37" s="6" t="n">
        <v>0</v>
      </c>
      <c r="F37" s="6" t="n">
        <v>1</v>
      </c>
      <c r="G37" s="6"/>
      <c r="H37" s="6"/>
      <c r="I37" s="6" t="n">
        <v>0</v>
      </c>
      <c r="J37" s="6" t="n">
        <v>1</v>
      </c>
      <c r="K37" s="6"/>
      <c r="L37" s="6"/>
      <c r="M37" s="6"/>
      <c r="N37" s="6" t="n">
        <v>0</v>
      </c>
      <c r="O37" s="6" t="n">
        <v>1</v>
      </c>
      <c r="P37" s="6" t="n">
        <v>0</v>
      </c>
    </row>
    <row r="38" customFormat="false" ht="14.25" hidden="false" customHeight="true" outlineLevel="0" collapsed="false">
      <c r="A38" s="6" t="s">
        <v>136</v>
      </c>
      <c r="B38" s="6" t="n">
        <v>2</v>
      </c>
      <c r="C38" s="6" t="str">
        <f aca="false">IFERROR(INDEX(Participants!$B$2:$B$21,MATCH(A38,Participants!$A$2:$A$21,0)),"")</f>
        <v>Paper condition</v>
      </c>
      <c r="D38" s="6" t="str">
        <f aca="false">IFERROR(INDEX(Participants!$C$2:$C$21,MATCH(A38,Participants!$A$2:$A$21,0)),"")</f>
        <v>Paper</v>
      </c>
      <c r="E38" s="6" t="n">
        <v>1</v>
      </c>
      <c r="F38" s="6" t="n">
        <v>1</v>
      </c>
      <c r="G38" s="6"/>
      <c r="H38" s="6"/>
      <c r="I38" s="6" t="n">
        <v>1</v>
      </c>
      <c r="J38" s="6" t="n">
        <v>1</v>
      </c>
      <c r="K38" s="6"/>
      <c r="L38" s="6"/>
      <c r="M38" s="6"/>
      <c r="N38" s="6" t="n">
        <v>0</v>
      </c>
      <c r="O38" s="6" t="n">
        <v>1</v>
      </c>
      <c r="P38" s="6" t="n">
        <v>0</v>
      </c>
    </row>
    <row r="39" customFormat="false" ht="14.25" hidden="false" customHeight="true" outlineLevel="0" collapsed="false">
      <c r="A39" s="6" t="s">
        <v>137</v>
      </c>
      <c r="B39" s="6" t="n">
        <v>2</v>
      </c>
      <c r="C39" s="6" t="str">
        <f aca="false">IFERROR(INDEX(Participants!$B$2:$B$21,MATCH(A39,Participants!$A$2:$A$21,0)),"")</f>
        <v>Paper condition</v>
      </c>
      <c r="D39" s="6" t="str">
        <f aca="false">IFERROR(INDEX(Participants!$C$2:$C$21,MATCH(A39,Participants!$A$2:$A$21,0)),"")</f>
        <v>Paper</v>
      </c>
      <c r="E39" s="6" t="n">
        <v>1</v>
      </c>
      <c r="F39" s="6" t="n">
        <v>0</v>
      </c>
      <c r="G39" s="6"/>
      <c r="H39" s="6"/>
      <c r="I39" s="6" t="n">
        <v>1</v>
      </c>
      <c r="J39" s="6" t="n">
        <v>0</v>
      </c>
      <c r="K39" s="6"/>
      <c r="L39" s="6"/>
      <c r="M39" s="6"/>
      <c r="N39" s="6" t="n">
        <v>0</v>
      </c>
      <c r="O39" s="6" t="n">
        <v>1</v>
      </c>
      <c r="P39" s="6" t="n">
        <v>0</v>
      </c>
    </row>
    <row r="40" customFormat="false" ht="14.25" hidden="false" customHeight="true" outlineLevel="0" collapsed="false">
      <c r="A40" s="6" t="s">
        <v>138</v>
      </c>
      <c r="B40" s="6" t="n">
        <v>2</v>
      </c>
      <c r="C40" s="6" t="str">
        <f aca="false">IFERROR(INDEX(Participants!$B$2:$B$21,MATCH(A40,Participants!$A$2:$A$21,0)),"")</f>
        <v>Paper condition</v>
      </c>
      <c r="D40" s="6" t="str">
        <f aca="false">IFERROR(INDEX(Participants!$C$2:$C$21,MATCH(A40,Participants!$A$2:$A$21,0)),"")</f>
        <v>Paper</v>
      </c>
      <c r="E40" s="6" t="n">
        <v>1</v>
      </c>
      <c r="F40" s="6" t="n">
        <v>0</v>
      </c>
      <c r="G40" s="6"/>
      <c r="H40" s="6"/>
      <c r="I40" s="6" t="n">
        <v>1</v>
      </c>
      <c r="J40" s="6" t="n">
        <v>1</v>
      </c>
      <c r="K40" s="6"/>
      <c r="L40" s="6"/>
      <c r="M40" s="6"/>
      <c r="N40" s="6" t="n">
        <v>1</v>
      </c>
      <c r="O40" s="6" t="n">
        <v>0</v>
      </c>
      <c r="P40" s="6" t="n">
        <v>0</v>
      </c>
    </row>
    <row r="41" customFormat="false" ht="14.25" hidden="false" customHeight="true" outlineLevel="0" collapsed="false">
      <c r="A41" s="6" t="s">
        <v>139</v>
      </c>
      <c r="B41" s="6" t="n">
        <v>2</v>
      </c>
      <c r="C41" s="6" t="str">
        <f aca="false">IFERROR(INDEX(Participants!$B$2:$B$21,MATCH(A41,Participants!$A$2:$A$21,0)),"")</f>
        <v>Paper condition</v>
      </c>
      <c r="D41" s="6" t="str">
        <f aca="false">IFERROR(INDEX(Participants!$C$2:$C$21,MATCH(A41,Participants!$A$2:$A$21,0)),"")</f>
        <v>Paper</v>
      </c>
      <c r="E41" s="6" t="n">
        <v>0</v>
      </c>
      <c r="F41" s="6" t="n">
        <v>1</v>
      </c>
      <c r="G41" s="6"/>
      <c r="H41" s="6"/>
      <c r="I41" s="6" t="n">
        <v>0</v>
      </c>
      <c r="J41" s="6" t="n">
        <v>1</v>
      </c>
      <c r="K41" s="6"/>
      <c r="L41" s="6"/>
      <c r="M41" s="6"/>
      <c r="N41" s="6" t="n">
        <v>0</v>
      </c>
      <c r="O41" s="6" t="n">
        <v>1</v>
      </c>
      <c r="P41" s="6" t="n">
        <v>0</v>
      </c>
    </row>
    <row r="42" customFormat="false" ht="14.25" hidden="false" customHeight="true" outlineLevel="0" collapsed="false">
      <c r="A42" s="6" t="s">
        <v>140</v>
      </c>
      <c r="B42" s="6" t="n">
        <v>2</v>
      </c>
      <c r="C42" s="6" t="str">
        <f aca="false">IFERROR(INDEX(Participants!$B$2:$B$21,MATCH(A42,Participants!$A$2:$A$21,0)),"")</f>
        <v>Paper condition</v>
      </c>
      <c r="D42" s="6" t="str">
        <f aca="false">IFERROR(INDEX(Participants!$C$2:$C$21,MATCH(A42,Participants!$A$2:$A$21,0)),"")</f>
        <v>Paper</v>
      </c>
      <c r="E42" s="6" t="n">
        <v>1</v>
      </c>
      <c r="F42" s="6" t="n">
        <v>1</v>
      </c>
      <c r="G42" s="6"/>
      <c r="H42" s="6"/>
      <c r="I42" s="6" t="n">
        <v>1</v>
      </c>
      <c r="J42" s="6" t="n">
        <v>1</v>
      </c>
      <c r="K42" s="6"/>
      <c r="L42" s="6"/>
      <c r="M42" s="6"/>
      <c r="N42" s="6" t="n">
        <v>1</v>
      </c>
      <c r="O42" s="6" t="n">
        <v>0</v>
      </c>
      <c r="P42" s="6" t="n">
        <v>0</v>
      </c>
    </row>
    <row r="43" customFormat="false" ht="14.25" hidden="false" customHeight="true" outlineLevel="0" collapsed="false">
      <c r="A43" s="6" t="s">
        <v>141</v>
      </c>
      <c r="B43" s="6" t="n">
        <v>2</v>
      </c>
      <c r="C43" s="6" t="str">
        <f aca="false">IFERROR(INDEX(Participants!$B$2:$B$21,MATCH(A43,Participants!$A$2:$A$21,0)),"")</f>
        <v>Paper condition</v>
      </c>
      <c r="D43" s="6" t="str">
        <f aca="false">IFERROR(INDEX(Participants!$C$2:$C$21,MATCH(A43,Participants!$A$2:$A$21,0)),"")</f>
        <v>Paper</v>
      </c>
      <c r="E43" s="6" t="n">
        <v>0</v>
      </c>
      <c r="F43" s="6" t="n">
        <v>1</v>
      </c>
      <c r="G43" s="6"/>
      <c r="H43" s="6"/>
      <c r="I43" s="6" t="n">
        <v>1</v>
      </c>
      <c r="J43" s="6" t="n">
        <v>0</v>
      </c>
      <c r="K43" s="6"/>
      <c r="L43" s="6"/>
      <c r="M43" s="6"/>
      <c r="N43" s="6" t="n">
        <v>0</v>
      </c>
      <c r="O43" s="6" t="n">
        <v>1</v>
      </c>
      <c r="P43" s="6" t="n">
        <v>0</v>
      </c>
    </row>
    <row r="44" customFormat="false" ht="14.25" hidden="false" customHeight="true" outlineLevel="0" collapsed="false">
      <c r="A44" s="6" t="s">
        <v>142</v>
      </c>
      <c r="B44" s="6" t="n">
        <v>2</v>
      </c>
      <c r="C44" s="6" t="str">
        <f aca="false">IFERROR(INDEX(Participants!$B$2:$B$21,MATCH(A44,Participants!$A$2:$A$21,0)),"")</f>
        <v>Paper condition</v>
      </c>
      <c r="D44" s="6" t="str">
        <f aca="false">IFERROR(INDEX(Participants!$C$2:$C$21,MATCH(A44,Participants!$A$2:$A$21,0)),"")</f>
        <v>Paper</v>
      </c>
      <c r="E44" s="6" t="n">
        <v>1</v>
      </c>
      <c r="F44" s="6" t="n">
        <v>1</v>
      </c>
      <c r="G44" s="6"/>
      <c r="H44" s="6"/>
      <c r="I44" s="6" t="n">
        <v>1</v>
      </c>
      <c r="J44" s="6" t="n">
        <v>0</v>
      </c>
      <c r="K44" s="6"/>
      <c r="L44" s="6"/>
      <c r="M44" s="6"/>
      <c r="N44" s="6" t="n">
        <v>1</v>
      </c>
      <c r="O44" s="6" t="n">
        <v>0</v>
      </c>
      <c r="P44" s="6" t="n">
        <v>1</v>
      </c>
    </row>
  </sheetData>
  <dataValidations count="1">
    <dataValidation allowBlank="true" error="Integers 0 to 1 only" errorStyle="stop" operator="between" showDropDown="false" showErrorMessage="true" showInputMessage="false" sqref="E5:P44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21" activePane="bottomRight" state="frozen"/>
      <selection pane="topLeft" activeCell="A1" activeCellId="0" sqref="A1"/>
      <selection pane="topRight" activeCell="E1" activeCellId="0" sqref="E1"/>
      <selection pane="bottomLeft" activeCell="A21" activeCellId="0" sqref="A21"/>
      <selection pane="bottomRight" activeCell="J48" activeCellId="0" sqref="J4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16" min="5" style="1" width="6"/>
    <col collapsed="false" customWidth="true" hidden="false" outlineLevel="0" max="24" min="17" style="1" width="10"/>
  </cols>
  <sheetData>
    <row r="1" customFormat="false" ht="17.25" hidden="false" customHeight="true" outlineLevel="0" collapsed="false">
      <c r="A1" s="2" t="s">
        <v>147</v>
      </c>
    </row>
    <row r="2" customFormat="false" ht="14.25" hidden="false" customHeight="true" outlineLevel="0" collapsed="false">
      <c r="D2" s="18" t="s">
        <v>148</v>
      </c>
      <c r="E2" s="19" t="str">
        <f aca="false">IFERROR(INDEX(Tasks!$E$2:$E$13,MATCH(E$4,Tasks!$A$2:$A$13,0))&amp;"","")</f>
        <v>Gate</v>
      </c>
      <c r="F2" s="19" t="str">
        <f aca="false">IFERROR(INDEX(Tasks!$E$2:$E$13,MATCH(F$4,Tasks!$A$2:$A$13,0))&amp;"","")</f>
        <v>Gate</v>
      </c>
      <c r="G2" s="19" t="str">
        <f aca="false">IFERROR(INDEX(Tasks!$E$2:$E$13,MATCH(G$4,Tasks!$A$2:$A$13,0))&amp;"","")</f>
        <v>Block</v>
      </c>
      <c r="H2" s="19" t="str">
        <f aca="false">IFERROR(INDEX(Tasks!$E$2:$E$13,MATCH(H$4,Tasks!$A$2:$A$13,0))&amp;"","")</f>
        <v>Gate</v>
      </c>
      <c r="I2" s="19" t="str">
        <f aca="false">IFERROR(INDEX(Tasks!$E$2:$E$13,MATCH(I$4,Tasks!$A$2:$A$13,0))&amp;"","")</f>
        <v>Gate</v>
      </c>
      <c r="J2" s="19" t="str">
        <f aca="false">IFERROR(INDEX(Tasks!$E$2:$E$13,MATCH(J$4,Tasks!$A$2:$A$13,0))&amp;"","")</f>
        <v>Gate</v>
      </c>
      <c r="K2" s="19" t="str">
        <f aca="false">IFERROR(INDEX(Tasks!$E$2:$E$13,MATCH(K$4,Tasks!$A$2:$A$13,0))&amp;"","")</f>
        <v>Block</v>
      </c>
      <c r="L2" s="19" t="str">
        <f aca="false">IFERROR(INDEX(Tasks!$E$2:$E$13,MATCH(L$4,Tasks!$A$2:$A$13,0))&amp;"","")</f>
        <v>Block</v>
      </c>
      <c r="M2" s="19" t="str">
        <f aca="false">IFERROR(INDEX(Tasks!$E$2:$E$13,MATCH(M$4,Tasks!$A$2:$A$13,0))&amp;"","")</f>
        <v>Block</v>
      </c>
      <c r="N2" s="19" t="str">
        <f aca="false">IFERROR(INDEX(Tasks!$E$2:$E$13,MATCH(N$4,Tasks!$A$2:$A$13,0))&amp;"","")</f>
        <v>Block</v>
      </c>
      <c r="O2" s="19" t="str">
        <f aca="false">IFERROR(INDEX(Tasks!$E$2:$E$13,MATCH(O$4,Tasks!$A$2:$A$13,0))&amp;"","")</f>
        <v>Gate</v>
      </c>
      <c r="P2" s="19" t="str">
        <f aca="false">IFERROR(INDEX(Tasks!$E$2:$E$13,MATCH(P$4,Tasks!$A$2:$A$13,0))&amp;"","")</f>
        <v>Gate</v>
      </c>
    </row>
    <row r="3" customFormat="false" ht="14.25" hidden="false" customHeight="true" outlineLevel="0" collapsed="false">
      <c r="D3" s="18" t="s">
        <v>149</v>
      </c>
      <c r="E3" s="19" t="str">
        <f aca="false">IFERROR(INDEX(Tasks!$D$2:$D$13,MATCH(E$4,Tasks!$A$2:$A$13,0))&amp;"","")</f>
        <v>Model</v>
      </c>
      <c r="F3" s="19" t="str">
        <f aca="false">IFERROR(INDEX(Tasks!$D$2:$D$13,MATCH(F$4,Tasks!$A$2:$A$13,0))&amp;"","")</f>
        <v>Code</v>
      </c>
      <c r="G3" s="19" t="str">
        <f aca="false">IFERROR(INDEX(Tasks!$D$2:$D$13,MATCH(G$4,Tasks!$A$2:$A$13,0))&amp;"","")</f>
        <v>Model</v>
      </c>
      <c r="H3" s="19" t="str">
        <f aca="false">IFERROR(INDEX(Tasks!$D$2:$D$13,MATCH(H$4,Tasks!$A$2:$A$13,0))&amp;"","")</f>
        <v>Model</v>
      </c>
      <c r="I3" s="19" t="str">
        <f aca="false">IFERROR(INDEX(Tasks!$D$2:$D$13,MATCH(I$4,Tasks!$A$2:$A$13,0))&amp;"","")</f>
        <v>Derivation</v>
      </c>
      <c r="J3" s="19" t="str">
        <f aca="false">IFERROR(INDEX(Tasks!$D$2:$D$13,MATCH(J$4,Tasks!$A$2:$A$13,0))&amp;"","")</f>
        <v>Code</v>
      </c>
      <c r="K3" s="19" t="str">
        <f aca="false">IFERROR(INDEX(Tasks!$D$2:$D$13,MATCH(K$4,Tasks!$A$2:$A$13,0))&amp;"","")</f>
        <v>Model</v>
      </c>
      <c r="L3" s="19" t="str">
        <f aca="false">IFERROR(INDEX(Tasks!$D$2:$D$13,MATCH(L$4,Tasks!$A$2:$A$13,0))&amp;"","")</f>
        <v>Derivation</v>
      </c>
      <c r="M3" s="19" t="str">
        <f aca="false">IFERROR(INDEX(Tasks!$D$2:$D$13,MATCH(M$4,Tasks!$A$2:$A$13,0))&amp;"","")</f>
        <v>Code</v>
      </c>
      <c r="N3" s="19" t="str">
        <f aca="false">IFERROR(INDEX(Tasks!$D$2:$D$13,MATCH(N$4,Tasks!$A$2:$A$13,0))&amp;"","")</f>
        <v>Code</v>
      </c>
      <c r="O3" s="19" t="str">
        <f aca="false">IFERROR(INDEX(Tasks!$D$2:$D$13,MATCH(O$4,Tasks!$A$2:$A$13,0))&amp;"","")</f>
        <v>Derivation</v>
      </c>
      <c r="P3" s="19" t="str">
        <f aca="false">IFERROR(INDEX(Tasks!$D$2:$D$13,MATCH(P$4,Tasks!$A$2:$A$13,0))&amp;"","")</f>
        <v>Code</v>
      </c>
    </row>
    <row r="4" customFormat="false" ht="27" hidden="false" customHeight="true" outlineLevel="0" collapsed="false">
      <c r="A4" s="5" t="s">
        <v>72</v>
      </c>
      <c r="B4" s="5" t="s">
        <v>144</v>
      </c>
      <c r="C4" s="5" t="s">
        <v>116</v>
      </c>
      <c r="D4" s="5" t="s">
        <v>145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150</v>
      </c>
      <c r="R4" s="5" t="s">
        <v>81</v>
      </c>
      <c r="S4" s="5" t="s">
        <v>90</v>
      </c>
      <c r="T4" s="5" t="s">
        <v>80</v>
      </c>
      <c r="U4" s="5" t="s">
        <v>96</v>
      </c>
      <c r="V4" s="5" t="s">
        <v>86</v>
      </c>
      <c r="W4" s="5" t="s">
        <v>151</v>
      </c>
      <c r="X4" s="5" t="s">
        <v>152</v>
      </c>
    </row>
    <row r="5" customFormat="false" ht="14.25" hidden="false" customHeight="true" outlineLevel="0" collapsed="false">
      <c r="A5" s="6" t="s">
        <v>121</v>
      </c>
      <c r="B5" s="6" t="n">
        <v>1</v>
      </c>
      <c r="C5" s="6" t="str">
        <f aca="false">IFERROR(INDEX(Participants!$B$2:$B$21,MATCH(A5,Participants!$A$2:$A$21,0)),"")</f>
        <v>Tool condition</v>
      </c>
      <c r="D5" s="6" t="str">
        <f aca="false">IF(C5="Tool condition","Tool",IF(C5="Paper condition","Paper",""))</f>
        <v>Tool</v>
      </c>
      <c r="E5" s="6" t="n">
        <f aca="false">IF(Translation!E5="","",Translation!E5)</f>
        <v>2</v>
      </c>
      <c r="F5" s="6" t="n">
        <f aca="false">IF(Translation!F5="","",Translation!F5)</f>
        <v>2</v>
      </c>
      <c r="G5" s="6" t="n">
        <f aca="false">IF(Translation!G5="","",Translation!G5)</f>
        <v>2</v>
      </c>
      <c r="H5" s="6" t="n">
        <f aca="false">IF(Translation!H5="","",Translation!H5)</f>
        <v>2</v>
      </c>
      <c r="I5" s="6" t="n">
        <f aca="false">IF(Translation!I5="","",Translation!I5)</f>
        <v>2</v>
      </c>
      <c r="J5" s="6" t="n">
        <f aca="false">IF(Translation!J5="","",Translation!J5)</f>
        <v>2</v>
      </c>
      <c r="K5" s="6" t="n">
        <f aca="false">IF(Translation!K5="","",Translation!K5)</f>
        <v>2</v>
      </c>
      <c r="L5" s="6" t="n">
        <f aca="false">IF(Translation!L5="","",Translation!L5)</f>
        <v>2</v>
      </c>
      <c r="M5" s="6" t="n">
        <f aca="false">IF(Translation!M5="","",Translation!M5)</f>
        <v>2</v>
      </c>
      <c r="N5" s="6" t="n">
        <f aca="false">IF(Translation!N5="","",Translation!N5)</f>
        <v>2</v>
      </c>
      <c r="O5" s="6" t="n">
        <f aca="false">IF(Translation!O5="","",Translation!O5)</f>
        <v>2</v>
      </c>
      <c r="P5" s="6" t="n">
        <f aca="false">IF(Translation!P5="","",Translation!P5)</f>
        <v>2</v>
      </c>
      <c r="Q5" s="6" t="n">
        <f aca="false">IF(COUNT(E5:P5)=0,"",SUM(E5:P5))</f>
        <v>24</v>
      </c>
      <c r="R5" s="6" t="n">
        <f aca="false">IF(COUNTIF($E$2:$P$2,"Gate")=0,"",IF(COUNTIFS($E$2:$P$2,"Gate",E5:P5,"&gt;=0")=0,"",SUMIF($E$2:$P$2,"Gate",E5:P5)))</f>
        <v>14</v>
      </c>
      <c r="S5" s="6" t="n">
        <f aca="false">IF(COUNTIF($E$2:$P$2,"Block")=0,"",IF(COUNTIFS($E$2:$P$2,"Block",E5:P5,"&gt;=0")=0,"",SUMIF($E$2:$P$2,"Block",E5:P5)))</f>
        <v>10</v>
      </c>
      <c r="T5" s="6" t="n">
        <f aca="false">IF(COUNTIF($E$3:$P$3,"Model")=0,"",IF(COUNT(E5:P5)=0,"",SUMIF($E$3:$P$3,"Model",E5:P5)))</f>
        <v>8</v>
      </c>
      <c r="U5" s="6" t="n">
        <f aca="false">IF(COUNTIF($E$3:$P$3,"Derivation")=0,"",IF(COUNT(E5:P5)=0,"",SUMIF($E$3:$P$3,"Derivation",E5:P5)))</f>
        <v>6</v>
      </c>
      <c r="V5" s="6" t="n">
        <f aca="false">IF(COUNTIF($E$3:$P$3,"Code")=0,"",IF(COUNT(E5:P5)=0,"",SUMIF($E$3:$P$3,"Code",E5:P5)))</f>
        <v>10</v>
      </c>
      <c r="W5" s="6" t="n">
        <f aca="false">COUNTIF(E5:P5,2)</f>
        <v>12</v>
      </c>
      <c r="X5" s="6" t="n">
        <f aca="false">COUNT(E5:P5)</f>
        <v>12</v>
      </c>
    </row>
    <row r="6" customFormat="false" ht="14.25" hidden="false" customHeight="true" outlineLevel="0" collapsed="false">
      <c r="A6" s="6" t="s">
        <v>124</v>
      </c>
      <c r="B6" s="6" t="n">
        <v>1</v>
      </c>
      <c r="C6" s="6" t="str">
        <f aca="false">IFERROR(INDEX(Participants!$B$2:$B$21,MATCH(A6,Participants!$A$2:$A$21,0)),"")</f>
        <v>Tool condition</v>
      </c>
      <c r="D6" s="6" t="str">
        <f aca="false">IF(C6="Tool condition","Tool",IF(C6="Paper condition","Paper",""))</f>
        <v>Tool</v>
      </c>
      <c r="E6" s="6" t="n">
        <f aca="false">IF(Translation!E6="","",Translation!E6)</f>
        <v>2</v>
      </c>
      <c r="F6" s="6" t="n">
        <f aca="false">IF(Translation!F6="","",Translation!F6)</f>
        <v>2</v>
      </c>
      <c r="G6" s="6" t="n">
        <f aca="false">IF(Translation!G6="","",Translation!G6)</f>
        <v>2</v>
      </c>
      <c r="H6" s="6" t="n">
        <f aca="false">IF(Translation!H6="","",Translation!H6)</f>
        <v>2</v>
      </c>
      <c r="I6" s="6" t="n">
        <f aca="false">IF(Translation!I6="","",Translation!I6)</f>
        <v>2</v>
      </c>
      <c r="J6" s="6" t="n">
        <f aca="false">IF(Translation!J6="","",Translation!J6)</f>
        <v>2</v>
      </c>
      <c r="K6" s="6" t="n">
        <f aca="false">IF(Translation!K6="","",Translation!K6)</f>
        <v>2</v>
      </c>
      <c r="L6" s="6" t="n">
        <f aca="false">IF(Translation!L6="","",Translation!L6)</f>
        <v>2</v>
      </c>
      <c r="M6" s="6" t="n">
        <f aca="false">IF(Translation!M6="","",Translation!M6)</f>
        <v>2</v>
      </c>
      <c r="N6" s="6" t="n">
        <f aca="false">IF(Translation!N6="","",Translation!N6)</f>
        <v>2</v>
      </c>
      <c r="O6" s="6" t="n">
        <f aca="false">IF(Translation!O6="","",Translation!O6)</f>
        <v>2</v>
      </c>
      <c r="P6" s="6" t="n">
        <f aca="false">IF(Translation!P6="","",Translation!P6)</f>
        <v>2</v>
      </c>
      <c r="Q6" s="6" t="n">
        <f aca="false">IF(COUNT(E6:P6)=0,"",SUM(E6:P6))</f>
        <v>24</v>
      </c>
      <c r="R6" s="6" t="n">
        <f aca="false">IF(COUNTIF($E$2:$P$2,"Gate")=0,"",IF(COUNTIFS($E$2:$P$2,"Gate",E6:P6,"&gt;=0")=0,"",SUMIF($E$2:$P$2,"Gate",E6:P6)))</f>
        <v>14</v>
      </c>
      <c r="S6" s="6" t="n">
        <f aca="false">IF(COUNTIF($E$2:$P$2,"Block")=0,"",IF(COUNTIFS($E$2:$P$2,"Block",E6:P6,"&gt;=0")=0,"",SUMIF($E$2:$P$2,"Block",E6:P6)))</f>
        <v>10</v>
      </c>
      <c r="T6" s="6" t="n">
        <f aca="false">IF(COUNTIF($E$3:$P$3,"Model")=0,"",IF(COUNT(E6:P6)=0,"",SUMIF($E$3:$P$3,"Model",E6:P6)))</f>
        <v>8</v>
      </c>
      <c r="U6" s="6" t="n">
        <f aca="false">IF(COUNTIF($E$3:$P$3,"Derivation")=0,"",IF(COUNT(E6:P6)=0,"",SUMIF($E$3:$P$3,"Derivation",E6:P6)))</f>
        <v>6</v>
      </c>
      <c r="V6" s="6" t="n">
        <f aca="false">IF(COUNTIF($E$3:$P$3,"Code")=0,"",IF(COUNT(E6:P6)=0,"",SUMIF($E$3:$P$3,"Code",E6:P6)))</f>
        <v>10</v>
      </c>
      <c r="W6" s="6" t="n">
        <f aca="false">COUNTIF(E6:P6,2)</f>
        <v>12</v>
      </c>
      <c r="X6" s="6" t="n">
        <f aca="false">COUNT(E6:P6)</f>
        <v>12</v>
      </c>
    </row>
    <row r="7" customFormat="false" ht="14.25" hidden="false" customHeight="true" outlineLevel="0" collapsed="false">
      <c r="A7" s="6" t="s">
        <v>125</v>
      </c>
      <c r="B7" s="6" t="n">
        <v>1</v>
      </c>
      <c r="C7" s="6" t="str">
        <f aca="false">IFERROR(INDEX(Participants!$B$2:$B$21,MATCH(A7,Participants!$A$2:$A$21,0)),"")</f>
        <v>Tool condition</v>
      </c>
      <c r="D7" s="6" t="str">
        <f aca="false">IF(C7="Tool condition","Tool",IF(C7="Paper condition","Paper",""))</f>
        <v>Tool</v>
      </c>
      <c r="E7" s="6" t="n">
        <f aca="false">IF(Translation!E7="","",Translation!E7)</f>
        <v>2</v>
      </c>
      <c r="F7" s="6" t="n">
        <f aca="false">IF(Translation!F7="","",Translation!F7)</f>
        <v>2</v>
      </c>
      <c r="G7" s="6" t="n">
        <f aca="false">IF(Translation!G7="","",Translation!G7)</f>
        <v>2</v>
      </c>
      <c r="H7" s="6" t="n">
        <f aca="false">IF(Translation!H7="","",Translation!H7)</f>
        <v>2</v>
      </c>
      <c r="I7" s="6" t="n">
        <f aca="false">IF(Translation!I7="","",Translation!I7)</f>
        <v>2</v>
      </c>
      <c r="J7" s="6" t="n">
        <f aca="false">IF(Translation!J7="","",Translation!J7)</f>
        <v>2</v>
      </c>
      <c r="K7" s="6" t="n">
        <f aca="false">IF(Translation!K7="","",Translation!K7)</f>
        <v>2</v>
      </c>
      <c r="L7" s="6" t="n">
        <f aca="false">IF(Translation!L7="","",Translation!L7)</f>
        <v>2</v>
      </c>
      <c r="M7" s="6" t="n">
        <f aca="false">IF(Translation!M7="","",Translation!M7)</f>
        <v>2</v>
      </c>
      <c r="N7" s="6" t="n">
        <f aca="false">IF(Translation!N7="","",Translation!N7)</f>
        <v>2</v>
      </c>
      <c r="O7" s="6" t="n">
        <f aca="false">IF(Translation!O7="","",Translation!O7)</f>
        <v>2</v>
      </c>
      <c r="P7" s="6" t="n">
        <f aca="false">IF(Translation!P7="","",Translation!P7)</f>
        <v>2</v>
      </c>
      <c r="Q7" s="6" t="n">
        <f aca="false">IF(COUNT(E7:P7)=0,"",SUM(E7:P7))</f>
        <v>24</v>
      </c>
      <c r="R7" s="6" t="n">
        <f aca="false">IF(COUNTIF($E$2:$P$2,"Gate")=0,"",IF(COUNTIFS($E$2:$P$2,"Gate",E7:P7,"&gt;=0")=0,"",SUMIF($E$2:$P$2,"Gate",E7:P7)))</f>
        <v>14</v>
      </c>
      <c r="S7" s="6" t="n">
        <f aca="false">IF(COUNTIF($E$2:$P$2,"Block")=0,"",IF(COUNTIFS($E$2:$P$2,"Block",E7:P7,"&gt;=0")=0,"",SUMIF($E$2:$P$2,"Block",E7:P7)))</f>
        <v>10</v>
      </c>
      <c r="T7" s="6" t="n">
        <f aca="false">IF(COUNTIF($E$3:$P$3,"Model")=0,"",IF(COUNT(E7:P7)=0,"",SUMIF($E$3:$P$3,"Model",E7:P7)))</f>
        <v>8</v>
      </c>
      <c r="U7" s="6" t="n">
        <f aca="false">IF(COUNTIF($E$3:$P$3,"Derivation")=0,"",IF(COUNT(E7:P7)=0,"",SUMIF($E$3:$P$3,"Derivation",E7:P7)))</f>
        <v>6</v>
      </c>
      <c r="V7" s="6" t="n">
        <f aca="false">IF(COUNTIF($E$3:$P$3,"Code")=0,"",IF(COUNT(E7:P7)=0,"",SUMIF($E$3:$P$3,"Code",E7:P7)))</f>
        <v>10</v>
      </c>
      <c r="W7" s="6" t="n">
        <f aca="false">COUNTIF(E7:P7,2)</f>
        <v>12</v>
      </c>
      <c r="X7" s="6" t="n">
        <f aca="false">COUNT(E7:P7)</f>
        <v>12</v>
      </c>
    </row>
    <row r="8" customFormat="false" ht="14.25" hidden="false" customHeight="true" outlineLevel="0" collapsed="false">
      <c r="A8" s="6" t="s">
        <v>126</v>
      </c>
      <c r="B8" s="6" t="n">
        <v>1</v>
      </c>
      <c r="C8" s="6" t="str">
        <f aca="false">IFERROR(INDEX(Participants!$B$2:$B$21,MATCH(A8,Participants!$A$2:$A$21,0)),"")</f>
        <v>Tool condition</v>
      </c>
      <c r="D8" s="6" t="str">
        <f aca="false">IF(C8="Tool condition","Tool",IF(C8="Paper condition","Paper",""))</f>
        <v>Tool</v>
      </c>
      <c r="E8" s="6" t="n">
        <f aca="false">IF(Translation!E8="","",Translation!E8)</f>
        <v>2</v>
      </c>
      <c r="F8" s="6" t="n">
        <f aca="false">IF(Translation!F8="","",Translation!F8)</f>
        <v>2</v>
      </c>
      <c r="G8" s="6" t="n">
        <f aca="false">IF(Translation!G8="","",Translation!G8)</f>
        <v>2</v>
      </c>
      <c r="H8" s="6" t="n">
        <f aca="false">IF(Translation!H8="","",Translation!H8)</f>
        <v>2</v>
      </c>
      <c r="I8" s="6" t="n">
        <f aca="false">IF(Translation!I8="","",Translation!I8)</f>
        <v>2</v>
      </c>
      <c r="J8" s="6" t="n">
        <f aca="false">IF(Translation!J8="","",Translation!J8)</f>
        <v>2</v>
      </c>
      <c r="K8" s="6" t="n">
        <f aca="false">IF(Translation!K8="","",Translation!K8)</f>
        <v>2</v>
      </c>
      <c r="L8" s="6" t="n">
        <f aca="false">IF(Translation!L8="","",Translation!L8)</f>
        <v>2</v>
      </c>
      <c r="M8" s="6" t="n">
        <f aca="false">IF(Translation!M8="","",Translation!M8)</f>
        <v>2</v>
      </c>
      <c r="N8" s="6" t="n">
        <f aca="false">IF(Translation!N8="","",Translation!N8)</f>
        <v>2</v>
      </c>
      <c r="O8" s="6" t="n">
        <f aca="false">IF(Translation!O8="","",Translation!O8)</f>
        <v>2</v>
      </c>
      <c r="P8" s="6" t="n">
        <f aca="false">IF(Translation!P8="","",Translation!P8)</f>
        <v>2</v>
      </c>
      <c r="Q8" s="6" t="n">
        <f aca="false">IF(COUNT(E8:P8)=0,"",SUM(E8:P8))</f>
        <v>24</v>
      </c>
      <c r="R8" s="6" t="n">
        <f aca="false">IF(COUNTIF($E$2:$P$2,"Gate")=0,"",IF(COUNTIFS($E$2:$P$2,"Gate",E8:P8,"&gt;=0")=0,"",SUMIF($E$2:$P$2,"Gate",E8:P8)))</f>
        <v>14</v>
      </c>
      <c r="S8" s="6" t="n">
        <f aca="false">IF(COUNTIF($E$2:$P$2,"Block")=0,"",IF(COUNTIFS($E$2:$P$2,"Block",E8:P8,"&gt;=0")=0,"",SUMIF($E$2:$P$2,"Block",E8:P8)))</f>
        <v>10</v>
      </c>
      <c r="T8" s="6" t="n">
        <f aca="false">IF(COUNTIF($E$3:$P$3,"Model")=0,"",IF(COUNT(E8:P8)=0,"",SUMIF($E$3:$P$3,"Model",E8:P8)))</f>
        <v>8</v>
      </c>
      <c r="U8" s="6" t="n">
        <f aca="false">IF(COUNTIF($E$3:$P$3,"Derivation")=0,"",IF(COUNT(E8:P8)=0,"",SUMIF($E$3:$P$3,"Derivation",E8:P8)))</f>
        <v>6</v>
      </c>
      <c r="V8" s="6" t="n">
        <f aca="false">IF(COUNTIF($E$3:$P$3,"Code")=0,"",IF(COUNT(E8:P8)=0,"",SUMIF($E$3:$P$3,"Code",E8:P8)))</f>
        <v>10</v>
      </c>
      <c r="W8" s="6" t="n">
        <f aca="false">COUNTIF(E8:P8,2)</f>
        <v>12</v>
      </c>
      <c r="X8" s="6" t="n">
        <f aca="false">COUNT(E8:P8)</f>
        <v>12</v>
      </c>
    </row>
    <row r="9" customFormat="false" ht="14.25" hidden="false" customHeight="true" outlineLevel="0" collapsed="false">
      <c r="A9" s="6" t="s">
        <v>127</v>
      </c>
      <c r="B9" s="6" t="n">
        <v>1</v>
      </c>
      <c r="C9" s="6" t="str">
        <f aca="false">IFERROR(INDEX(Participants!$B$2:$B$21,MATCH(A9,Participants!$A$2:$A$21,0)),"")</f>
        <v>Tool condition</v>
      </c>
      <c r="D9" s="6" t="str">
        <f aca="false">IF(C9="Tool condition","Tool",IF(C9="Paper condition","Paper",""))</f>
        <v>Tool</v>
      </c>
      <c r="E9" s="6" t="n">
        <f aca="false">IF(Translation!E9="","",Translation!E9)</f>
        <v>2</v>
      </c>
      <c r="F9" s="6" t="n">
        <f aca="false">IF(Translation!F9="","",Translation!F9)</f>
        <v>2</v>
      </c>
      <c r="G9" s="6" t="n">
        <f aca="false">IF(Translation!G9="","",Translation!G9)</f>
        <v>2</v>
      </c>
      <c r="H9" s="6" t="n">
        <f aca="false">IF(Translation!H9="","",Translation!H9)</f>
        <v>2</v>
      </c>
      <c r="I9" s="6" t="n">
        <f aca="false">IF(Translation!I9="","",Translation!I9)</f>
        <v>2</v>
      </c>
      <c r="J9" s="6" t="n">
        <f aca="false">IF(Translation!J9="","",Translation!J9)</f>
        <v>2</v>
      </c>
      <c r="K9" s="6" t="n">
        <f aca="false">IF(Translation!K9="","",Translation!K9)</f>
        <v>2</v>
      </c>
      <c r="L9" s="6" t="n">
        <f aca="false">IF(Translation!L9="","",Translation!L9)</f>
        <v>2</v>
      </c>
      <c r="M9" s="6" t="n">
        <f aca="false">IF(Translation!M9="","",Translation!M9)</f>
        <v>2</v>
      </c>
      <c r="N9" s="6" t="n">
        <f aca="false">IF(Translation!N9="","",Translation!N9)</f>
        <v>2</v>
      </c>
      <c r="O9" s="6" t="n">
        <f aca="false">IF(Translation!O9="","",Translation!O9)</f>
        <v>2</v>
      </c>
      <c r="P9" s="6" t="n">
        <f aca="false">IF(Translation!P9="","",Translation!P9)</f>
        <v>2</v>
      </c>
      <c r="Q9" s="6" t="n">
        <f aca="false">IF(COUNT(E9:P9)=0,"",SUM(E9:P9))</f>
        <v>24</v>
      </c>
      <c r="R9" s="6" t="n">
        <f aca="false">IF(COUNTIF($E$2:$P$2,"Gate")=0,"",IF(COUNTIFS($E$2:$P$2,"Gate",E9:P9,"&gt;=0")=0,"",SUMIF($E$2:$P$2,"Gate",E9:P9)))</f>
        <v>14</v>
      </c>
      <c r="S9" s="6" t="n">
        <f aca="false">IF(COUNTIF($E$2:$P$2,"Block")=0,"",IF(COUNTIFS($E$2:$P$2,"Block",E9:P9,"&gt;=0")=0,"",SUMIF($E$2:$P$2,"Block",E9:P9)))</f>
        <v>10</v>
      </c>
      <c r="T9" s="6" t="n">
        <f aca="false">IF(COUNTIF($E$3:$P$3,"Model")=0,"",IF(COUNT(E9:P9)=0,"",SUMIF($E$3:$P$3,"Model",E9:P9)))</f>
        <v>8</v>
      </c>
      <c r="U9" s="6" t="n">
        <f aca="false">IF(COUNTIF($E$3:$P$3,"Derivation")=0,"",IF(COUNT(E9:P9)=0,"",SUMIF($E$3:$P$3,"Derivation",E9:P9)))</f>
        <v>6</v>
      </c>
      <c r="V9" s="6" t="n">
        <f aca="false">IF(COUNTIF($E$3:$P$3,"Code")=0,"",IF(COUNT(E9:P9)=0,"",SUMIF($E$3:$P$3,"Code",E9:P9)))</f>
        <v>10</v>
      </c>
      <c r="W9" s="6" t="n">
        <f aca="false">COUNTIF(E9:P9,2)</f>
        <v>12</v>
      </c>
      <c r="X9" s="6" t="n">
        <f aca="false">COUNT(E9:P9)</f>
        <v>12</v>
      </c>
    </row>
    <row r="10" customFormat="false" ht="14.25" hidden="false" customHeight="true" outlineLevel="0" collapsed="false">
      <c r="A10" s="6" t="s">
        <v>128</v>
      </c>
      <c r="B10" s="6" t="n">
        <v>1</v>
      </c>
      <c r="C10" s="6" t="str">
        <f aca="false">IFERROR(INDEX(Participants!$B$2:$B$21,MATCH(A10,Participants!$A$2:$A$21,0)),"")</f>
        <v>Tool condition</v>
      </c>
      <c r="D10" s="6" t="str">
        <f aca="false">IF(C10="Tool condition","Tool",IF(C10="Paper condition","Paper",""))</f>
        <v>Tool</v>
      </c>
      <c r="E10" s="6" t="n">
        <f aca="false">IF(Translation!E10="","",Translation!E10)</f>
        <v>2</v>
      </c>
      <c r="F10" s="6" t="n">
        <f aca="false">IF(Translation!F10="","",Translation!F10)</f>
        <v>2</v>
      </c>
      <c r="G10" s="6" t="n">
        <f aca="false">IF(Translation!G10="","",Translation!G10)</f>
        <v>2</v>
      </c>
      <c r="H10" s="6" t="n">
        <f aca="false">IF(Translation!H10="","",Translation!H10)</f>
        <v>2</v>
      </c>
      <c r="I10" s="6" t="n">
        <f aca="false">IF(Translation!I10="","",Translation!I10)</f>
        <v>2</v>
      </c>
      <c r="J10" s="6" t="n">
        <f aca="false">IF(Translation!J10="","",Translation!J10)</f>
        <v>2</v>
      </c>
      <c r="K10" s="6" t="n">
        <f aca="false">IF(Translation!K10="","",Translation!K10)</f>
        <v>2</v>
      </c>
      <c r="L10" s="6" t="n">
        <f aca="false">IF(Translation!L10="","",Translation!L10)</f>
        <v>2</v>
      </c>
      <c r="M10" s="6" t="n">
        <f aca="false">IF(Translation!M10="","",Translation!M10)</f>
        <v>2</v>
      </c>
      <c r="N10" s="6" t="n">
        <f aca="false">IF(Translation!N10="","",Translation!N10)</f>
        <v>2</v>
      </c>
      <c r="O10" s="6" t="n">
        <f aca="false">IF(Translation!O10="","",Translation!O10)</f>
        <v>2</v>
      </c>
      <c r="P10" s="6" t="n">
        <f aca="false">IF(Translation!P10="","",Translation!P10)</f>
        <v>2</v>
      </c>
      <c r="Q10" s="6" t="n">
        <f aca="false">IF(COUNT(E10:P10)=0,"",SUM(E10:P10))</f>
        <v>24</v>
      </c>
      <c r="R10" s="6" t="n">
        <f aca="false">IF(COUNTIF($E$2:$P$2,"Gate")=0,"",IF(COUNTIFS($E$2:$P$2,"Gate",E10:P10,"&gt;=0")=0,"",SUMIF($E$2:$P$2,"Gate",E10:P10)))</f>
        <v>14</v>
      </c>
      <c r="S10" s="6" t="n">
        <f aca="false">IF(COUNTIF($E$2:$P$2,"Block")=0,"",IF(COUNTIFS($E$2:$P$2,"Block",E10:P10,"&gt;=0")=0,"",SUMIF($E$2:$P$2,"Block",E10:P10)))</f>
        <v>10</v>
      </c>
      <c r="T10" s="6" t="n">
        <f aca="false">IF(COUNTIF($E$3:$P$3,"Model")=0,"",IF(COUNT(E10:P10)=0,"",SUMIF($E$3:$P$3,"Model",E10:P10)))</f>
        <v>8</v>
      </c>
      <c r="U10" s="6" t="n">
        <f aca="false">IF(COUNTIF($E$3:$P$3,"Derivation")=0,"",IF(COUNT(E10:P10)=0,"",SUMIF($E$3:$P$3,"Derivation",E10:P10)))</f>
        <v>6</v>
      </c>
      <c r="V10" s="6" t="n">
        <f aca="false">IF(COUNTIF($E$3:$P$3,"Code")=0,"",IF(COUNT(E10:P10)=0,"",SUMIF($E$3:$P$3,"Code",E10:P10)))</f>
        <v>10</v>
      </c>
      <c r="W10" s="6" t="n">
        <f aca="false">COUNTIF(E10:P10,2)</f>
        <v>12</v>
      </c>
      <c r="X10" s="6" t="n">
        <f aca="false">COUNT(E10:P10)</f>
        <v>12</v>
      </c>
    </row>
    <row r="11" customFormat="false" ht="14.25" hidden="false" customHeight="true" outlineLevel="0" collapsed="false">
      <c r="A11" s="6" t="s">
        <v>129</v>
      </c>
      <c r="B11" s="6" t="n">
        <v>1</v>
      </c>
      <c r="C11" s="6" t="str">
        <f aca="false">IFERROR(INDEX(Participants!$B$2:$B$21,MATCH(A11,Participants!$A$2:$A$21,0)),"")</f>
        <v>Tool condition</v>
      </c>
      <c r="D11" s="6" t="str">
        <f aca="false">IF(C11="Tool condition","Tool",IF(C11="Paper condition","Paper",""))</f>
        <v>Tool</v>
      </c>
      <c r="E11" s="6" t="n">
        <f aca="false">IF(Translation!E11="","",Translation!E11)</f>
        <v>2</v>
      </c>
      <c r="F11" s="6" t="n">
        <f aca="false">IF(Translation!F11="","",Translation!F11)</f>
        <v>2</v>
      </c>
      <c r="G11" s="6" t="n">
        <f aca="false">IF(Translation!G11="","",Translation!G11)</f>
        <v>2</v>
      </c>
      <c r="H11" s="6" t="n">
        <f aca="false">IF(Translation!H11="","",Translation!H11)</f>
        <v>2</v>
      </c>
      <c r="I11" s="6" t="n">
        <f aca="false">IF(Translation!I11="","",Translation!I11)</f>
        <v>2</v>
      </c>
      <c r="J11" s="6" t="n">
        <f aca="false">IF(Translation!J11="","",Translation!J11)</f>
        <v>2</v>
      </c>
      <c r="K11" s="6" t="n">
        <f aca="false">IF(Translation!K11="","",Translation!K11)</f>
        <v>2</v>
      </c>
      <c r="L11" s="6" t="n">
        <f aca="false">IF(Translation!L11="","",Translation!L11)</f>
        <v>2</v>
      </c>
      <c r="M11" s="6" t="n">
        <f aca="false">IF(Translation!M11="","",Translation!M11)</f>
        <v>2</v>
      </c>
      <c r="N11" s="6" t="n">
        <f aca="false">IF(Translation!N11="","",Translation!N11)</f>
        <v>2</v>
      </c>
      <c r="O11" s="6" t="n">
        <f aca="false">IF(Translation!O11="","",Translation!O11)</f>
        <v>2</v>
      </c>
      <c r="P11" s="6" t="n">
        <f aca="false">IF(Translation!P11="","",Translation!P11)</f>
        <v>2</v>
      </c>
      <c r="Q11" s="6" t="n">
        <f aca="false">IF(COUNT(E11:P11)=0,"",SUM(E11:P11))</f>
        <v>24</v>
      </c>
      <c r="R11" s="6" t="n">
        <f aca="false">IF(COUNTIF($E$2:$P$2,"Gate")=0,"",IF(COUNTIFS($E$2:$P$2,"Gate",E11:P11,"&gt;=0")=0,"",SUMIF($E$2:$P$2,"Gate",E11:P11)))</f>
        <v>14</v>
      </c>
      <c r="S11" s="6" t="n">
        <f aca="false">IF(COUNTIF($E$2:$P$2,"Block")=0,"",IF(COUNTIFS($E$2:$P$2,"Block",E11:P11,"&gt;=0")=0,"",SUMIF($E$2:$P$2,"Block",E11:P11)))</f>
        <v>10</v>
      </c>
      <c r="T11" s="6" t="n">
        <f aca="false">IF(COUNTIF($E$3:$P$3,"Model")=0,"",IF(COUNT(E11:P11)=0,"",SUMIF($E$3:$P$3,"Model",E11:P11)))</f>
        <v>8</v>
      </c>
      <c r="U11" s="6" t="n">
        <f aca="false">IF(COUNTIF($E$3:$P$3,"Derivation")=0,"",IF(COUNT(E11:P11)=0,"",SUMIF($E$3:$P$3,"Derivation",E11:P11)))</f>
        <v>6</v>
      </c>
      <c r="V11" s="6" t="n">
        <f aca="false">IF(COUNTIF($E$3:$P$3,"Code")=0,"",IF(COUNT(E11:P11)=0,"",SUMIF($E$3:$P$3,"Code",E11:P11)))</f>
        <v>10</v>
      </c>
      <c r="W11" s="6" t="n">
        <f aca="false">COUNTIF(E11:P11,2)</f>
        <v>12</v>
      </c>
      <c r="X11" s="6" t="n">
        <f aca="false">COUNT(E11:P11)</f>
        <v>12</v>
      </c>
    </row>
    <row r="12" customFormat="false" ht="14.25" hidden="false" customHeight="true" outlineLevel="0" collapsed="false">
      <c r="A12" s="6" t="s">
        <v>130</v>
      </c>
      <c r="B12" s="6" t="n">
        <v>1</v>
      </c>
      <c r="C12" s="6" t="str">
        <f aca="false">IFERROR(INDEX(Participants!$B$2:$B$21,MATCH(A12,Participants!$A$2:$A$21,0)),"")</f>
        <v>Tool condition</v>
      </c>
      <c r="D12" s="6" t="str">
        <f aca="false">IF(C12="Tool condition","Tool",IF(C12="Paper condition","Paper",""))</f>
        <v>Tool</v>
      </c>
      <c r="E12" s="6" t="n">
        <f aca="false">IF(Translation!E12="","",Translation!E12)</f>
        <v>2</v>
      </c>
      <c r="F12" s="6" t="n">
        <f aca="false">IF(Translation!F12="","",Translation!F12)</f>
        <v>2</v>
      </c>
      <c r="G12" s="6" t="n">
        <f aca="false">IF(Translation!G12="","",Translation!G12)</f>
        <v>2</v>
      </c>
      <c r="H12" s="6" t="n">
        <f aca="false">IF(Translation!H12="","",Translation!H12)</f>
        <v>2</v>
      </c>
      <c r="I12" s="6" t="n">
        <f aca="false">IF(Translation!I12="","",Translation!I12)</f>
        <v>2</v>
      </c>
      <c r="J12" s="6" t="n">
        <f aca="false">IF(Translation!J12="","",Translation!J12)</f>
        <v>2</v>
      </c>
      <c r="K12" s="6" t="n">
        <f aca="false">IF(Translation!K12="","",Translation!K12)</f>
        <v>2</v>
      </c>
      <c r="L12" s="6" t="n">
        <f aca="false">IF(Translation!L12="","",Translation!L12)</f>
        <v>2</v>
      </c>
      <c r="M12" s="6" t="n">
        <f aca="false">IF(Translation!M12="","",Translation!M12)</f>
        <v>2</v>
      </c>
      <c r="N12" s="6" t="n">
        <f aca="false">IF(Translation!N12="","",Translation!N12)</f>
        <v>2</v>
      </c>
      <c r="O12" s="6" t="n">
        <f aca="false">IF(Translation!O12="","",Translation!O12)</f>
        <v>2</v>
      </c>
      <c r="P12" s="6" t="n">
        <f aca="false">IF(Translation!P12="","",Translation!P12)</f>
        <v>2</v>
      </c>
      <c r="Q12" s="6" t="n">
        <f aca="false">IF(COUNT(E12:P12)=0,"",SUM(E12:P12))</f>
        <v>24</v>
      </c>
      <c r="R12" s="6" t="n">
        <f aca="false">IF(COUNTIF($E$2:$P$2,"Gate")=0,"",IF(COUNTIFS($E$2:$P$2,"Gate",E12:P12,"&gt;=0")=0,"",SUMIF($E$2:$P$2,"Gate",E12:P12)))</f>
        <v>14</v>
      </c>
      <c r="S12" s="6" t="n">
        <f aca="false">IF(COUNTIF($E$2:$P$2,"Block")=0,"",IF(COUNTIFS($E$2:$P$2,"Block",E12:P12,"&gt;=0")=0,"",SUMIF($E$2:$P$2,"Block",E12:P12)))</f>
        <v>10</v>
      </c>
      <c r="T12" s="6" t="n">
        <f aca="false">IF(COUNTIF($E$3:$P$3,"Model")=0,"",IF(COUNT(E12:P12)=0,"",SUMIF($E$3:$P$3,"Model",E12:P12)))</f>
        <v>8</v>
      </c>
      <c r="U12" s="6" t="n">
        <f aca="false">IF(COUNTIF($E$3:$P$3,"Derivation")=0,"",IF(COUNT(E12:P12)=0,"",SUMIF($E$3:$P$3,"Derivation",E12:P12)))</f>
        <v>6</v>
      </c>
      <c r="V12" s="6" t="n">
        <f aca="false">IF(COUNTIF($E$3:$P$3,"Code")=0,"",IF(COUNT(E12:P12)=0,"",SUMIF($E$3:$P$3,"Code",E12:P12)))</f>
        <v>10</v>
      </c>
      <c r="W12" s="6" t="n">
        <f aca="false">COUNTIF(E12:P12,2)</f>
        <v>12</v>
      </c>
      <c r="X12" s="6" t="n">
        <f aca="false">COUNT(E12:P12)</f>
        <v>12</v>
      </c>
    </row>
    <row r="13" customFormat="false" ht="14.25" hidden="false" customHeight="true" outlineLevel="0" collapsed="false">
      <c r="A13" s="6" t="s">
        <v>131</v>
      </c>
      <c r="B13" s="6" t="n">
        <v>1</v>
      </c>
      <c r="C13" s="6" t="str">
        <f aca="false">IFERROR(INDEX(Participants!$B$2:$B$21,MATCH(A13,Participants!$A$2:$A$21,0)),"")</f>
        <v>Tool condition</v>
      </c>
      <c r="D13" s="6" t="str">
        <f aca="false">IF(C13="Tool condition","Tool",IF(C13="Paper condition","Paper",""))</f>
        <v>Tool</v>
      </c>
      <c r="E13" s="6" t="n">
        <f aca="false">IF(Translation!E13="","",Translation!E13)</f>
        <v>2</v>
      </c>
      <c r="F13" s="6" t="n">
        <f aca="false">IF(Translation!F13="","",Translation!F13)</f>
        <v>2</v>
      </c>
      <c r="G13" s="6" t="n">
        <f aca="false">IF(Translation!G13="","",Translation!G13)</f>
        <v>2</v>
      </c>
      <c r="H13" s="6" t="n">
        <f aca="false">IF(Translation!H13="","",Translation!H13)</f>
        <v>2</v>
      </c>
      <c r="I13" s="6" t="n">
        <f aca="false">IF(Translation!I13="","",Translation!I13)</f>
        <v>2</v>
      </c>
      <c r="J13" s="6" t="n">
        <f aca="false">IF(Translation!J13="","",Translation!J13)</f>
        <v>2</v>
      </c>
      <c r="K13" s="6" t="n">
        <f aca="false">IF(Translation!K13="","",Translation!K13)</f>
        <v>2</v>
      </c>
      <c r="L13" s="6" t="n">
        <f aca="false">IF(Translation!L13="","",Translation!L13)</f>
        <v>2</v>
      </c>
      <c r="M13" s="6" t="n">
        <f aca="false">IF(Translation!M13="","",Translation!M13)</f>
        <v>2</v>
      </c>
      <c r="N13" s="6" t="n">
        <f aca="false">IF(Translation!N13="","",Translation!N13)</f>
        <v>2</v>
      </c>
      <c r="O13" s="6" t="n">
        <f aca="false">IF(Translation!O13="","",Translation!O13)</f>
        <v>2</v>
      </c>
      <c r="P13" s="6" t="n">
        <f aca="false">IF(Translation!P13="","",Translation!P13)</f>
        <v>2</v>
      </c>
      <c r="Q13" s="6" t="n">
        <f aca="false">IF(COUNT(E13:P13)=0,"",SUM(E13:P13))</f>
        <v>24</v>
      </c>
      <c r="R13" s="6" t="n">
        <f aca="false">IF(COUNTIF($E$2:$P$2,"Gate")=0,"",IF(COUNTIFS($E$2:$P$2,"Gate",E13:P13,"&gt;=0")=0,"",SUMIF($E$2:$P$2,"Gate",E13:P13)))</f>
        <v>14</v>
      </c>
      <c r="S13" s="6" t="n">
        <f aca="false">IF(COUNTIF($E$2:$P$2,"Block")=0,"",IF(COUNTIFS($E$2:$P$2,"Block",E13:P13,"&gt;=0")=0,"",SUMIF($E$2:$P$2,"Block",E13:P13)))</f>
        <v>10</v>
      </c>
      <c r="T13" s="6" t="n">
        <f aca="false">IF(COUNTIF($E$3:$P$3,"Model")=0,"",IF(COUNT(E13:P13)=0,"",SUMIF($E$3:$P$3,"Model",E13:P13)))</f>
        <v>8</v>
      </c>
      <c r="U13" s="6" t="n">
        <f aca="false">IF(COUNTIF($E$3:$P$3,"Derivation")=0,"",IF(COUNT(E13:P13)=0,"",SUMIF($E$3:$P$3,"Derivation",E13:P13)))</f>
        <v>6</v>
      </c>
      <c r="V13" s="6" t="n">
        <f aca="false">IF(COUNTIF($E$3:$P$3,"Code")=0,"",IF(COUNT(E13:P13)=0,"",SUMIF($E$3:$P$3,"Code",E13:P13)))</f>
        <v>10</v>
      </c>
      <c r="W13" s="6" t="n">
        <f aca="false">COUNTIF(E13:P13,2)</f>
        <v>12</v>
      </c>
      <c r="X13" s="6" t="n">
        <f aca="false">COUNT(E13:P13)</f>
        <v>12</v>
      </c>
    </row>
    <row r="14" customFormat="false" ht="14.25" hidden="false" customHeight="true" outlineLevel="0" collapsed="false">
      <c r="A14" s="6" t="s">
        <v>26</v>
      </c>
      <c r="B14" s="6" t="n">
        <v>1</v>
      </c>
      <c r="C14" s="6" t="str">
        <f aca="false">IFERROR(INDEX(Participants!$B$2:$B$21,MATCH(A14,Participants!$A$2:$A$21,0)),"")</f>
        <v>Tool condition</v>
      </c>
      <c r="D14" s="6" t="str">
        <f aca="false">IF(C14="Tool condition","Tool",IF(C14="Paper condition","Paper",""))</f>
        <v>Tool</v>
      </c>
      <c r="E14" s="6" t="n">
        <f aca="false">IF(Translation!E14="","",Translation!E14)</f>
        <v>2</v>
      </c>
      <c r="F14" s="6" t="n">
        <f aca="false">IF(Translation!F14="","",Translation!F14)</f>
        <v>2</v>
      </c>
      <c r="G14" s="6" t="n">
        <f aca="false">IF(Translation!G14="","",Translation!G14)</f>
        <v>2</v>
      </c>
      <c r="H14" s="6" t="n">
        <f aca="false">IF(Translation!H14="","",Translation!H14)</f>
        <v>2</v>
      </c>
      <c r="I14" s="6" t="n">
        <f aca="false">IF(Translation!I14="","",Translation!I14)</f>
        <v>2</v>
      </c>
      <c r="J14" s="6" t="n">
        <f aca="false">IF(Translation!J14="","",Translation!J14)</f>
        <v>2</v>
      </c>
      <c r="K14" s="6" t="n">
        <f aca="false">IF(Translation!K14="","",Translation!K14)</f>
        <v>2</v>
      </c>
      <c r="L14" s="6" t="n">
        <f aca="false">IF(Translation!L14="","",Translation!L14)</f>
        <v>2</v>
      </c>
      <c r="M14" s="6" t="n">
        <f aca="false">IF(Translation!M14="","",Translation!M14)</f>
        <v>2</v>
      </c>
      <c r="N14" s="6" t="n">
        <f aca="false">IF(Translation!N14="","",Translation!N14)</f>
        <v>2</v>
      </c>
      <c r="O14" s="6" t="n">
        <f aca="false">IF(Translation!O14="","",Translation!O14)</f>
        <v>2</v>
      </c>
      <c r="P14" s="6" t="n">
        <f aca="false">IF(Translation!P14="","",Translation!P14)</f>
        <v>2</v>
      </c>
      <c r="Q14" s="6" t="n">
        <f aca="false">IF(COUNT(E14:P14)=0,"",SUM(E14:P14))</f>
        <v>24</v>
      </c>
      <c r="R14" s="6" t="n">
        <f aca="false">IF(COUNTIF($E$2:$P$2,"Gate")=0,"",IF(COUNTIFS($E$2:$P$2,"Gate",E14:P14,"&gt;=0")=0,"",SUMIF($E$2:$P$2,"Gate",E14:P14)))</f>
        <v>14</v>
      </c>
      <c r="S14" s="6" t="n">
        <f aca="false">IF(COUNTIF($E$2:$P$2,"Block")=0,"",IF(COUNTIFS($E$2:$P$2,"Block",E14:P14,"&gt;=0")=0,"",SUMIF($E$2:$P$2,"Block",E14:P14)))</f>
        <v>10</v>
      </c>
      <c r="T14" s="6" t="n">
        <f aca="false">IF(COUNTIF($E$3:$P$3,"Model")=0,"",IF(COUNT(E14:P14)=0,"",SUMIF($E$3:$P$3,"Model",E14:P14)))</f>
        <v>8</v>
      </c>
      <c r="U14" s="6" t="n">
        <f aca="false">IF(COUNTIF($E$3:$P$3,"Derivation")=0,"",IF(COUNT(E14:P14)=0,"",SUMIF($E$3:$P$3,"Derivation",E14:P14)))</f>
        <v>6</v>
      </c>
      <c r="V14" s="6" t="n">
        <f aca="false">IF(COUNTIF($E$3:$P$3,"Code")=0,"",IF(COUNT(E14:P14)=0,"",SUMIF($E$3:$P$3,"Code",E14:P14)))</f>
        <v>10</v>
      </c>
      <c r="W14" s="6" t="n">
        <f aca="false">COUNTIF(E14:P14,2)</f>
        <v>12</v>
      </c>
      <c r="X14" s="6" t="n">
        <f aca="false">COUNT(E14:P14)</f>
        <v>12</v>
      </c>
    </row>
    <row r="15" customFormat="false" ht="14.25" hidden="false" customHeight="true" outlineLevel="0" collapsed="false">
      <c r="A15" s="6" t="s">
        <v>132</v>
      </c>
      <c r="B15" s="6" t="n">
        <v>1</v>
      </c>
      <c r="C15" s="6" t="str">
        <f aca="false">IFERROR(INDEX(Participants!$B$2:$B$21,MATCH(A15,Participants!$A$2:$A$21,0)),"")</f>
        <v>Paper condition</v>
      </c>
      <c r="D15" s="6" t="str">
        <f aca="false">IF(C15="Tool condition","Tool",IF(C15="Paper condition","Paper",""))</f>
        <v>Paper</v>
      </c>
      <c r="E15" s="6" t="n">
        <f aca="false">IF(Translation!E15="","",Translation!E15)</f>
        <v>2</v>
      </c>
      <c r="F15" s="6" t="n">
        <f aca="false">IF(Translation!F15="","",Translation!F15)</f>
        <v>1</v>
      </c>
      <c r="G15" s="6" t="n">
        <f aca="false">IF(Translation!G15="","",Translation!G15)</f>
        <v>2</v>
      </c>
      <c r="H15" s="6" t="n">
        <f aca="false">IF(Translation!H15="","",Translation!H15)</f>
        <v>2</v>
      </c>
      <c r="I15" s="6" t="n">
        <f aca="false">IF(Translation!I15="","",Translation!I15)</f>
        <v>1</v>
      </c>
      <c r="J15" s="6" t="n">
        <f aca="false">IF(Translation!J15="","",Translation!J15)</f>
        <v>2</v>
      </c>
      <c r="K15" s="6" t="n">
        <f aca="false">IF(Translation!K15="","",Translation!K15)</f>
        <v>1</v>
      </c>
      <c r="L15" s="6" t="n">
        <f aca="false">IF(Translation!L15="","",Translation!L15)</f>
        <v>2</v>
      </c>
      <c r="M15" s="6" t="n">
        <f aca="false">IF(Translation!M15="","",Translation!M15)</f>
        <v>2</v>
      </c>
      <c r="N15" s="6" t="n">
        <f aca="false">IF(Translation!N15="","",Translation!N15)</f>
        <v>1</v>
      </c>
      <c r="O15" s="6" t="n">
        <f aca="false">IF(Translation!O15="","",Translation!O15)</f>
        <v>2</v>
      </c>
      <c r="P15" s="6" t="n">
        <f aca="false">IF(Translation!P15="","",Translation!P15)</f>
        <v>1</v>
      </c>
      <c r="Q15" s="6" t="n">
        <f aca="false">IF(COUNT(E15:P15)=0,"",SUM(E15:P15))</f>
        <v>19</v>
      </c>
      <c r="R15" s="6" t="n">
        <f aca="false">IF(COUNTIF($E$2:$P$2,"Gate")=0,"",IF(COUNTIFS($E$2:$P$2,"Gate",E15:P15,"&gt;=0")=0,"",SUMIF($E$2:$P$2,"Gate",E15:P15)))</f>
        <v>11</v>
      </c>
      <c r="S15" s="6" t="n">
        <f aca="false">IF(COUNTIF($E$2:$P$2,"Block")=0,"",IF(COUNTIFS($E$2:$P$2,"Block",E15:P15,"&gt;=0")=0,"",SUMIF($E$2:$P$2,"Block",E15:P15)))</f>
        <v>8</v>
      </c>
      <c r="T15" s="6" t="n">
        <f aca="false">IF(COUNTIF($E$3:$P$3,"Model")=0,"",IF(COUNT(E15:P15)=0,"",SUMIF($E$3:$P$3,"Model",E15:P15)))</f>
        <v>7</v>
      </c>
      <c r="U15" s="6" t="n">
        <f aca="false">IF(COUNTIF($E$3:$P$3,"Derivation")=0,"",IF(COUNT(E15:P15)=0,"",SUMIF($E$3:$P$3,"Derivation",E15:P15)))</f>
        <v>5</v>
      </c>
      <c r="V15" s="6" t="n">
        <f aca="false">IF(COUNTIF($E$3:$P$3,"Code")=0,"",IF(COUNT(E15:P15)=0,"",SUMIF($E$3:$P$3,"Code",E15:P15)))</f>
        <v>7</v>
      </c>
      <c r="W15" s="6" t="n">
        <f aca="false">COUNTIF(E15:P15,2)</f>
        <v>7</v>
      </c>
      <c r="X15" s="6" t="n">
        <f aca="false">COUNT(E15:P15)</f>
        <v>12</v>
      </c>
    </row>
    <row r="16" customFormat="false" ht="14.25" hidden="false" customHeight="true" outlineLevel="0" collapsed="false">
      <c r="A16" s="6" t="s">
        <v>134</v>
      </c>
      <c r="B16" s="6" t="n">
        <v>1</v>
      </c>
      <c r="C16" s="6" t="str">
        <f aca="false">IFERROR(INDEX(Participants!$B$2:$B$21,MATCH(A16,Participants!$A$2:$A$21,0)),"")</f>
        <v>Paper condition</v>
      </c>
      <c r="D16" s="6" t="str">
        <f aca="false">IF(C16="Tool condition","Tool",IF(C16="Paper condition","Paper",""))</f>
        <v>Paper</v>
      </c>
      <c r="E16" s="6" t="n">
        <f aca="false">IF(Translation!E16="","",Translation!E16)</f>
        <v>2</v>
      </c>
      <c r="F16" s="6" t="n">
        <f aca="false">IF(Translation!F16="","",Translation!F16)</f>
        <v>2</v>
      </c>
      <c r="G16" s="6" t="n">
        <f aca="false">IF(Translation!G16="","",Translation!G16)</f>
        <v>2</v>
      </c>
      <c r="H16" s="6" t="n">
        <f aca="false">IF(Translation!H16="","",Translation!H16)</f>
        <v>2</v>
      </c>
      <c r="I16" s="6" t="n">
        <f aca="false">IF(Translation!I16="","",Translation!I16)</f>
        <v>2</v>
      </c>
      <c r="J16" s="6" t="n">
        <f aca="false">IF(Translation!J16="","",Translation!J16)</f>
        <v>1</v>
      </c>
      <c r="K16" s="6" t="n">
        <f aca="false">IF(Translation!K16="","",Translation!K16)</f>
        <v>2</v>
      </c>
      <c r="L16" s="6" t="n">
        <f aca="false">IF(Translation!L16="","",Translation!L16)</f>
        <v>2</v>
      </c>
      <c r="M16" s="6" t="n">
        <f aca="false">IF(Translation!M16="","",Translation!M16)</f>
        <v>2</v>
      </c>
      <c r="N16" s="6" t="n">
        <f aca="false">IF(Translation!N16="","",Translation!N16)</f>
        <v>2</v>
      </c>
      <c r="O16" s="6" t="n">
        <f aca="false">IF(Translation!O16="","",Translation!O16)</f>
        <v>1</v>
      </c>
      <c r="P16" s="6" t="n">
        <f aca="false">IF(Translation!P16="","",Translation!P16)</f>
        <v>2</v>
      </c>
      <c r="Q16" s="6" t="n">
        <f aca="false">IF(COUNT(E16:P16)=0,"",SUM(E16:P16))</f>
        <v>22</v>
      </c>
      <c r="R16" s="6" t="n">
        <f aca="false">IF(COUNTIF($E$2:$P$2,"Gate")=0,"",IF(COUNTIFS($E$2:$P$2,"Gate",E16:P16,"&gt;=0")=0,"",SUMIF($E$2:$P$2,"Gate",E16:P16)))</f>
        <v>12</v>
      </c>
      <c r="S16" s="6" t="n">
        <f aca="false">IF(COUNTIF($E$2:$P$2,"Block")=0,"",IF(COUNTIFS($E$2:$P$2,"Block",E16:P16,"&gt;=0")=0,"",SUMIF($E$2:$P$2,"Block",E16:P16)))</f>
        <v>10</v>
      </c>
      <c r="T16" s="6" t="n">
        <f aca="false">IF(COUNTIF($E$3:$P$3,"Model")=0,"",IF(COUNT(E16:P16)=0,"",SUMIF($E$3:$P$3,"Model",E16:P16)))</f>
        <v>8</v>
      </c>
      <c r="U16" s="6" t="n">
        <f aca="false">IF(COUNTIF($E$3:$P$3,"Derivation")=0,"",IF(COUNT(E16:P16)=0,"",SUMIF($E$3:$P$3,"Derivation",E16:P16)))</f>
        <v>5</v>
      </c>
      <c r="V16" s="6" t="n">
        <f aca="false">IF(COUNTIF($E$3:$P$3,"Code")=0,"",IF(COUNT(E16:P16)=0,"",SUMIF($E$3:$P$3,"Code",E16:P16)))</f>
        <v>9</v>
      </c>
      <c r="W16" s="6" t="n">
        <f aca="false">COUNTIF(E16:P16,2)</f>
        <v>10</v>
      </c>
      <c r="X16" s="6" t="n">
        <f aca="false">COUNT(E16:P16)</f>
        <v>12</v>
      </c>
    </row>
    <row r="17" customFormat="false" ht="14.25" hidden="false" customHeight="true" outlineLevel="0" collapsed="false">
      <c r="A17" s="6" t="s">
        <v>135</v>
      </c>
      <c r="B17" s="6" t="n">
        <v>1</v>
      </c>
      <c r="C17" s="6" t="str">
        <f aca="false">IFERROR(INDEX(Participants!$B$2:$B$21,MATCH(A17,Participants!$A$2:$A$21,0)),"")</f>
        <v>Paper condition</v>
      </c>
      <c r="D17" s="6" t="str">
        <f aca="false">IF(C17="Tool condition","Tool",IF(C17="Paper condition","Paper",""))</f>
        <v>Paper</v>
      </c>
      <c r="E17" s="6" t="n">
        <f aca="false">IF(Translation!E17="","",Translation!E17)</f>
        <v>1</v>
      </c>
      <c r="F17" s="6" t="n">
        <f aca="false">IF(Translation!F17="","",Translation!F17)</f>
        <v>1</v>
      </c>
      <c r="G17" s="6" t="n">
        <f aca="false">IF(Translation!G17="","",Translation!G17)</f>
        <v>2</v>
      </c>
      <c r="H17" s="6" t="n">
        <f aca="false">IF(Translation!H17="","",Translation!H17)</f>
        <v>1</v>
      </c>
      <c r="I17" s="6" t="n">
        <f aca="false">IF(Translation!I17="","",Translation!I17)</f>
        <v>0</v>
      </c>
      <c r="J17" s="6" t="n">
        <f aca="false">IF(Translation!J17="","",Translation!J17)</f>
        <v>1</v>
      </c>
      <c r="K17" s="6" t="n">
        <f aca="false">IF(Translation!K17="","",Translation!K17)</f>
        <v>2</v>
      </c>
      <c r="L17" s="6" t="n">
        <f aca="false">IF(Translation!L17="","",Translation!L17)</f>
        <v>1</v>
      </c>
      <c r="M17" s="6" t="n">
        <f aca="false">IF(Translation!M17="","",Translation!M17)</f>
        <v>2</v>
      </c>
      <c r="N17" s="6" t="n">
        <f aca="false">IF(Translation!N17="","",Translation!N17)</f>
        <v>0</v>
      </c>
      <c r="O17" s="6" t="n">
        <f aca="false">IF(Translation!O17="","",Translation!O17)</f>
        <v>1</v>
      </c>
      <c r="P17" s="6" t="n">
        <f aca="false">IF(Translation!P17="","",Translation!P17)</f>
        <v>0</v>
      </c>
      <c r="Q17" s="6" t="n">
        <f aca="false">IF(COUNT(E17:P17)=0,"",SUM(E17:P17))</f>
        <v>12</v>
      </c>
      <c r="R17" s="6" t="n">
        <f aca="false">IF(COUNTIF($E$2:$P$2,"Gate")=0,"",IF(COUNTIFS($E$2:$P$2,"Gate",E17:P17,"&gt;=0")=0,"",SUMIF($E$2:$P$2,"Gate",E17:P17)))</f>
        <v>5</v>
      </c>
      <c r="S17" s="6" t="n">
        <f aca="false">IF(COUNTIF($E$2:$P$2,"Block")=0,"",IF(COUNTIFS($E$2:$P$2,"Block",E17:P17,"&gt;=0")=0,"",SUMIF($E$2:$P$2,"Block",E17:P17)))</f>
        <v>7</v>
      </c>
      <c r="T17" s="6" t="n">
        <f aca="false">IF(COUNTIF($E$3:$P$3,"Model")=0,"",IF(COUNT(E17:P17)=0,"",SUMIF($E$3:$P$3,"Model",E17:P17)))</f>
        <v>6</v>
      </c>
      <c r="U17" s="6" t="n">
        <f aca="false">IF(COUNTIF($E$3:$P$3,"Derivation")=0,"",IF(COUNT(E17:P17)=0,"",SUMIF($E$3:$P$3,"Derivation",E17:P17)))</f>
        <v>2</v>
      </c>
      <c r="V17" s="6" t="n">
        <f aca="false">IF(COUNTIF($E$3:$P$3,"Code")=0,"",IF(COUNT(E17:P17)=0,"",SUMIF($E$3:$P$3,"Code",E17:P17)))</f>
        <v>4</v>
      </c>
      <c r="W17" s="6" t="n">
        <f aca="false">COUNTIF(E17:P17,2)</f>
        <v>3</v>
      </c>
      <c r="X17" s="6" t="n">
        <f aca="false">COUNT(E17:P17)</f>
        <v>12</v>
      </c>
    </row>
    <row r="18" customFormat="false" ht="14.25" hidden="false" customHeight="true" outlineLevel="0" collapsed="false">
      <c r="A18" s="6" t="s">
        <v>136</v>
      </c>
      <c r="B18" s="6" t="n">
        <v>1</v>
      </c>
      <c r="C18" s="6" t="str">
        <f aca="false">IFERROR(INDEX(Participants!$B$2:$B$21,MATCH(A18,Participants!$A$2:$A$21,0)),"")</f>
        <v>Paper condition</v>
      </c>
      <c r="D18" s="6" t="str">
        <f aca="false">IF(C18="Tool condition","Tool",IF(C18="Paper condition","Paper",""))</f>
        <v>Paper</v>
      </c>
      <c r="E18" s="6" t="n">
        <f aca="false">IF(Translation!E18="","",Translation!E18)</f>
        <v>2</v>
      </c>
      <c r="F18" s="6" t="n">
        <f aca="false">IF(Translation!F18="","",Translation!F18)</f>
        <v>2</v>
      </c>
      <c r="G18" s="6" t="n">
        <f aca="false">IF(Translation!G18="","",Translation!G18)</f>
        <v>1</v>
      </c>
      <c r="H18" s="6" t="n">
        <f aca="false">IF(Translation!H18="","",Translation!H18)</f>
        <v>2</v>
      </c>
      <c r="I18" s="6" t="n">
        <f aca="false">IF(Translation!I18="","",Translation!I18)</f>
        <v>2</v>
      </c>
      <c r="J18" s="6" t="n">
        <f aca="false">IF(Translation!J18="","",Translation!J18)</f>
        <v>2</v>
      </c>
      <c r="K18" s="6" t="n">
        <f aca="false">IF(Translation!K18="","",Translation!K18)</f>
        <v>2</v>
      </c>
      <c r="L18" s="6" t="n">
        <f aca="false">IF(Translation!L18="","",Translation!L18)</f>
        <v>2</v>
      </c>
      <c r="M18" s="6" t="n">
        <f aca="false">IF(Translation!M18="","",Translation!M18)</f>
        <v>1</v>
      </c>
      <c r="N18" s="6" t="n">
        <f aca="false">IF(Translation!N18="","",Translation!N18)</f>
        <v>2</v>
      </c>
      <c r="O18" s="6" t="n">
        <f aca="false">IF(Translation!O18="","",Translation!O18)</f>
        <v>2</v>
      </c>
      <c r="P18" s="6" t="n">
        <f aca="false">IF(Translation!P18="","",Translation!P18)</f>
        <v>2</v>
      </c>
      <c r="Q18" s="6" t="n">
        <f aca="false">IF(COUNT(E18:P18)=0,"",SUM(E18:P18))</f>
        <v>22</v>
      </c>
      <c r="R18" s="6" t="n">
        <f aca="false">IF(COUNTIF($E$2:$P$2,"Gate")=0,"",IF(COUNTIFS($E$2:$P$2,"Gate",E18:P18,"&gt;=0")=0,"",SUMIF($E$2:$P$2,"Gate",E18:P18)))</f>
        <v>14</v>
      </c>
      <c r="S18" s="6" t="n">
        <f aca="false">IF(COUNTIF($E$2:$P$2,"Block")=0,"",IF(COUNTIFS($E$2:$P$2,"Block",E18:P18,"&gt;=0")=0,"",SUMIF($E$2:$P$2,"Block",E18:P18)))</f>
        <v>8</v>
      </c>
      <c r="T18" s="6" t="n">
        <f aca="false">IF(COUNTIF($E$3:$P$3,"Model")=0,"",IF(COUNT(E18:P18)=0,"",SUMIF($E$3:$P$3,"Model",E18:P18)))</f>
        <v>7</v>
      </c>
      <c r="U18" s="6" t="n">
        <f aca="false">IF(COUNTIF($E$3:$P$3,"Derivation")=0,"",IF(COUNT(E18:P18)=0,"",SUMIF($E$3:$P$3,"Derivation",E18:P18)))</f>
        <v>6</v>
      </c>
      <c r="V18" s="6" t="n">
        <f aca="false">IF(COUNTIF($E$3:$P$3,"Code")=0,"",IF(COUNT(E18:P18)=0,"",SUMIF($E$3:$P$3,"Code",E18:P18)))</f>
        <v>9</v>
      </c>
      <c r="W18" s="6" t="n">
        <f aca="false">COUNTIF(E18:P18,2)</f>
        <v>10</v>
      </c>
      <c r="X18" s="6" t="n">
        <f aca="false">COUNT(E18:P18)</f>
        <v>12</v>
      </c>
    </row>
    <row r="19" customFormat="false" ht="14.25" hidden="false" customHeight="true" outlineLevel="0" collapsed="false">
      <c r="A19" s="6" t="s">
        <v>137</v>
      </c>
      <c r="B19" s="6" t="n">
        <v>1</v>
      </c>
      <c r="C19" s="6" t="str">
        <f aca="false">IFERROR(INDEX(Participants!$B$2:$B$21,MATCH(A19,Participants!$A$2:$A$21,0)),"")</f>
        <v>Paper condition</v>
      </c>
      <c r="D19" s="6" t="str">
        <f aca="false">IF(C19="Tool condition","Tool",IF(C19="Paper condition","Paper",""))</f>
        <v>Paper</v>
      </c>
      <c r="E19" s="6" t="n">
        <f aca="false">IF(Translation!E19="","",Translation!E19)</f>
        <v>1</v>
      </c>
      <c r="F19" s="6" t="n">
        <f aca="false">IF(Translation!F19="","",Translation!F19)</f>
        <v>0</v>
      </c>
      <c r="G19" s="6" t="n">
        <f aca="false">IF(Translation!G19="","",Translation!G19)</f>
        <v>2</v>
      </c>
      <c r="H19" s="6" t="n">
        <f aca="false">IF(Translation!H19="","",Translation!H19)</f>
        <v>1</v>
      </c>
      <c r="I19" s="6" t="n">
        <f aca="false">IF(Translation!I19="","",Translation!I19)</f>
        <v>1</v>
      </c>
      <c r="J19" s="6" t="n">
        <f aca="false">IF(Translation!J19="","",Translation!J19)</f>
        <v>2</v>
      </c>
      <c r="K19" s="6" t="n">
        <f aca="false">IF(Translation!K19="","",Translation!K19)</f>
        <v>1</v>
      </c>
      <c r="L19" s="6" t="n">
        <f aca="false">IF(Translation!L19="","",Translation!L19)</f>
        <v>2</v>
      </c>
      <c r="M19" s="6" t="n">
        <f aca="false">IF(Translation!M19="","",Translation!M19)</f>
        <v>2</v>
      </c>
      <c r="N19" s="6" t="n">
        <f aca="false">IF(Translation!N19="","",Translation!N19)</f>
        <v>1</v>
      </c>
      <c r="O19" s="6" t="n">
        <f aca="false">IF(Translation!O19="","",Translation!O19)</f>
        <v>1</v>
      </c>
      <c r="P19" s="6" t="n">
        <f aca="false">IF(Translation!P19="","",Translation!P19)</f>
        <v>1</v>
      </c>
      <c r="Q19" s="6" t="n">
        <f aca="false">IF(COUNT(E19:P19)=0,"",SUM(E19:P19))</f>
        <v>15</v>
      </c>
      <c r="R19" s="6" t="n">
        <f aca="false">IF(COUNTIF($E$2:$P$2,"Gate")=0,"",IF(COUNTIFS($E$2:$P$2,"Gate",E19:P19,"&gt;=0")=0,"",SUMIF($E$2:$P$2,"Gate",E19:P19)))</f>
        <v>7</v>
      </c>
      <c r="S19" s="6" t="n">
        <f aca="false">IF(COUNTIF($E$2:$P$2,"Block")=0,"",IF(COUNTIFS($E$2:$P$2,"Block",E19:P19,"&gt;=0")=0,"",SUMIF($E$2:$P$2,"Block",E19:P19)))</f>
        <v>8</v>
      </c>
      <c r="T19" s="6" t="n">
        <f aca="false">IF(COUNTIF($E$3:$P$3,"Model")=0,"",IF(COUNT(E19:P19)=0,"",SUMIF($E$3:$P$3,"Model",E19:P19)))</f>
        <v>5</v>
      </c>
      <c r="U19" s="6" t="n">
        <f aca="false">IF(COUNTIF($E$3:$P$3,"Derivation")=0,"",IF(COUNT(E19:P19)=0,"",SUMIF($E$3:$P$3,"Derivation",E19:P19)))</f>
        <v>4</v>
      </c>
      <c r="V19" s="6" t="n">
        <f aca="false">IF(COUNTIF($E$3:$P$3,"Code")=0,"",IF(COUNT(E19:P19)=0,"",SUMIF($E$3:$P$3,"Code",E19:P19)))</f>
        <v>6</v>
      </c>
      <c r="W19" s="6" t="n">
        <f aca="false">COUNTIF(E19:P19,2)</f>
        <v>4</v>
      </c>
      <c r="X19" s="6" t="n">
        <f aca="false">COUNT(E19:P19)</f>
        <v>12</v>
      </c>
    </row>
    <row r="20" customFormat="false" ht="14.25" hidden="false" customHeight="true" outlineLevel="0" collapsed="false">
      <c r="A20" s="6" t="s">
        <v>138</v>
      </c>
      <c r="B20" s="6" t="n">
        <v>1</v>
      </c>
      <c r="C20" s="6" t="str">
        <f aca="false">IFERROR(INDEX(Participants!$B$2:$B$21,MATCH(A20,Participants!$A$2:$A$21,0)),"")</f>
        <v>Paper condition</v>
      </c>
      <c r="D20" s="6" t="str">
        <f aca="false">IF(C20="Tool condition","Tool",IF(C20="Paper condition","Paper",""))</f>
        <v>Paper</v>
      </c>
      <c r="E20" s="6" t="n">
        <f aca="false">IF(Translation!E20="","",Translation!E20)</f>
        <v>2</v>
      </c>
      <c r="F20" s="6" t="n">
        <f aca="false">IF(Translation!F20="","",Translation!F20)</f>
        <v>1</v>
      </c>
      <c r="G20" s="6" t="n">
        <f aca="false">IF(Translation!G20="","",Translation!G20)</f>
        <v>2</v>
      </c>
      <c r="H20" s="6" t="n">
        <f aca="false">IF(Translation!H20="","",Translation!H20)</f>
        <v>2</v>
      </c>
      <c r="I20" s="6" t="n">
        <f aca="false">IF(Translation!I20="","",Translation!I20)</f>
        <v>1</v>
      </c>
      <c r="J20" s="6" t="n">
        <f aca="false">IF(Translation!J20="","",Translation!J20)</f>
        <v>1</v>
      </c>
      <c r="K20" s="6" t="n">
        <f aca="false">IF(Translation!K20="","",Translation!K20)</f>
        <v>2</v>
      </c>
      <c r="L20" s="6" t="n">
        <f aca="false">IF(Translation!L20="","",Translation!L20)</f>
        <v>1</v>
      </c>
      <c r="M20" s="6" t="n">
        <f aca="false">IF(Translation!M20="","",Translation!M20)</f>
        <v>2</v>
      </c>
      <c r="N20" s="6" t="n">
        <f aca="false">IF(Translation!N20="","",Translation!N20)</f>
        <v>2</v>
      </c>
      <c r="O20" s="6" t="n">
        <f aca="false">IF(Translation!O20="","",Translation!O20)</f>
        <v>2</v>
      </c>
      <c r="P20" s="6" t="n">
        <f aca="false">IF(Translation!P20="","",Translation!P20)</f>
        <v>1</v>
      </c>
      <c r="Q20" s="6" t="n">
        <f aca="false">IF(COUNT(E20:P20)=0,"",SUM(E20:P20))</f>
        <v>19</v>
      </c>
      <c r="R20" s="6" t="n">
        <f aca="false">IF(COUNTIF($E$2:$P$2,"Gate")=0,"",IF(COUNTIFS($E$2:$P$2,"Gate",E20:P20,"&gt;=0")=0,"",SUMIF($E$2:$P$2,"Gate",E20:P20)))</f>
        <v>10</v>
      </c>
      <c r="S20" s="6" t="n">
        <f aca="false">IF(COUNTIF($E$2:$P$2,"Block")=0,"",IF(COUNTIFS($E$2:$P$2,"Block",E20:P20,"&gt;=0")=0,"",SUMIF($E$2:$P$2,"Block",E20:P20)))</f>
        <v>9</v>
      </c>
      <c r="T20" s="6" t="n">
        <f aca="false">IF(COUNTIF($E$3:$P$3,"Model")=0,"",IF(COUNT(E20:P20)=0,"",SUMIF($E$3:$P$3,"Model",E20:P20)))</f>
        <v>8</v>
      </c>
      <c r="U20" s="6" t="n">
        <f aca="false">IF(COUNTIF($E$3:$P$3,"Derivation")=0,"",IF(COUNT(E20:P20)=0,"",SUMIF($E$3:$P$3,"Derivation",E20:P20)))</f>
        <v>4</v>
      </c>
      <c r="V20" s="6" t="n">
        <f aca="false">IF(COUNTIF($E$3:$P$3,"Code")=0,"",IF(COUNT(E20:P20)=0,"",SUMIF($E$3:$P$3,"Code",E20:P20)))</f>
        <v>7</v>
      </c>
      <c r="W20" s="6" t="n">
        <f aca="false">COUNTIF(E20:P20,2)</f>
        <v>7</v>
      </c>
      <c r="X20" s="6" t="n">
        <f aca="false">COUNT(E20:P20)</f>
        <v>12</v>
      </c>
    </row>
    <row r="21" customFormat="false" ht="14.25" hidden="false" customHeight="true" outlineLevel="0" collapsed="false">
      <c r="A21" s="6" t="s">
        <v>139</v>
      </c>
      <c r="B21" s="6" t="n">
        <v>1</v>
      </c>
      <c r="C21" s="6" t="str">
        <f aca="false">IFERROR(INDEX(Participants!$B$2:$B$21,MATCH(A21,Participants!$A$2:$A$21,0)),"")</f>
        <v>Paper condition</v>
      </c>
      <c r="D21" s="6" t="str">
        <f aca="false">IF(C21="Tool condition","Tool",IF(C21="Paper condition","Paper",""))</f>
        <v>Paper</v>
      </c>
      <c r="E21" s="6" t="n">
        <f aca="false">IF(Translation!E21="","",Translation!E21)</f>
        <v>0</v>
      </c>
      <c r="F21" s="6" t="n">
        <f aca="false">IF(Translation!F21="","",Translation!F21)</f>
        <v>1</v>
      </c>
      <c r="G21" s="6" t="n">
        <f aca="false">IF(Translation!G21="","",Translation!G21)</f>
        <v>1</v>
      </c>
      <c r="H21" s="6" t="n">
        <f aca="false">IF(Translation!H21="","",Translation!H21)</f>
        <v>1</v>
      </c>
      <c r="I21" s="6" t="n">
        <f aca="false">IF(Translation!I21="","",Translation!I21)</f>
        <v>0</v>
      </c>
      <c r="J21" s="6" t="n">
        <f aca="false">IF(Translation!J21="","",Translation!J21)</f>
        <v>1</v>
      </c>
      <c r="K21" s="6" t="n">
        <f aca="false">IF(Translation!K21="","",Translation!K21)</f>
        <v>1</v>
      </c>
      <c r="L21" s="6" t="n">
        <f aca="false">IF(Translation!L21="","",Translation!L21)</f>
        <v>2</v>
      </c>
      <c r="M21" s="6" t="n">
        <f aca="false">IF(Translation!M21="","",Translation!M21)</f>
        <v>1</v>
      </c>
      <c r="N21" s="6" t="n">
        <f aca="false">IF(Translation!N21="","",Translation!N21)</f>
        <v>0</v>
      </c>
      <c r="O21" s="6" t="n">
        <f aca="false">IF(Translation!O21="","",Translation!O21)</f>
        <v>1</v>
      </c>
      <c r="P21" s="6" t="n">
        <f aca="false">IF(Translation!P21="","",Translation!P21)</f>
        <v>1</v>
      </c>
      <c r="Q21" s="6" t="n">
        <f aca="false">IF(COUNT(E21:P21)=0,"",SUM(E21:P21))</f>
        <v>10</v>
      </c>
      <c r="R21" s="6" t="n">
        <f aca="false">IF(COUNTIF($E$2:$P$2,"Gate")=0,"",IF(COUNTIFS($E$2:$P$2,"Gate",E21:P21,"&gt;=0")=0,"",SUMIF($E$2:$P$2,"Gate",E21:P21)))</f>
        <v>5</v>
      </c>
      <c r="S21" s="6" t="n">
        <f aca="false">IF(COUNTIF($E$2:$P$2,"Block")=0,"",IF(COUNTIFS($E$2:$P$2,"Block",E21:P21,"&gt;=0")=0,"",SUMIF($E$2:$P$2,"Block",E21:P21)))</f>
        <v>5</v>
      </c>
      <c r="T21" s="6" t="n">
        <f aca="false">IF(COUNTIF($E$3:$P$3,"Model")=0,"",IF(COUNT(E21:P21)=0,"",SUMIF($E$3:$P$3,"Model",E21:P21)))</f>
        <v>3</v>
      </c>
      <c r="U21" s="6" t="n">
        <f aca="false">IF(COUNTIF($E$3:$P$3,"Derivation")=0,"",IF(COUNT(E21:P21)=0,"",SUMIF($E$3:$P$3,"Derivation",E21:P21)))</f>
        <v>3</v>
      </c>
      <c r="V21" s="6" t="n">
        <f aca="false">IF(COUNTIF($E$3:$P$3,"Code")=0,"",IF(COUNT(E21:P21)=0,"",SUMIF($E$3:$P$3,"Code",E21:P21)))</f>
        <v>4</v>
      </c>
      <c r="W21" s="6" t="n">
        <f aca="false">COUNTIF(E21:P21,2)</f>
        <v>1</v>
      </c>
      <c r="X21" s="6" t="n">
        <f aca="false">COUNT(E21:P21)</f>
        <v>12</v>
      </c>
    </row>
    <row r="22" customFormat="false" ht="14.25" hidden="false" customHeight="true" outlineLevel="0" collapsed="false">
      <c r="A22" s="6" t="s">
        <v>140</v>
      </c>
      <c r="B22" s="6" t="n">
        <v>1</v>
      </c>
      <c r="C22" s="6" t="str">
        <f aca="false">IFERROR(INDEX(Participants!$B$2:$B$21,MATCH(A22,Participants!$A$2:$A$21,0)),"")</f>
        <v>Paper condition</v>
      </c>
      <c r="D22" s="6" t="str">
        <f aca="false">IF(C22="Tool condition","Tool",IF(C22="Paper condition","Paper",""))</f>
        <v>Paper</v>
      </c>
      <c r="E22" s="6" t="n">
        <f aca="false">IF(Translation!E22="","",Translation!E22)</f>
        <v>2</v>
      </c>
      <c r="F22" s="6" t="n">
        <f aca="false">IF(Translation!F22="","",Translation!F22)</f>
        <v>2</v>
      </c>
      <c r="G22" s="6" t="n">
        <f aca="false">IF(Translation!G22="","",Translation!G22)</f>
        <v>2</v>
      </c>
      <c r="H22" s="6" t="n">
        <f aca="false">IF(Translation!H22="","",Translation!H22)</f>
        <v>2</v>
      </c>
      <c r="I22" s="6" t="n">
        <f aca="false">IF(Translation!I22="","",Translation!I22)</f>
        <v>2</v>
      </c>
      <c r="J22" s="6" t="n">
        <f aca="false">IF(Translation!J22="","",Translation!J22)</f>
        <v>2</v>
      </c>
      <c r="K22" s="6" t="n">
        <f aca="false">IF(Translation!K22="","",Translation!K22)</f>
        <v>2</v>
      </c>
      <c r="L22" s="6" t="n">
        <f aca="false">IF(Translation!L22="","",Translation!L22)</f>
        <v>2</v>
      </c>
      <c r="M22" s="6" t="n">
        <f aca="false">IF(Translation!M22="","",Translation!M22)</f>
        <v>2</v>
      </c>
      <c r="N22" s="6" t="n">
        <f aca="false">IF(Translation!N22="","",Translation!N22)</f>
        <v>2</v>
      </c>
      <c r="O22" s="6" t="n">
        <f aca="false">IF(Translation!O22="","",Translation!O22)</f>
        <v>2</v>
      </c>
      <c r="P22" s="6" t="n">
        <f aca="false">IF(Translation!P22="","",Translation!P22)</f>
        <v>1</v>
      </c>
      <c r="Q22" s="6" t="n">
        <f aca="false">IF(COUNT(E22:P22)=0,"",SUM(E22:P22))</f>
        <v>23</v>
      </c>
      <c r="R22" s="6" t="n">
        <f aca="false">IF(COUNTIF($E$2:$P$2,"Gate")=0,"",IF(COUNTIFS($E$2:$P$2,"Gate",E22:P22,"&gt;=0")=0,"",SUMIF($E$2:$P$2,"Gate",E22:P22)))</f>
        <v>13</v>
      </c>
      <c r="S22" s="6" t="n">
        <f aca="false">IF(COUNTIF($E$2:$P$2,"Block")=0,"",IF(COUNTIFS($E$2:$P$2,"Block",E22:P22,"&gt;=0")=0,"",SUMIF($E$2:$P$2,"Block",E22:P22)))</f>
        <v>10</v>
      </c>
      <c r="T22" s="6" t="n">
        <f aca="false">IF(COUNTIF($E$3:$P$3,"Model")=0,"",IF(COUNT(E22:P22)=0,"",SUMIF($E$3:$P$3,"Model",E22:P22)))</f>
        <v>8</v>
      </c>
      <c r="U22" s="6" t="n">
        <f aca="false">IF(COUNTIF($E$3:$P$3,"Derivation")=0,"",IF(COUNT(E22:P22)=0,"",SUMIF($E$3:$P$3,"Derivation",E22:P22)))</f>
        <v>6</v>
      </c>
      <c r="V22" s="6" t="n">
        <f aca="false">IF(COUNTIF($E$3:$P$3,"Code")=0,"",IF(COUNT(E22:P22)=0,"",SUMIF($E$3:$P$3,"Code",E22:P22)))</f>
        <v>9</v>
      </c>
      <c r="W22" s="6" t="n">
        <f aca="false">COUNTIF(E22:P22,2)</f>
        <v>11</v>
      </c>
      <c r="X22" s="6" t="n">
        <f aca="false">COUNT(E22:P22)</f>
        <v>12</v>
      </c>
    </row>
    <row r="23" customFormat="false" ht="14.25" hidden="false" customHeight="true" outlineLevel="0" collapsed="false">
      <c r="A23" s="6" t="s">
        <v>141</v>
      </c>
      <c r="B23" s="6" t="n">
        <v>1</v>
      </c>
      <c r="C23" s="6" t="str">
        <f aca="false">IFERROR(INDEX(Participants!$B$2:$B$21,MATCH(A23,Participants!$A$2:$A$21,0)),"")</f>
        <v>Paper condition</v>
      </c>
      <c r="D23" s="6" t="str">
        <f aca="false">IF(C23="Tool condition","Tool",IF(C23="Paper condition","Paper",""))</f>
        <v>Paper</v>
      </c>
      <c r="E23" s="6" t="n">
        <f aca="false">IF(Translation!E23="","",Translation!E23)</f>
        <v>1</v>
      </c>
      <c r="F23" s="6" t="n">
        <f aca="false">IF(Translation!F23="","",Translation!F23)</f>
        <v>1</v>
      </c>
      <c r="G23" s="6" t="n">
        <f aca="false">IF(Translation!G23="","",Translation!G23)</f>
        <v>1</v>
      </c>
      <c r="H23" s="6" t="n">
        <f aca="false">IF(Translation!H23="","",Translation!H23)</f>
        <v>2</v>
      </c>
      <c r="I23" s="6" t="n">
        <f aca="false">IF(Translation!I23="","",Translation!I23)</f>
        <v>1</v>
      </c>
      <c r="J23" s="6" t="n">
        <f aca="false">IF(Translation!J23="","",Translation!J23)</f>
        <v>0</v>
      </c>
      <c r="K23" s="6" t="n">
        <f aca="false">IF(Translation!K23="","",Translation!K23)</f>
        <v>2</v>
      </c>
      <c r="L23" s="6" t="n">
        <f aca="false">IF(Translation!L23="","",Translation!L23)</f>
        <v>1</v>
      </c>
      <c r="M23" s="6" t="n">
        <f aca="false">IF(Translation!M23="","",Translation!M23)</f>
        <v>1</v>
      </c>
      <c r="N23" s="6" t="n">
        <f aca="false">IF(Translation!N23="","",Translation!N23)</f>
        <v>1</v>
      </c>
      <c r="O23" s="6" t="n">
        <f aca="false">IF(Translation!O23="","",Translation!O23)</f>
        <v>0</v>
      </c>
      <c r="P23" s="6" t="n">
        <f aca="false">IF(Translation!P23="","",Translation!P23)</f>
        <v>1</v>
      </c>
      <c r="Q23" s="6" t="n">
        <f aca="false">IF(COUNT(E23:P23)=0,"",SUM(E23:P23))</f>
        <v>12</v>
      </c>
      <c r="R23" s="6" t="n">
        <f aca="false">IF(COUNTIF($E$2:$P$2,"Gate")=0,"",IF(COUNTIFS($E$2:$P$2,"Gate",E23:P23,"&gt;=0")=0,"",SUMIF($E$2:$P$2,"Gate",E23:P23)))</f>
        <v>6</v>
      </c>
      <c r="S23" s="6" t="n">
        <f aca="false">IF(COUNTIF($E$2:$P$2,"Block")=0,"",IF(COUNTIFS($E$2:$P$2,"Block",E23:P23,"&gt;=0")=0,"",SUMIF($E$2:$P$2,"Block",E23:P23)))</f>
        <v>6</v>
      </c>
      <c r="T23" s="6" t="n">
        <f aca="false">IF(COUNTIF($E$3:$P$3,"Model")=0,"",IF(COUNT(E23:P23)=0,"",SUMIF($E$3:$P$3,"Model",E23:P23)))</f>
        <v>6</v>
      </c>
      <c r="U23" s="6" t="n">
        <f aca="false">IF(COUNTIF($E$3:$P$3,"Derivation")=0,"",IF(COUNT(E23:P23)=0,"",SUMIF($E$3:$P$3,"Derivation",E23:P23)))</f>
        <v>2</v>
      </c>
      <c r="V23" s="6" t="n">
        <f aca="false">IF(COUNTIF($E$3:$P$3,"Code")=0,"",IF(COUNT(E23:P23)=0,"",SUMIF($E$3:$P$3,"Code",E23:P23)))</f>
        <v>4</v>
      </c>
      <c r="W23" s="6" t="n">
        <f aca="false">COUNTIF(E23:P23,2)</f>
        <v>2</v>
      </c>
      <c r="X23" s="6" t="n">
        <f aca="false">COUNT(E23:P23)</f>
        <v>12</v>
      </c>
    </row>
    <row r="24" customFormat="false" ht="14.25" hidden="false" customHeight="true" outlineLevel="0" collapsed="false">
      <c r="A24" s="6" t="s">
        <v>142</v>
      </c>
      <c r="B24" s="6" t="n">
        <v>1</v>
      </c>
      <c r="C24" s="6" t="str">
        <f aca="false">IFERROR(INDEX(Participants!$B$2:$B$21,MATCH(A24,Participants!$A$2:$A$21,0)),"")</f>
        <v>Paper condition</v>
      </c>
      <c r="D24" s="6" t="str">
        <f aca="false">IF(C24="Tool condition","Tool",IF(C24="Paper condition","Paper",""))</f>
        <v>Paper</v>
      </c>
      <c r="E24" s="6" t="n">
        <f aca="false">IF(Translation!E24="","",Translation!E24)</f>
        <v>2</v>
      </c>
      <c r="F24" s="6" t="n">
        <f aca="false">IF(Translation!F24="","",Translation!F24)</f>
        <v>2</v>
      </c>
      <c r="G24" s="6" t="n">
        <f aca="false">IF(Translation!G24="","",Translation!G24)</f>
        <v>2</v>
      </c>
      <c r="H24" s="6" t="n">
        <f aca="false">IF(Translation!H24="","",Translation!H24)</f>
        <v>1</v>
      </c>
      <c r="I24" s="6" t="n">
        <f aca="false">IF(Translation!I24="","",Translation!I24)</f>
        <v>2</v>
      </c>
      <c r="J24" s="6" t="n">
        <f aca="false">IF(Translation!J24="","",Translation!J24)</f>
        <v>2</v>
      </c>
      <c r="K24" s="6" t="n">
        <f aca="false">IF(Translation!K24="","",Translation!K24)</f>
        <v>1</v>
      </c>
      <c r="L24" s="6" t="n">
        <f aca="false">IF(Translation!L24="","",Translation!L24)</f>
        <v>2</v>
      </c>
      <c r="M24" s="6" t="n">
        <f aca="false">IF(Translation!M24="","",Translation!M24)</f>
        <v>2</v>
      </c>
      <c r="N24" s="6" t="n">
        <f aca="false">IF(Translation!N24="","",Translation!N24)</f>
        <v>1</v>
      </c>
      <c r="O24" s="6" t="n">
        <f aca="false">IF(Translation!O24="","",Translation!O24)</f>
        <v>2</v>
      </c>
      <c r="P24" s="6" t="n">
        <f aca="false">IF(Translation!P24="","",Translation!P24)</f>
        <v>2</v>
      </c>
      <c r="Q24" s="6" t="n">
        <f aca="false">IF(COUNT(E24:P24)=0,"",SUM(E24:P24))</f>
        <v>21</v>
      </c>
      <c r="R24" s="6" t="n">
        <f aca="false">IF(COUNTIF($E$2:$P$2,"Gate")=0,"",IF(COUNTIFS($E$2:$P$2,"Gate",E24:P24,"&gt;=0")=0,"",SUMIF($E$2:$P$2,"Gate",E24:P24)))</f>
        <v>13</v>
      </c>
      <c r="S24" s="6" t="n">
        <f aca="false">IF(COUNTIF($E$2:$P$2,"Block")=0,"",IF(COUNTIFS($E$2:$P$2,"Block",E24:P24,"&gt;=0")=0,"",SUMIF($E$2:$P$2,"Block",E24:P24)))</f>
        <v>8</v>
      </c>
      <c r="T24" s="6" t="n">
        <f aca="false">IF(COUNTIF($E$3:$P$3,"Model")=0,"",IF(COUNT(E24:P24)=0,"",SUMIF($E$3:$P$3,"Model",E24:P24)))</f>
        <v>6</v>
      </c>
      <c r="U24" s="6" t="n">
        <f aca="false">IF(COUNTIF($E$3:$P$3,"Derivation")=0,"",IF(COUNT(E24:P24)=0,"",SUMIF($E$3:$P$3,"Derivation",E24:P24)))</f>
        <v>6</v>
      </c>
      <c r="V24" s="6" t="n">
        <f aca="false">IF(COUNTIF($E$3:$P$3,"Code")=0,"",IF(COUNT(E24:P24)=0,"",SUMIF($E$3:$P$3,"Code",E24:P24)))</f>
        <v>9</v>
      </c>
      <c r="W24" s="6" t="n">
        <f aca="false">COUNTIF(E24:P24,2)</f>
        <v>9</v>
      </c>
      <c r="X24" s="6" t="n">
        <f aca="false">COUNT(E24:P24)</f>
        <v>12</v>
      </c>
    </row>
    <row r="25" customFormat="false" ht="14.25" hidden="false" customHeight="true" outlineLevel="0" collapsed="false">
      <c r="A25" s="6" t="s">
        <v>121</v>
      </c>
      <c r="B25" s="6" t="n">
        <v>2</v>
      </c>
      <c r="C25" s="6" t="str">
        <f aca="false">IFERROR(INDEX(Participants!$B$2:$B$21,MATCH(A25,Participants!$A$2:$A$21,0)),"")</f>
        <v>Tool condition</v>
      </c>
      <c r="D25" s="6" t="str">
        <f aca="false">IFERROR(INDEX(Participants!$C$2:$C$21,MATCH(A25,Participants!$A$2:$A$21,0)),"")</f>
        <v>Paper</v>
      </c>
      <c r="E25" s="6" t="n">
        <f aca="false">IF(Translation!E25="","",Translation!E25)</f>
        <v>2</v>
      </c>
      <c r="F25" s="6" t="n">
        <f aca="false">IF(Translation!F25="","",Translation!F25)</f>
        <v>2</v>
      </c>
      <c r="G25" s="6" t="n">
        <f aca="false">IF(Translation!G25="","",Translation!G25)</f>
        <v>2</v>
      </c>
      <c r="H25" s="6" t="n">
        <f aca="false">IF(Translation!H25="","",Translation!H25)</f>
        <v>1</v>
      </c>
      <c r="I25" s="6" t="n">
        <f aca="false">IF(Translation!I25="","",Translation!I25)</f>
        <v>2</v>
      </c>
      <c r="J25" s="6" t="n">
        <f aca="false">IF(Translation!J25="","",Translation!J25)</f>
        <v>2</v>
      </c>
      <c r="K25" s="6" t="n">
        <f aca="false">IF(Translation!K25="","",Translation!K25)</f>
        <v>1</v>
      </c>
      <c r="L25" s="6" t="n">
        <f aca="false">IF(Translation!L25="","",Translation!L25)</f>
        <v>2</v>
      </c>
      <c r="M25" s="6" t="n">
        <f aca="false">IF(Translation!M25="","",Translation!M25)</f>
        <v>1</v>
      </c>
      <c r="N25" s="6" t="n">
        <f aca="false">IF(Translation!N25="","",Translation!N25)</f>
        <v>2</v>
      </c>
      <c r="O25" s="6" t="n">
        <f aca="false">IF(Translation!O25="","",Translation!O25)</f>
        <v>1</v>
      </c>
      <c r="P25" s="6" t="n">
        <f aca="false">IF(Translation!P25="","",Translation!P25)</f>
        <v>0</v>
      </c>
      <c r="Q25" s="6" t="n">
        <f aca="false">IF(COUNT(E25:P25)=0,"",SUM(E25:P25))</f>
        <v>18</v>
      </c>
      <c r="R25" s="6" t="n">
        <f aca="false">IF(COUNTIF($E$2:$P$2,"Gate")=0,"",IF(COUNTIFS($E$2:$P$2,"Gate",E25:P25,"&gt;=0")=0,"",SUMIF($E$2:$P$2,"Gate",E25:P25)))</f>
        <v>10</v>
      </c>
      <c r="S25" s="6" t="n">
        <f aca="false">IF(COUNTIF($E$2:$P$2,"Block")=0,"",IF(COUNTIFS($E$2:$P$2,"Block",E25:P25,"&gt;=0")=0,"",SUMIF($E$2:$P$2,"Block",E25:P25)))</f>
        <v>8</v>
      </c>
      <c r="T25" s="6" t="n">
        <f aca="false">IF(COUNTIF($E$3:$P$3,"Model")=0,"",IF(COUNT(E25:P25)=0,"",SUMIF($E$3:$P$3,"Model",E25:P25)))</f>
        <v>6</v>
      </c>
      <c r="U25" s="6" t="n">
        <f aca="false">IF(COUNTIF($E$3:$P$3,"Derivation")=0,"",IF(COUNT(E25:P25)=0,"",SUMIF($E$3:$P$3,"Derivation",E25:P25)))</f>
        <v>5</v>
      </c>
      <c r="V25" s="6" t="n">
        <f aca="false">IF(COUNTIF($E$3:$P$3,"Code")=0,"",IF(COUNT(E25:P25)=0,"",SUMIF($E$3:$P$3,"Code",E25:P25)))</f>
        <v>7</v>
      </c>
      <c r="W25" s="6" t="n">
        <f aca="false">COUNTIF(E25:P25,2)</f>
        <v>7</v>
      </c>
      <c r="X25" s="6" t="n">
        <f aca="false">COUNT(E25:P25)</f>
        <v>12</v>
      </c>
    </row>
    <row r="26" customFormat="false" ht="14.25" hidden="false" customHeight="true" outlineLevel="0" collapsed="false">
      <c r="A26" s="6" t="s">
        <v>124</v>
      </c>
      <c r="B26" s="6" t="n">
        <v>2</v>
      </c>
      <c r="C26" s="6" t="str">
        <f aca="false">IFERROR(INDEX(Participants!$B$2:$B$21,MATCH(A26,Participants!$A$2:$A$21,0)),"")</f>
        <v>Tool condition</v>
      </c>
      <c r="D26" s="6" t="str">
        <f aca="false">IFERROR(INDEX(Participants!$C$2:$C$21,MATCH(A26,Participants!$A$2:$A$21,0)),"")</f>
        <v>Paper</v>
      </c>
      <c r="E26" s="6" t="n">
        <f aca="false">IF(Translation!E26="","",Translation!E26)</f>
        <v>2</v>
      </c>
      <c r="F26" s="6" t="n">
        <f aca="false">IF(Translation!F26="","",Translation!F26)</f>
        <v>1</v>
      </c>
      <c r="G26" s="6" t="n">
        <f aca="false">IF(Translation!G26="","",Translation!G26)</f>
        <v>2</v>
      </c>
      <c r="H26" s="6" t="n">
        <f aca="false">IF(Translation!H26="","",Translation!H26)</f>
        <v>2</v>
      </c>
      <c r="I26" s="6" t="n">
        <f aca="false">IF(Translation!I26="","",Translation!I26)</f>
        <v>1</v>
      </c>
      <c r="J26" s="6" t="n">
        <f aca="false">IF(Translation!J26="","",Translation!J26)</f>
        <v>2</v>
      </c>
      <c r="K26" s="6" t="n">
        <f aca="false">IF(Translation!K26="","",Translation!K26)</f>
        <v>2</v>
      </c>
      <c r="L26" s="6" t="n">
        <f aca="false">IF(Translation!L26="","",Translation!L26)</f>
        <v>1</v>
      </c>
      <c r="M26" s="6" t="n">
        <f aca="false">IF(Translation!M26="","",Translation!M26)</f>
        <v>2</v>
      </c>
      <c r="N26" s="6" t="n">
        <f aca="false">IF(Translation!N26="","",Translation!N26)</f>
        <v>1</v>
      </c>
      <c r="O26" s="6" t="n">
        <f aca="false">IF(Translation!O26="","",Translation!O26)</f>
        <v>2</v>
      </c>
      <c r="P26" s="6" t="n">
        <f aca="false">IF(Translation!P26="","",Translation!P26)</f>
        <v>1</v>
      </c>
      <c r="Q26" s="6" t="n">
        <f aca="false">IF(COUNT(E26:P26)=0,"",SUM(E26:P26))</f>
        <v>19</v>
      </c>
      <c r="R26" s="6" t="n">
        <f aca="false">IF(COUNTIF($E$2:$P$2,"Gate")=0,"",IF(COUNTIFS($E$2:$P$2,"Gate",E26:P26,"&gt;=0")=0,"",SUMIF($E$2:$P$2,"Gate",E26:P26)))</f>
        <v>11</v>
      </c>
      <c r="S26" s="6" t="n">
        <f aca="false">IF(COUNTIF($E$2:$P$2,"Block")=0,"",IF(COUNTIFS($E$2:$P$2,"Block",E26:P26,"&gt;=0")=0,"",SUMIF($E$2:$P$2,"Block",E26:P26)))</f>
        <v>8</v>
      </c>
      <c r="T26" s="6" t="n">
        <f aca="false">IF(COUNTIF($E$3:$P$3,"Model")=0,"",IF(COUNT(E26:P26)=0,"",SUMIF($E$3:$P$3,"Model",E26:P26)))</f>
        <v>8</v>
      </c>
      <c r="U26" s="6" t="n">
        <f aca="false">IF(COUNTIF($E$3:$P$3,"Derivation")=0,"",IF(COUNT(E26:P26)=0,"",SUMIF($E$3:$P$3,"Derivation",E26:P26)))</f>
        <v>4</v>
      </c>
      <c r="V26" s="6" t="n">
        <f aca="false">IF(COUNTIF($E$3:$P$3,"Code")=0,"",IF(COUNT(E26:P26)=0,"",SUMIF($E$3:$P$3,"Code",E26:P26)))</f>
        <v>7</v>
      </c>
      <c r="W26" s="6" t="n">
        <f aca="false">COUNTIF(E26:P26,2)</f>
        <v>7</v>
      </c>
      <c r="X26" s="6" t="n">
        <f aca="false">COUNT(E26:P26)</f>
        <v>12</v>
      </c>
    </row>
    <row r="27" customFormat="false" ht="14.25" hidden="false" customHeight="true" outlineLevel="0" collapsed="false">
      <c r="A27" s="6" t="s">
        <v>125</v>
      </c>
      <c r="B27" s="6" t="n">
        <v>2</v>
      </c>
      <c r="C27" s="6" t="str">
        <f aca="false">IFERROR(INDEX(Participants!$B$2:$B$21,MATCH(A27,Participants!$A$2:$A$21,0)),"")</f>
        <v>Tool condition</v>
      </c>
      <c r="D27" s="6" t="str">
        <f aca="false">IFERROR(INDEX(Participants!$C$2:$C$21,MATCH(A27,Participants!$A$2:$A$21,0)),"")</f>
        <v>Paper</v>
      </c>
      <c r="E27" s="6" t="n">
        <f aca="false">IF(Translation!E27="","",Translation!E27)</f>
        <v>1</v>
      </c>
      <c r="F27" s="6" t="n">
        <f aca="false">IF(Translation!F27="","",Translation!F27)</f>
        <v>2</v>
      </c>
      <c r="G27" s="6" t="n">
        <f aca="false">IF(Translation!G27="","",Translation!G27)</f>
        <v>2</v>
      </c>
      <c r="H27" s="6" t="n">
        <f aca="false">IF(Translation!H27="","",Translation!H27)</f>
        <v>2</v>
      </c>
      <c r="I27" s="6" t="n">
        <f aca="false">IF(Translation!I27="","",Translation!I27)</f>
        <v>2</v>
      </c>
      <c r="J27" s="6" t="n">
        <f aca="false">IF(Translation!J27="","",Translation!J27)</f>
        <v>1</v>
      </c>
      <c r="K27" s="6" t="n">
        <f aca="false">IF(Translation!K27="","",Translation!K27)</f>
        <v>2</v>
      </c>
      <c r="L27" s="6" t="n">
        <f aca="false">IF(Translation!L27="","",Translation!L27)</f>
        <v>1</v>
      </c>
      <c r="M27" s="6" t="n">
        <f aca="false">IF(Translation!M27="","",Translation!M27)</f>
        <v>1</v>
      </c>
      <c r="N27" s="6" t="n">
        <f aca="false">IF(Translation!N27="","",Translation!N27)</f>
        <v>0</v>
      </c>
      <c r="O27" s="6" t="n">
        <f aca="false">IF(Translation!O27="","",Translation!O27)</f>
        <v>2</v>
      </c>
      <c r="P27" s="6" t="n">
        <f aca="false">IF(Translation!P27="","",Translation!P27)</f>
        <v>1</v>
      </c>
      <c r="Q27" s="6" t="n">
        <f aca="false">IF(COUNT(E27:P27)=0,"",SUM(E27:P27))</f>
        <v>17</v>
      </c>
      <c r="R27" s="6" t="n">
        <f aca="false">IF(COUNTIF($E$2:$P$2,"Gate")=0,"",IF(COUNTIFS($E$2:$P$2,"Gate",E27:P27,"&gt;=0")=0,"",SUMIF($E$2:$P$2,"Gate",E27:P27)))</f>
        <v>11</v>
      </c>
      <c r="S27" s="6" t="n">
        <f aca="false">IF(COUNTIF($E$2:$P$2,"Block")=0,"",IF(COUNTIFS($E$2:$P$2,"Block",E27:P27,"&gt;=0")=0,"",SUMIF($E$2:$P$2,"Block",E27:P27)))</f>
        <v>6</v>
      </c>
      <c r="T27" s="6" t="n">
        <f aca="false">IF(COUNTIF($E$3:$P$3,"Model")=0,"",IF(COUNT(E27:P27)=0,"",SUMIF($E$3:$P$3,"Model",E27:P27)))</f>
        <v>7</v>
      </c>
      <c r="U27" s="6" t="n">
        <f aca="false">IF(COUNTIF($E$3:$P$3,"Derivation")=0,"",IF(COUNT(E27:P27)=0,"",SUMIF($E$3:$P$3,"Derivation",E27:P27)))</f>
        <v>5</v>
      </c>
      <c r="V27" s="6" t="n">
        <f aca="false">IF(COUNTIF($E$3:$P$3,"Code")=0,"",IF(COUNT(E27:P27)=0,"",SUMIF($E$3:$P$3,"Code",E27:P27)))</f>
        <v>5</v>
      </c>
      <c r="W27" s="6" t="n">
        <f aca="false">COUNTIF(E27:P27,2)</f>
        <v>6</v>
      </c>
      <c r="X27" s="6" t="n">
        <f aca="false">COUNT(E27:P27)</f>
        <v>12</v>
      </c>
    </row>
    <row r="28" customFormat="false" ht="14.25" hidden="false" customHeight="true" outlineLevel="0" collapsed="false">
      <c r="A28" s="6" t="s">
        <v>126</v>
      </c>
      <c r="B28" s="6" t="n">
        <v>2</v>
      </c>
      <c r="C28" s="6" t="str">
        <f aca="false">IFERROR(INDEX(Participants!$B$2:$B$21,MATCH(A28,Participants!$A$2:$A$21,0)),"")</f>
        <v>Tool condition</v>
      </c>
      <c r="D28" s="6" t="str">
        <f aca="false">IFERROR(INDEX(Participants!$C$2:$C$21,MATCH(A28,Participants!$A$2:$A$21,0)),"")</f>
        <v>Paper</v>
      </c>
      <c r="E28" s="6" t="n">
        <f aca="false">IF(Translation!E28="","",Translation!E28)</f>
        <v>2</v>
      </c>
      <c r="F28" s="6" t="n">
        <f aca="false">IF(Translation!F28="","",Translation!F28)</f>
        <v>2</v>
      </c>
      <c r="G28" s="6" t="n">
        <f aca="false">IF(Translation!G28="","",Translation!G28)</f>
        <v>1</v>
      </c>
      <c r="H28" s="6" t="n">
        <f aca="false">IF(Translation!H28="","",Translation!H28)</f>
        <v>2</v>
      </c>
      <c r="I28" s="6" t="n">
        <f aca="false">IF(Translation!I28="","",Translation!I28)</f>
        <v>1</v>
      </c>
      <c r="J28" s="6" t="n">
        <f aca="false">IF(Translation!J28="","",Translation!J28)</f>
        <v>2</v>
      </c>
      <c r="K28" s="6" t="n">
        <f aca="false">IF(Translation!K28="","",Translation!K28)</f>
        <v>1</v>
      </c>
      <c r="L28" s="6" t="n">
        <f aca="false">IF(Translation!L28="","",Translation!L28)</f>
        <v>2</v>
      </c>
      <c r="M28" s="6" t="n">
        <f aca="false">IF(Translation!M28="","",Translation!M28)</f>
        <v>2</v>
      </c>
      <c r="N28" s="6" t="n">
        <f aca="false">IF(Translation!N28="","",Translation!N28)</f>
        <v>1</v>
      </c>
      <c r="O28" s="6" t="n">
        <f aca="false">IF(Translation!O28="","",Translation!O28)</f>
        <v>0</v>
      </c>
      <c r="P28" s="6" t="n">
        <f aca="false">IF(Translation!P28="","",Translation!P28)</f>
        <v>1</v>
      </c>
      <c r="Q28" s="6" t="n">
        <f aca="false">IF(COUNT(E28:P28)=0,"",SUM(E28:P28))</f>
        <v>17</v>
      </c>
      <c r="R28" s="6" t="n">
        <f aca="false">IF(COUNTIF($E$2:$P$2,"Gate")=0,"",IF(COUNTIFS($E$2:$P$2,"Gate",E28:P28,"&gt;=0")=0,"",SUMIF($E$2:$P$2,"Gate",E28:P28)))</f>
        <v>10</v>
      </c>
      <c r="S28" s="6" t="n">
        <f aca="false">IF(COUNTIF($E$2:$P$2,"Block")=0,"",IF(COUNTIFS($E$2:$P$2,"Block",E28:P28,"&gt;=0")=0,"",SUMIF($E$2:$P$2,"Block",E28:P28)))</f>
        <v>7</v>
      </c>
      <c r="T28" s="6" t="n">
        <f aca="false">IF(COUNTIF($E$3:$P$3,"Model")=0,"",IF(COUNT(E28:P28)=0,"",SUMIF($E$3:$P$3,"Model",E28:P28)))</f>
        <v>6</v>
      </c>
      <c r="U28" s="6" t="n">
        <f aca="false">IF(COUNTIF($E$3:$P$3,"Derivation")=0,"",IF(COUNT(E28:P28)=0,"",SUMIF($E$3:$P$3,"Derivation",E28:P28)))</f>
        <v>3</v>
      </c>
      <c r="V28" s="6" t="n">
        <f aca="false">IF(COUNTIF($E$3:$P$3,"Code")=0,"",IF(COUNT(E28:P28)=0,"",SUMIF($E$3:$P$3,"Code",E28:P28)))</f>
        <v>8</v>
      </c>
      <c r="W28" s="6" t="n">
        <f aca="false">COUNTIF(E28:P28,2)</f>
        <v>6</v>
      </c>
      <c r="X28" s="6" t="n">
        <f aca="false">COUNT(E28:P28)</f>
        <v>12</v>
      </c>
    </row>
    <row r="29" customFormat="false" ht="14.25" hidden="false" customHeight="true" outlineLevel="0" collapsed="false">
      <c r="A29" s="6" t="s">
        <v>127</v>
      </c>
      <c r="B29" s="6" t="n">
        <v>2</v>
      </c>
      <c r="C29" s="6" t="str">
        <f aca="false">IFERROR(INDEX(Participants!$B$2:$B$21,MATCH(A29,Participants!$A$2:$A$21,0)),"")</f>
        <v>Tool condition</v>
      </c>
      <c r="D29" s="6" t="str">
        <f aca="false">IFERROR(INDEX(Participants!$C$2:$C$21,MATCH(A29,Participants!$A$2:$A$21,0)),"")</f>
        <v>Paper</v>
      </c>
      <c r="E29" s="6" t="n">
        <f aca="false">IF(Translation!E29="","",Translation!E29)</f>
        <v>2</v>
      </c>
      <c r="F29" s="6" t="n">
        <f aca="false">IF(Translation!F29="","",Translation!F29)</f>
        <v>1</v>
      </c>
      <c r="G29" s="6" t="n">
        <f aca="false">IF(Translation!G29="","",Translation!G29)</f>
        <v>2</v>
      </c>
      <c r="H29" s="6" t="n">
        <f aca="false">IF(Translation!H29="","",Translation!H29)</f>
        <v>1</v>
      </c>
      <c r="I29" s="6" t="n">
        <f aca="false">IF(Translation!I29="","",Translation!I29)</f>
        <v>2</v>
      </c>
      <c r="J29" s="6" t="n">
        <f aca="false">IF(Translation!J29="","",Translation!J29)</f>
        <v>2</v>
      </c>
      <c r="K29" s="6" t="n">
        <f aca="false">IF(Translation!K29="","",Translation!K29)</f>
        <v>2</v>
      </c>
      <c r="L29" s="6" t="n">
        <f aca="false">IF(Translation!L29="","",Translation!L29)</f>
        <v>1</v>
      </c>
      <c r="M29" s="6" t="n">
        <f aca="false">IF(Translation!M29="","",Translation!M29)</f>
        <v>0</v>
      </c>
      <c r="N29" s="6" t="n">
        <f aca="false">IF(Translation!N29="","",Translation!N29)</f>
        <v>2</v>
      </c>
      <c r="O29" s="6" t="n">
        <f aca="false">IF(Translation!O29="","",Translation!O29)</f>
        <v>1</v>
      </c>
      <c r="P29" s="6" t="n">
        <f aca="false">IF(Translation!P29="","",Translation!P29)</f>
        <v>1</v>
      </c>
      <c r="Q29" s="6" t="n">
        <f aca="false">IF(COUNT(E29:P29)=0,"",SUM(E29:P29))</f>
        <v>17</v>
      </c>
      <c r="R29" s="6" t="n">
        <f aca="false">IF(COUNTIF($E$2:$P$2,"Gate")=0,"",IF(COUNTIFS($E$2:$P$2,"Gate",E29:P29,"&gt;=0")=0,"",SUMIF($E$2:$P$2,"Gate",E29:P29)))</f>
        <v>10</v>
      </c>
      <c r="S29" s="6" t="n">
        <f aca="false">IF(COUNTIF($E$2:$P$2,"Block")=0,"",IF(COUNTIFS($E$2:$P$2,"Block",E29:P29,"&gt;=0")=0,"",SUMIF($E$2:$P$2,"Block",E29:P29)))</f>
        <v>7</v>
      </c>
      <c r="T29" s="6" t="n">
        <f aca="false">IF(COUNTIF($E$3:$P$3,"Model")=0,"",IF(COUNT(E29:P29)=0,"",SUMIF($E$3:$P$3,"Model",E29:P29)))</f>
        <v>7</v>
      </c>
      <c r="U29" s="6" t="n">
        <f aca="false">IF(COUNTIF($E$3:$P$3,"Derivation")=0,"",IF(COUNT(E29:P29)=0,"",SUMIF($E$3:$P$3,"Derivation",E29:P29)))</f>
        <v>4</v>
      </c>
      <c r="V29" s="6" t="n">
        <f aca="false">IF(COUNTIF($E$3:$P$3,"Code")=0,"",IF(COUNT(E29:P29)=0,"",SUMIF($E$3:$P$3,"Code",E29:P29)))</f>
        <v>6</v>
      </c>
      <c r="W29" s="6" t="n">
        <f aca="false">COUNTIF(E29:P29,2)</f>
        <v>6</v>
      </c>
      <c r="X29" s="6" t="n">
        <f aca="false">COUNT(E29:P29)</f>
        <v>12</v>
      </c>
    </row>
    <row r="30" customFormat="false" ht="14.25" hidden="false" customHeight="true" outlineLevel="0" collapsed="false">
      <c r="A30" s="6" t="s">
        <v>128</v>
      </c>
      <c r="B30" s="6" t="n">
        <v>2</v>
      </c>
      <c r="C30" s="6" t="str">
        <f aca="false">IFERROR(INDEX(Participants!$B$2:$B$21,MATCH(A30,Participants!$A$2:$A$21,0)),"")</f>
        <v>Tool condition</v>
      </c>
      <c r="D30" s="6" t="str">
        <f aca="false">IFERROR(INDEX(Participants!$C$2:$C$21,MATCH(A30,Participants!$A$2:$A$21,0)),"")</f>
        <v>Paper</v>
      </c>
      <c r="E30" s="6" t="n">
        <f aca="false">IF(Translation!E30="","",Translation!E30)</f>
        <v>2</v>
      </c>
      <c r="F30" s="6" t="n">
        <f aca="false">IF(Translation!F30="","",Translation!F30)</f>
        <v>2</v>
      </c>
      <c r="G30" s="6" t="n">
        <f aca="false">IF(Translation!G30="","",Translation!G30)</f>
        <v>2</v>
      </c>
      <c r="H30" s="6" t="n">
        <f aca="false">IF(Translation!H30="","",Translation!H30)</f>
        <v>1</v>
      </c>
      <c r="I30" s="6" t="n">
        <f aca="false">IF(Translation!I30="","",Translation!I30)</f>
        <v>2</v>
      </c>
      <c r="J30" s="6" t="n">
        <f aca="false">IF(Translation!J30="","",Translation!J30)</f>
        <v>1</v>
      </c>
      <c r="K30" s="6" t="n">
        <f aca="false">IF(Translation!K30="","",Translation!K30)</f>
        <v>2</v>
      </c>
      <c r="L30" s="6" t="n">
        <f aca="false">IF(Translation!L30="","",Translation!L30)</f>
        <v>2</v>
      </c>
      <c r="M30" s="6" t="n">
        <f aca="false">IF(Translation!M30="","",Translation!M30)</f>
        <v>1</v>
      </c>
      <c r="N30" s="6" t="n">
        <f aca="false">IF(Translation!N30="","",Translation!N30)</f>
        <v>1</v>
      </c>
      <c r="O30" s="6" t="n">
        <f aca="false">IF(Translation!O30="","",Translation!O30)</f>
        <v>2</v>
      </c>
      <c r="P30" s="6" t="n">
        <f aca="false">IF(Translation!P30="","",Translation!P30)</f>
        <v>0</v>
      </c>
      <c r="Q30" s="6" t="n">
        <f aca="false">IF(COUNT(E30:P30)=0,"",SUM(E30:P30))</f>
        <v>18</v>
      </c>
      <c r="R30" s="6" t="n">
        <f aca="false">IF(COUNTIF($E$2:$P$2,"Gate")=0,"",IF(COUNTIFS($E$2:$P$2,"Gate",E30:P30,"&gt;=0")=0,"",SUMIF($E$2:$P$2,"Gate",E30:P30)))</f>
        <v>10</v>
      </c>
      <c r="S30" s="6" t="n">
        <f aca="false">IF(COUNTIF($E$2:$P$2,"Block")=0,"",IF(COUNTIFS($E$2:$P$2,"Block",E30:P30,"&gt;=0")=0,"",SUMIF($E$2:$P$2,"Block",E30:P30)))</f>
        <v>8</v>
      </c>
      <c r="T30" s="6" t="n">
        <f aca="false">IF(COUNTIF($E$3:$P$3,"Model")=0,"",IF(COUNT(E30:P30)=0,"",SUMIF($E$3:$P$3,"Model",E30:P30)))</f>
        <v>7</v>
      </c>
      <c r="U30" s="6" t="n">
        <f aca="false">IF(COUNTIF($E$3:$P$3,"Derivation")=0,"",IF(COUNT(E30:P30)=0,"",SUMIF($E$3:$P$3,"Derivation",E30:P30)))</f>
        <v>6</v>
      </c>
      <c r="V30" s="6" t="n">
        <f aca="false">IF(COUNTIF($E$3:$P$3,"Code")=0,"",IF(COUNT(E30:P30)=0,"",SUMIF($E$3:$P$3,"Code",E30:P30)))</f>
        <v>5</v>
      </c>
      <c r="W30" s="6" t="n">
        <f aca="false">COUNTIF(E30:P30,2)</f>
        <v>7</v>
      </c>
      <c r="X30" s="6" t="n">
        <f aca="false">COUNT(E30:P30)</f>
        <v>12</v>
      </c>
    </row>
    <row r="31" customFormat="false" ht="14.25" hidden="false" customHeight="true" outlineLevel="0" collapsed="false">
      <c r="A31" s="6" t="s">
        <v>129</v>
      </c>
      <c r="B31" s="6" t="n">
        <v>2</v>
      </c>
      <c r="C31" s="6" t="str">
        <f aca="false">IFERROR(INDEX(Participants!$B$2:$B$21,MATCH(A31,Participants!$A$2:$A$21,0)),"")</f>
        <v>Tool condition</v>
      </c>
      <c r="D31" s="6" t="str">
        <f aca="false">IFERROR(INDEX(Participants!$C$2:$C$21,MATCH(A31,Participants!$A$2:$A$21,0)),"")</f>
        <v>Paper</v>
      </c>
      <c r="E31" s="6" t="n">
        <f aca="false">IF(Translation!E31="","",Translation!E31)</f>
        <v>1</v>
      </c>
      <c r="F31" s="6" t="n">
        <f aca="false">IF(Translation!F31="","",Translation!F31)</f>
        <v>2</v>
      </c>
      <c r="G31" s="6" t="n">
        <f aca="false">IF(Translation!G31="","",Translation!G31)</f>
        <v>1</v>
      </c>
      <c r="H31" s="6" t="n">
        <f aca="false">IF(Translation!H31="","",Translation!H31)</f>
        <v>2</v>
      </c>
      <c r="I31" s="6" t="n">
        <f aca="false">IF(Translation!I31="","",Translation!I31)</f>
        <v>2</v>
      </c>
      <c r="J31" s="6" t="n">
        <f aca="false">IF(Translation!J31="","",Translation!J31)</f>
        <v>2</v>
      </c>
      <c r="K31" s="6" t="n">
        <f aca="false">IF(Translation!K31="","",Translation!K31)</f>
        <v>1</v>
      </c>
      <c r="L31" s="6" t="n">
        <f aca="false">IF(Translation!L31="","",Translation!L31)</f>
        <v>2</v>
      </c>
      <c r="M31" s="6" t="n">
        <f aca="false">IF(Translation!M31="","",Translation!M31)</f>
        <v>2</v>
      </c>
      <c r="N31" s="6" t="n">
        <f aca="false">IF(Translation!N31="","",Translation!N31)</f>
        <v>0</v>
      </c>
      <c r="O31" s="6" t="n">
        <f aca="false">IF(Translation!O31="","",Translation!O31)</f>
        <v>1</v>
      </c>
      <c r="P31" s="6" t="n">
        <f aca="false">IF(Translation!P31="","",Translation!P31)</f>
        <v>1</v>
      </c>
      <c r="Q31" s="6" t="n">
        <f aca="false">IF(COUNT(E31:P31)=0,"",SUM(E31:P31))</f>
        <v>17</v>
      </c>
      <c r="R31" s="6" t="n">
        <f aca="false">IF(COUNTIF($E$2:$P$2,"Gate")=0,"",IF(COUNTIFS($E$2:$P$2,"Gate",E31:P31,"&gt;=0")=0,"",SUMIF($E$2:$P$2,"Gate",E31:P31)))</f>
        <v>11</v>
      </c>
      <c r="S31" s="6" t="n">
        <f aca="false">IF(COUNTIF($E$2:$P$2,"Block")=0,"",IF(COUNTIFS($E$2:$P$2,"Block",E31:P31,"&gt;=0")=0,"",SUMIF($E$2:$P$2,"Block",E31:P31)))</f>
        <v>6</v>
      </c>
      <c r="T31" s="6" t="n">
        <f aca="false">IF(COUNTIF($E$3:$P$3,"Model")=0,"",IF(COUNT(E31:P31)=0,"",SUMIF($E$3:$P$3,"Model",E31:P31)))</f>
        <v>5</v>
      </c>
      <c r="U31" s="6" t="n">
        <f aca="false">IF(COUNTIF($E$3:$P$3,"Derivation")=0,"",IF(COUNT(E31:P31)=0,"",SUMIF($E$3:$P$3,"Derivation",E31:P31)))</f>
        <v>5</v>
      </c>
      <c r="V31" s="6" t="n">
        <f aca="false">IF(COUNTIF($E$3:$P$3,"Code")=0,"",IF(COUNT(E31:P31)=0,"",SUMIF($E$3:$P$3,"Code",E31:P31)))</f>
        <v>7</v>
      </c>
      <c r="W31" s="6" t="n">
        <f aca="false">COUNTIF(E31:P31,2)</f>
        <v>6</v>
      </c>
      <c r="X31" s="6" t="n">
        <f aca="false">COUNT(E31:P31)</f>
        <v>12</v>
      </c>
    </row>
    <row r="32" customFormat="false" ht="14.25" hidden="false" customHeight="true" outlineLevel="0" collapsed="false">
      <c r="A32" s="6" t="s">
        <v>130</v>
      </c>
      <c r="B32" s="6" t="n">
        <v>2</v>
      </c>
      <c r="C32" s="6" t="str">
        <f aca="false">IFERROR(INDEX(Participants!$B$2:$B$21,MATCH(A32,Participants!$A$2:$A$21,0)),"")</f>
        <v>Tool condition</v>
      </c>
      <c r="D32" s="6" t="str">
        <f aca="false">IFERROR(INDEX(Participants!$C$2:$C$21,MATCH(A32,Participants!$A$2:$A$21,0)),"")</f>
        <v>Paper</v>
      </c>
      <c r="E32" s="6" t="n">
        <f aca="false">IF(Translation!E32="","",Translation!E32)</f>
        <v>2</v>
      </c>
      <c r="F32" s="6" t="n">
        <f aca="false">IF(Translation!F32="","",Translation!F32)</f>
        <v>2</v>
      </c>
      <c r="G32" s="6" t="n">
        <f aca="false">IF(Translation!G32="","",Translation!G32)</f>
        <v>2</v>
      </c>
      <c r="H32" s="6" t="n">
        <f aca="false">IF(Translation!H32="","",Translation!H32)</f>
        <v>2</v>
      </c>
      <c r="I32" s="6" t="n">
        <f aca="false">IF(Translation!I32="","",Translation!I32)</f>
        <v>1</v>
      </c>
      <c r="J32" s="6" t="n">
        <f aca="false">IF(Translation!J32="","",Translation!J32)</f>
        <v>1</v>
      </c>
      <c r="K32" s="6" t="n">
        <f aca="false">IF(Translation!K32="","",Translation!K32)</f>
        <v>2</v>
      </c>
      <c r="L32" s="6" t="n">
        <f aca="false">IF(Translation!L32="","",Translation!L32)</f>
        <v>1</v>
      </c>
      <c r="M32" s="6" t="n">
        <f aca="false">IF(Translation!M32="","",Translation!M32)</f>
        <v>1</v>
      </c>
      <c r="N32" s="6" t="n">
        <f aca="false">IF(Translation!N32="","",Translation!N32)</f>
        <v>2</v>
      </c>
      <c r="O32" s="6" t="n">
        <f aca="false">IF(Translation!O32="","",Translation!O32)</f>
        <v>0</v>
      </c>
      <c r="P32" s="6" t="n">
        <f aca="false">IF(Translation!P32="","",Translation!P32)</f>
        <v>1</v>
      </c>
      <c r="Q32" s="6" t="n">
        <f aca="false">IF(COUNT(E32:P32)=0,"",SUM(E32:P32))</f>
        <v>17</v>
      </c>
      <c r="R32" s="6" t="n">
        <f aca="false">IF(COUNTIF($E$2:$P$2,"Gate")=0,"",IF(COUNTIFS($E$2:$P$2,"Gate",E32:P32,"&gt;=0")=0,"",SUMIF($E$2:$P$2,"Gate",E32:P32)))</f>
        <v>9</v>
      </c>
      <c r="S32" s="6" t="n">
        <f aca="false">IF(COUNTIF($E$2:$P$2,"Block")=0,"",IF(COUNTIFS($E$2:$P$2,"Block",E32:P32,"&gt;=0")=0,"",SUMIF($E$2:$P$2,"Block",E32:P32)))</f>
        <v>8</v>
      </c>
      <c r="T32" s="6" t="n">
        <f aca="false">IF(COUNTIF($E$3:$P$3,"Model")=0,"",IF(COUNT(E32:P32)=0,"",SUMIF($E$3:$P$3,"Model",E32:P32)))</f>
        <v>8</v>
      </c>
      <c r="U32" s="6" t="n">
        <f aca="false">IF(COUNTIF($E$3:$P$3,"Derivation")=0,"",IF(COUNT(E32:P32)=0,"",SUMIF($E$3:$P$3,"Derivation",E32:P32)))</f>
        <v>2</v>
      </c>
      <c r="V32" s="6" t="n">
        <f aca="false">IF(COUNTIF($E$3:$P$3,"Code")=0,"",IF(COUNT(E32:P32)=0,"",SUMIF($E$3:$P$3,"Code",E32:P32)))</f>
        <v>7</v>
      </c>
      <c r="W32" s="6" t="n">
        <f aca="false">COUNTIF(E32:P32,2)</f>
        <v>6</v>
      </c>
      <c r="X32" s="6" t="n">
        <f aca="false">COUNT(E32:P32)</f>
        <v>12</v>
      </c>
    </row>
    <row r="33" customFormat="false" ht="14.25" hidden="false" customHeight="true" outlineLevel="0" collapsed="false">
      <c r="A33" s="6" t="s">
        <v>131</v>
      </c>
      <c r="B33" s="6" t="n">
        <v>2</v>
      </c>
      <c r="C33" s="6" t="str">
        <f aca="false">IFERROR(INDEX(Participants!$B$2:$B$21,MATCH(A33,Participants!$A$2:$A$21,0)),"")</f>
        <v>Tool condition</v>
      </c>
      <c r="D33" s="6" t="str">
        <f aca="false">IFERROR(INDEX(Participants!$C$2:$C$21,MATCH(A33,Participants!$A$2:$A$21,0)),"")</f>
        <v>Paper</v>
      </c>
      <c r="E33" s="6" t="n">
        <f aca="false">IF(Translation!E33="","",Translation!E33)</f>
        <v>2</v>
      </c>
      <c r="F33" s="6" t="n">
        <f aca="false">IF(Translation!F33="","",Translation!F33)</f>
        <v>1</v>
      </c>
      <c r="G33" s="6" t="n">
        <f aca="false">IF(Translation!G33="","",Translation!G33)</f>
        <v>2</v>
      </c>
      <c r="H33" s="6" t="n">
        <f aca="false">IF(Translation!H33="","",Translation!H33)</f>
        <v>2</v>
      </c>
      <c r="I33" s="6" t="n">
        <f aca="false">IF(Translation!I33="","",Translation!I33)</f>
        <v>2</v>
      </c>
      <c r="J33" s="6" t="n">
        <f aca="false">IF(Translation!J33="","",Translation!J33)</f>
        <v>1</v>
      </c>
      <c r="K33" s="6" t="n">
        <f aca="false">IF(Translation!K33="","",Translation!K33)</f>
        <v>1</v>
      </c>
      <c r="L33" s="6" t="n">
        <f aca="false">IF(Translation!L33="","",Translation!L33)</f>
        <v>2</v>
      </c>
      <c r="M33" s="6" t="n">
        <f aca="false">IF(Translation!M33="","",Translation!M33)</f>
        <v>0</v>
      </c>
      <c r="N33" s="6" t="n">
        <f aca="false">IF(Translation!N33="","",Translation!N33)</f>
        <v>1</v>
      </c>
      <c r="O33" s="6" t="n">
        <f aca="false">IF(Translation!O33="","",Translation!O33)</f>
        <v>2</v>
      </c>
      <c r="P33" s="6" t="n">
        <f aca="false">IF(Translation!P33="","",Translation!P33)</f>
        <v>0</v>
      </c>
      <c r="Q33" s="6" t="n">
        <f aca="false">IF(COUNT(E33:P33)=0,"",SUM(E33:P33))</f>
        <v>16</v>
      </c>
      <c r="R33" s="6" t="n">
        <f aca="false">IF(COUNTIF($E$2:$P$2,"Gate")=0,"",IF(COUNTIFS($E$2:$P$2,"Gate",E33:P33,"&gt;=0")=0,"",SUMIF($E$2:$P$2,"Gate",E33:P33)))</f>
        <v>10</v>
      </c>
      <c r="S33" s="6" t="n">
        <f aca="false">IF(COUNTIF($E$2:$P$2,"Block")=0,"",IF(COUNTIFS($E$2:$P$2,"Block",E33:P33,"&gt;=0")=0,"",SUMIF($E$2:$P$2,"Block",E33:P33)))</f>
        <v>6</v>
      </c>
      <c r="T33" s="6" t="n">
        <f aca="false">IF(COUNTIF($E$3:$P$3,"Model")=0,"",IF(COUNT(E33:P33)=0,"",SUMIF($E$3:$P$3,"Model",E33:P33)))</f>
        <v>7</v>
      </c>
      <c r="U33" s="6" t="n">
        <f aca="false">IF(COUNTIF($E$3:$P$3,"Derivation")=0,"",IF(COUNT(E33:P33)=0,"",SUMIF($E$3:$P$3,"Derivation",E33:P33)))</f>
        <v>6</v>
      </c>
      <c r="V33" s="6" t="n">
        <f aca="false">IF(COUNTIF($E$3:$P$3,"Code")=0,"",IF(COUNT(E33:P33)=0,"",SUMIF($E$3:$P$3,"Code",E33:P33)))</f>
        <v>3</v>
      </c>
      <c r="W33" s="6" t="n">
        <f aca="false">COUNTIF(E33:P33,2)</f>
        <v>6</v>
      </c>
      <c r="X33" s="6" t="n">
        <f aca="false">COUNT(E33:P33)</f>
        <v>12</v>
      </c>
    </row>
    <row r="34" customFormat="false" ht="14.25" hidden="false" customHeight="true" outlineLevel="0" collapsed="false">
      <c r="A34" s="6" t="s">
        <v>26</v>
      </c>
      <c r="B34" s="6" t="n">
        <v>2</v>
      </c>
      <c r="C34" s="6" t="str">
        <f aca="false">IFERROR(INDEX(Participants!$B$2:$B$21,MATCH(A34,Participants!$A$2:$A$21,0)),"")</f>
        <v>Tool condition</v>
      </c>
      <c r="D34" s="6" t="str">
        <f aca="false">IFERROR(INDEX(Participants!$C$2:$C$21,MATCH(A34,Participants!$A$2:$A$21,0)),"")</f>
        <v>Paper</v>
      </c>
      <c r="E34" s="6" t="n">
        <f aca="false">IF(Translation!E34="","",Translation!E34)</f>
        <v>1</v>
      </c>
      <c r="F34" s="6" t="n">
        <f aca="false">IF(Translation!F34="","",Translation!F34)</f>
        <v>2</v>
      </c>
      <c r="G34" s="6" t="n">
        <f aca="false">IF(Translation!G34="","",Translation!G34)</f>
        <v>2</v>
      </c>
      <c r="H34" s="6" t="n">
        <f aca="false">IF(Translation!H34="","",Translation!H34)</f>
        <v>1</v>
      </c>
      <c r="I34" s="6" t="n">
        <f aca="false">IF(Translation!I34="","",Translation!I34)</f>
        <v>2</v>
      </c>
      <c r="J34" s="6" t="n">
        <f aca="false">IF(Translation!J34="","",Translation!J34)</f>
        <v>2</v>
      </c>
      <c r="K34" s="6" t="n">
        <f aca="false">IF(Translation!K34="","",Translation!K34)</f>
        <v>2</v>
      </c>
      <c r="L34" s="6" t="n">
        <f aca="false">IF(Translation!L34="","",Translation!L34)</f>
        <v>1</v>
      </c>
      <c r="M34" s="6" t="n">
        <f aca="false">IF(Translation!M34="","",Translation!M34)</f>
        <v>2</v>
      </c>
      <c r="N34" s="6" t="n">
        <f aca="false">IF(Translation!N34="","",Translation!N34)</f>
        <v>0</v>
      </c>
      <c r="O34" s="6" t="n">
        <f aca="false">IF(Translation!O34="","",Translation!O34)</f>
        <v>1</v>
      </c>
      <c r="P34" s="6" t="n">
        <f aca="false">IF(Translation!P34="","",Translation!P34)</f>
        <v>1</v>
      </c>
      <c r="Q34" s="6" t="n">
        <f aca="false">IF(COUNT(E34:P34)=0,"",SUM(E34:P34))</f>
        <v>17</v>
      </c>
      <c r="R34" s="6" t="n">
        <f aca="false">IF(COUNTIF($E$2:$P$2,"Gate")=0,"",IF(COUNTIFS($E$2:$P$2,"Gate",E34:P34,"&gt;=0")=0,"",SUMIF($E$2:$P$2,"Gate",E34:P34)))</f>
        <v>10</v>
      </c>
      <c r="S34" s="6" t="n">
        <f aca="false">IF(COUNTIF($E$2:$P$2,"Block")=0,"",IF(COUNTIFS($E$2:$P$2,"Block",E34:P34,"&gt;=0")=0,"",SUMIF($E$2:$P$2,"Block",E34:P34)))</f>
        <v>7</v>
      </c>
      <c r="T34" s="6" t="n">
        <f aca="false">IF(COUNTIF($E$3:$P$3,"Model")=0,"",IF(COUNT(E34:P34)=0,"",SUMIF($E$3:$P$3,"Model",E34:P34)))</f>
        <v>6</v>
      </c>
      <c r="U34" s="6" t="n">
        <f aca="false">IF(COUNTIF($E$3:$P$3,"Derivation")=0,"",IF(COUNT(E34:P34)=0,"",SUMIF($E$3:$P$3,"Derivation",E34:P34)))</f>
        <v>4</v>
      </c>
      <c r="V34" s="6" t="n">
        <f aca="false">IF(COUNTIF($E$3:$P$3,"Code")=0,"",IF(COUNT(E34:P34)=0,"",SUMIF($E$3:$P$3,"Code",E34:P34)))</f>
        <v>7</v>
      </c>
      <c r="W34" s="6" t="n">
        <f aca="false">COUNTIF(E34:P34,2)</f>
        <v>6</v>
      </c>
      <c r="X34" s="6" t="n">
        <f aca="false">COUNT(E34:P34)</f>
        <v>12</v>
      </c>
    </row>
    <row r="35" customFormat="false" ht="14.25" hidden="false" customHeight="true" outlineLevel="0" collapsed="false">
      <c r="A35" s="6" t="s">
        <v>132</v>
      </c>
      <c r="B35" s="6" t="n">
        <v>2</v>
      </c>
      <c r="C35" s="6" t="str">
        <f aca="false">IFERROR(INDEX(Participants!$B$2:$B$21,MATCH(A35,Participants!$A$2:$A$21,0)),"")</f>
        <v>Paper condition</v>
      </c>
      <c r="D35" s="6" t="str">
        <f aca="false">IFERROR(INDEX(Participants!$C$2:$C$21,MATCH(A35,Participants!$A$2:$A$21,0)),"")</f>
        <v>Paper</v>
      </c>
      <c r="E35" s="6" t="n">
        <f aca="false">IF(Translation!E35="","",Translation!E35)</f>
        <v>2</v>
      </c>
      <c r="F35" s="6" t="n">
        <f aca="false">IF(Translation!F35="","",Translation!F35)</f>
        <v>1</v>
      </c>
      <c r="G35" s="6" t="n">
        <f aca="false">IF(Translation!G35="","",Translation!G35)</f>
        <v>2</v>
      </c>
      <c r="H35" s="6" t="n">
        <f aca="false">IF(Translation!H35="","",Translation!H35)</f>
        <v>1</v>
      </c>
      <c r="I35" s="6" t="n">
        <f aca="false">IF(Translation!I35="","",Translation!I35)</f>
        <v>1</v>
      </c>
      <c r="J35" s="6" t="n">
        <f aca="false">IF(Translation!J35="","",Translation!J35)</f>
        <v>2</v>
      </c>
      <c r="K35" s="6" t="n">
        <f aca="false">IF(Translation!K35="","",Translation!K35)</f>
        <v>1</v>
      </c>
      <c r="L35" s="6" t="n">
        <f aca="false">IF(Translation!L35="","",Translation!L35)</f>
        <v>1</v>
      </c>
      <c r="M35" s="6" t="n">
        <f aca="false">IF(Translation!M35="","",Translation!M35)</f>
        <v>2</v>
      </c>
      <c r="N35" s="6" t="n">
        <f aca="false">IF(Translation!N35="","",Translation!N35)</f>
        <v>1</v>
      </c>
      <c r="O35" s="6" t="n">
        <f aca="false">IF(Translation!O35="","",Translation!O35)</f>
        <v>1</v>
      </c>
      <c r="P35" s="6" t="n">
        <f aca="false">IF(Translation!P35="","",Translation!P35)</f>
        <v>0</v>
      </c>
      <c r="Q35" s="6" t="n">
        <f aca="false">IF(COUNT(E35:P35)=0,"",SUM(E35:P35))</f>
        <v>15</v>
      </c>
      <c r="R35" s="6" t="n">
        <f aca="false">IF(COUNTIF($E$2:$P$2,"Gate")=0,"",IF(COUNTIFS($E$2:$P$2,"Gate",E35:P35,"&gt;=0")=0,"",SUMIF($E$2:$P$2,"Gate",E35:P35)))</f>
        <v>8</v>
      </c>
      <c r="S35" s="6" t="n">
        <f aca="false">IF(COUNTIF($E$2:$P$2,"Block")=0,"",IF(COUNTIFS($E$2:$P$2,"Block",E35:P35,"&gt;=0")=0,"",SUMIF($E$2:$P$2,"Block",E35:P35)))</f>
        <v>7</v>
      </c>
      <c r="T35" s="6" t="n">
        <f aca="false">IF(COUNTIF($E$3:$P$3,"Model")=0,"",IF(COUNT(E35:P35)=0,"",SUMIF($E$3:$P$3,"Model",E35:P35)))</f>
        <v>6</v>
      </c>
      <c r="U35" s="6" t="n">
        <f aca="false">IF(COUNTIF($E$3:$P$3,"Derivation")=0,"",IF(COUNT(E35:P35)=0,"",SUMIF($E$3:$P$3,"Derivation",E35:P35)))</f>
        <v>3</v>
      </c>
      <c r="V35" s="6" t="n">
        <f aca="false">IF(COUNTIF($E$3:$P$3,"Code")=0,"",IF(COUNT(E35:P35)=0,"",SUMIF($E$3:$P$3,"Code",E35:P35)))</f>
        <v>6</v>
      </c>
      <c r="W35" s="6" t="n">
        <f aca="false">COUNTIF(E35:P35,2)</f>
        <v>4</v>
      </c>
      <c r="X35" s="6" t="n">
        <f aca="false">COUNT(E35:P35)</f>
        <v>12</v>
      </c>
    </row>
    <row r="36" customFormat="false" ht="14.25" hidden="false" customHeight="true" outlineLevel="0" collapsed="false">
      <c r="A36" s="6" t="s">
        <v>134</v>
      </c>
      <c r="B36" s="6" t="n">
        <v>2</v>
      </c>
      <c r="C36" s="6" t="str">
        <f aca="false">IFERROR(INDEX(Participants!$B$2:$B$21,MATCH(A36,Participants!$A$2:$A$21,0)),"")</f>
        <v>Paper condition</v>
      </c>
      <c r="D36" s="6" t="str">
        <f aca="false">IFERROR(INDEX(Participants!$C$2:$C$21,MATCH(A36,Participants!$A$2:$A$21,0)),"")</f>
        <v>Paper</v>
      </c>
      <c r="E36" s="6" t="n">
        <f aca="false">IF(Translation!E36="","",Translation!E36)</f>
        <v>1</v>
      </c>
      <c r="F36" s="6" t="n">
        <f aca="false">IF(Translation!F36="","",Translation!F36)</f>
        <v>2</v>
      </c>
      <c r="G36" s="6" t="n">
        <f aca="false">IF(Translation!G36="","",Translation!G36)</f>
        <v>1</v>
      </c>
      <c r="H36" s="6" t="n">
        <f aca="false">IF(Translation!H36="","",Translation!H36)</f>
        <v>2</v>
      </c>
      <c r="I36" s="6" t="n">
        <f aca="false">IF(Translation!I36="","",Translation!I36)</f>
        <v>2</v>
      </c>
      <c r="J36" s="6" t="n">
        <f aca="false">IF(Translation!J36="","",Translation!J36)</f>
        <v>1</v>
      </c>
      <c r="K36" s="6" t="n">
        <f aca="false">IF(Translation!K36="","",Translation!K36)</f>
        <v>1</v>
      </c>
      <c r="L36" s="6" t="n">
        <f aca="false">IF(Translation!L36="","",Translation!L36)</f>
        <v>2</v>
      </c>
      <c r="M36" s="6" t="n">
        <f aca="false">IF(Translation!M36="","",Translation!M36)</f>
        <v>1</v>
      </c>
      <c r="N36" s="6" t="n">
        <f aca="false">IF(Translation!N36="","",Translation!N36)</f>
        <v>1</v>
      </c>
      <c r="O36" s="6" t="n">
        <f aca="false">IF(Translation!O36="","",Translation!O36)</f>
        <v>0</v>
      </c>
      <c r="P36" s="6" t="n">
        <f aca="false">IF(Translation!P36="","",Translation!P36)</f>
        <v>1</v>
      </c>
      <c r="Q36" s="6" t="n">
        <f aca="false">IF(COUNT(E36:P36)=0,"",SUM(E36:P36))</f>
        <v>15</v>
      </c>
      <c r="R36" s="6" t="n">
        <f aca="false">IF(COUNTIF($E$2:$P$2,"Gate")=0,"",IF(COUNTIFS($E$2:$P$2,"Gate",E36:P36,"&gt;=0")=0,"",SUMIF($E$2:$P$2,"Gate",E36:P36)))</f>
        <v>9</v>
      </c>
      <c r="S36" s="6" t="n">
        <f aca="false">IF(COUNTIF($E$2:$P$2,"Block")=0,"",IF(COUNTIFS($E$2:$P$2,"Block",E36:P36,"&gt;=0")=0,"",SUMIF($E$2:$P$2,"Block",E36:P36)))</f>
        <v>6</v>
      </c>
      <c r="T36" s="6" t="n">
        <f aca="false">IF(COUNTIF($E$3:$P$3,"Model")=0,"",IF(COUNT(E36:P36)=0,"",SUMIF($E$3:$P$3,"Model",E36:P36)))</f>
        <v>5</v>
      </c>
      <c r="U36" s="6" t="n">
        <f aca="false">IF(COUNTIF($E$3:$P$3,"Derivation")=0,"",IF(COUNT(E36:P36)=0,"",SUMIF($E$3:$P$3,"Derivation",E36:P36)))</f>
        <v>4</v>
      </c>
      <c r="V36" s="6" t="n">
        <f aca="false">IF(COUNTIF($E$3:$P$3,"Code")=0,"",IF(COUNT(E36:P36)=0,"",SUMIF($E$3:$P$3,"Code",E36:P36)))</f>
        <v>6</v>
      </c>
      <c r="W36" s="6" t="n">
        <f aca="false">COUNTIF(E36:P36,2)</f>
        <v>4</v>
      </c>
      <c r="X36" s="6" t="n">
        <f aca="false">COUNT(E36:P36)</f>
        <v>12</v>
      </c>
    </row>
    <row r="37" customFormat="false" ht="14.25" hidden="false" customHeight="true" outlineLevel="0" collapsed="false">
      <c r="A37" s="6" t="s">
        <v>135</v>
      </c>
      <c r="B37" s="6" t="n">
        <v>2</v>
      </c>
      <c r="C37" s="6" t="str">
        <f aca="false">IFERROR(INDEX(Participants!$B$2:$B$21,MATCH(A37,Participants!$A$2:$A$21,0)),"")</f>
        <v>Paper condition</v>
      </c>
      <c r="D37" s="6" t="str">
        <f aca="false">IFERROR(INDEX(Participants!$C$2:$C$21,MATCH(A37,Participants!$A$2:$A$21,0)),"")</f>
        <v>Paper</v>
      </c>
      <c r="E37" s="6" t="n">
        <f aca="false">IF(Translation!E37="","",Translation!E37)</f>
        <v>1</v>
      </c>
      <c r="F37" s="6" t="n">
        <f aca="false">IF(Translation!F37="","",Translation!F37)</f>
        <v>1</v>
      </c>
      <c r="G37" s="6" t="n">
        <f aca="false">IF(Translation!G37="","",Translation!G37)</f>
        <v>2</v>
      </c>
      <c r="H37" s="6" t="n">
        <f aca="false">IF(Translation!H37="","",Translation!H37)</f>
        <v>1</v>
      </c>
      <c r="I37" s="6" t="n">
        <f aca="false">IF(Translation!I37="","",Translation!I37)</f>
        <v>0</v>
      </c>
      <c r="J37" s="6" t="n">
        <f aca="false">IF(Translation!J37="","",Translation!J37)</f>
        <v>1</v>
      </c>
      <c r="K37" s="6" t="n">
        <f aca="false">IF(Translation!K37="","",Translation!K37)</f>
        <v>2</v>
      </c>
      <c r="L37" s="6" t="n">
        <f aca="false">IF(Translation!L37="","",Translation!L37)</f>
        <v>1</v>
      </c>
      <c r="M37" s="6" t="n">
        <f aca="false">IF(Translation!M37="","",Translation!M37)</f>
        <v>2</v>
      </c>
      <c r="N37" s="6" t="n">
        <f aca="false">IF(Translation!N37="","",Translation!N37)</f>
        <v>0</v>
      </c>
      <c r="O37" s="6" t="n">
        <f aca="false">IF(Translation!O37="","",Translation!O37)</f>
        <v>1</v>
      </c>
      <c r="P37" s="6" t="n">
        <f aca="false">IF(Translation!P37="","",Translation!P37)</f>
        <v>1</v>
      </c>
      <c r="Q37" s="6" t="n">
        <f aca="false">IF(COUNT(E37:P37)=0,"",SUM(E37:P37))</f>
        <v>13</v>
      </c>
      <c r="R37" s="6" t="n">
        <f aca="false">IF(COUNTIF($E$2:$P$2,"Gate")=0,"",IF(COUNTIFS($E$2:$P$2,"Gate",E37:P37,"&gt;=0")=0,"",SUMIF($E$2:$P$2,"Gate",E37:P37)))</f>
        <v>6</v>
      </c>
      <c r="S37" s="6" t="n">
        <f aca="false">IF(COUNTIF($E$2:$P$2,"Block")=0,"",IF(COUNTIFS($E$2:$P$2,"Block",E37:P37,"&gt;=0")=0,"",SUMIF($E$2:$P$2,"Block",E37:P37)))</f>
        <v>7</v>
      </c>
      <c r="T37" s="6" t="n">
        <f aca="false">IF(COUNTIF($E$3:$P$3,"Model")=0,"",IF(COUNT(E37:P37)=0,"",SUMIF($E$3:$P$3,"Model",E37:P37)))</f>
        <v>6</v>
      </c>
      <c r="U37" s="6" t="n">
        <f aca="false">IF(COUNTIF($E$3:$P$3,"Derivation")=0,"",IF(COUNT(E37:P37)=0,"",SUMIF($E$3:$P$3,"Derivation",E37:P37)))</f>
        <v>2</v>
      </c>
      <c r="V37" s="6" t="n">
        <f aca="false">IF(COUNTIF($E$3:$P$3,"Code")=0,"",IF(COUNT(E37:P37)=0,"",SUMIF($E$3:$P$3,"Code",E37:P37)))</f>
        <v>5</v>
      </c>
      <c r="W37" s="6" t="n">
        <f aca="false">COUNTIF(E37:P37,2)</f>
        <v>3</v>
      </c>
      <c r="X37" s="6" t="n">
        <f aca="false">COUNT(E37:P37)</f>
        <v>12</v>
      </c>
    </row>
    <row r="38" customFormat="false" ht="14.25" hidden="false" customHeight="true" outlineLevel="0" collapsed="false">
      <c r="A38" s="6" t="s">
        <v>136</v>
      </c>
      <c r="B38" s="6" t="n">
        <v>2</v>
      </c>
      <c r="C38" s="6" t="str">
        <f aca="false">IFERROR(INDEX(Participants!$B$2:$B$21,MATCH(A38,Participants!$A$2:$A$21,0)),"")</f>
        <v>Paper condition</v>
      </c>
      <c r="D38" s="6" t="str">
        <f aca="false">IFERROR(INDEX(Participants!$C$2:$C$21,MATCH(A38,Participants!$A$2:$A$21,0)),"")</f>
        <v>Paper</v>
      </c>
      <c r="E38" s="6" t="n">
        <f aca="false">IF(Translation!E38="","",Translation!E38)</f>
        <v>2</v>
      </c>
      <c r="F38" s="6" t="n">
        <f aca="false">IF(Translation!F38="","",Translation!F38)</f>
        <v>2</v>
      </c>
      <c r="G38" s="6" t="n">
        <f aca="false">IF(Translation!G38="","",Translation!G38)</f>
        <v>1</v>
      </c>
      <c r="H38" s="6" t="n">
        <f aca="false">IF(Translation!H38="","",Translation!H38)</f>
        <v>2</v>
      </c>
      <c r="I38" s="6" t="n">
        <f aca="false">IF(Translation!I38="","",Translation!I38)</f>
        <v>1</v>
      </c>
      <c r="J38" s="6" t="n">
        <f aca="false">IF(Translation!J38="","",Translation!J38)</f>
        <v>2</v>
      </c>
      <c r="K38" s="6" t="n">
        <f aca="false">IF(Translation!K38="","",Translation!K38)</f>
        <v>1</v>
      </c>
      <c r="L38" s="6" t="n">
        <f aca="false">IF(Translation!L38="","",Translation!L38)</f>
        <v>1</v>
      </c>
      <c r="M38" s="6" t="n">
        <f aca="false">IF(Translation!M38="","",Translation!M38)</f>
        <v>1</v>
      </c>
      <c r="N38" s="6" t="n">
        <f aca="false">IF(Translation!N38="","",Translation!N38)</f>
        <v>2</v>
      </c>
      <c r="O38" s="6" t="n">
        <f aca="false">IF(Translation!O38="","",Translation!O38)</f>
        <v>1</v>
      </c>
      <c r="P38" s="6" t="n">
        <f aca="false">IF(Translation!P38="","",Translation!P38)</f>
        <v>0</v>
      </c>
      <c r="Q38" s="6" t="n">
        <f aca="false">IF(COUNT(E38:P38)=0,"",SUM(E38:P38))</f>
        <v>16</v>
      </c>
      <c r="R38" s="6" t="n">
        <f aca="false">IF(COUNTIF($E$2:$P$2,"Gate")=0,"",IF(COUNTIFS($E$2:$P$2,"Gate",E38:P38,"&gt;=0")=0,"",SUMIF($E$2:$P$2,"Gate",E38:P38)))</f>
        <v>10</v>
      </c>
      <c r="S38" s="6" t="n">
        <f aca="false">IF(COUNTIF($E$2:$P$2,"Block")=0,"",IF(COUNTIFS($E$2:$P$2,"Block",E38:P38,"&gt;=0")=0,"",SUMIF($E$2:$P$2,"Block",E38:P38)))</f>
        <v>6</v>
      </c>
      <c r="T38" s="6" t="n">
        <f aca="false">IF(COUNTIF($E$3:$P$3,"Model")=0,"",IF(COUNT(E38:P38)=0,"",SUMIF($E$3:$P$3,"Model",E38:P38)))</f>
        <v>6</v>
      </c>
      <c r="U38" s="6" t="n">
        <f aca="false">IF(COUNTIF($E$3:$P$3,"Derivation")=0,"",IF(COUNT(E38:P38)=0,"",SUMIF($E$3:$P$3,"Derivation",E38:P38)))</f>
        <v>3</v>
      </c>
      <c r="V38" s="6" t="n">
        <f aca="false">IF(COUNTIF($E$3:$P$3,"Code")=0,"",IF(COUNT(E38:P38)=0,"",SUMIF($E$3:$P$3,"Code",E38:P38)))</f>
        <v>7</v>
      </c>
      <c r="W38" s="6" t="n">
        <f aca="false">COUNTIF(E38:P38,2)</f>
        <v>5</v>
      </c>
      <c r="X38" s="6" t="n">
        <f aca="false">COUNT(E38:P38)</f>
        <v>12</v>
      </c>
    </row>
    <row r="39" customFormat="false" ht="14.25" hidden="false" customHeight="true" outlineLevel="0" collapsed="false">
      <c r="A39" s="6" t="s">
        <v>137</v>
      </c>
      <c r="B39" s="6" t="n">
        <v>2</v>
      </c>
      <c r="C39" s="6" t="str">
        <f aca="false">IFERROR(INDEX(Participants!$B$2:$B$21,MATCH(A39,Participants!$A$2:$A$21,0)),"")</f>
        <v>Paper condition</v>
      </c>
      <c r="D39" s="6" t="str">
        <f aca="false">IFERROR(INDEX(Participants!$C$2:$C$21,MATCH(A39,Participants!$A$2:$A$21,0)),"")</f>
        <v>Paper</v>
      </c>
      <c r="E39" s="6" t="n">
        <f aca="false">IF(Translation!E39="","",Translation!E39)</f>
        <v>1</v>
      </c>
      <c r="F39" s="6" t="n">
        <f aca="false">IF(Translation!F39="","",Translation!F39)</f>
        <v>0</v>
      </c>
      <c r="G39" s="6" t="n">
        <f aca="false">IF(Translation!G39="","",Translation!G39)</f>
        <v>2</v>
      </c>
      <c r="H39" s="6" t="n">
        <f aca="false">IF(Translation!H39="","",Translation!H39)</f>
        <v>1</v>
      </c>
      <c r="I39" s="6" t="n">
        <f aca="false">IF(Translation!I39="","",Translation!I39)</f>
        <v>1</v>
      </c>
      <c r="J39" s="6" t="n">
        <f aca="false">IF(Translation!J39="","",Translation!J39)</f>
        <v>2</v>
      </c>
      <c r="K39" s="6" t="n">
        <f aca="false">IF(Translation!K39="","",Translation!K39)</f>
        <v>1</v>
      </c>
      <c r="L39" s="6" t="n">
        <f aca="false">IF(Translation!L39="","",Translation!L39)</f>
        <v>2</v>
      </c>
      <c r="M39" s="6" t="n">
        <f aca="false">IF(Translation!M39="","",Translation!M39)</f>
        <v>2</v>
      </c>
      <c r="N39" s="6" t="n">
        <f aca="false">IF(Translation!N39="","",Translation!N39)</f>
        <v>1</v>
      </c>
      <c r="O39" s="6" t="n">
        <f aca="false">IF(Translation!O39="","",Translation!O39)</f>
        <v>0</v>
      </c>
      <c r="P39" s="6" t="n">
        <f aca="false">IF(Translation!P39="","",Translation!P39)</f>
        <v>1</v>
      </c>
      <c r="Q39" s="6" t="n">
        <f aca="false">IF(COUNT(E39:P39)=0,"",SUM(E39:P39))</f>
        <v>14</v>
      </c>
      <c r="R39" s="6" t="n">
        <f aca="false">IF(COUNTIF($E$2:$P$2,"Gate")=0,"",IF(COUNTIFS($E$2:$P$2,"Gate",E39:P39,"&gt;=0")=0,"",SUMIF($E$2:$P$2,"Gate",E39:P39)))</f>
        <v>6</v>
      </c>
      <c r="S39" s="6" t="n">
        <f aca="false">IF(COUNTIF($E$2:$P$2,"Block")=0,"",IF(COUNTIFS($E$2:$P$2,"Block",E39:P39,"&gt;=0")=0,"",SUMIF($E$2:$P$2,"Block",E39:P39)))</f>
        <v>8</v>
      </c>
      <c r="T39" s="6" t="n">
        <f aca="false">IF(COUNTIF($E$3:$P$3,"Model")=0,"",IF(COUNT(E39:P39)=0,"",SUMIF($E$3:$P$3,"Model",E39:P39)))</f>
        <v>5</v>
      </c>
      <c r="U39" s="6" t="n">
        <f aca="false">IF(COUNTIF($E$3:$P$3,"Derivation")=0,"",IF(COUNT(E39:P39)=0,"",SUMIF($E$3:$P$3,"Derivation",E39:P39)))</f>
        <v>3</v>
      </c>
      <c r="V39" s="6" t="n">
        <f aca="false">IF(COUNTIF($E$3:$P$3,"Code")=0,"",IF(COUNT(E39:P39)=0,"",SUMIF($E$3:$P$3,"Code",E39:P39)))</f>
        <v>6</v>
      </c>
      <c r="W39" s="6" t="n">
        <f aca="false">COUNTIF(E39:P39,2)</f>
        <v>4</v>
      </c>
      <c r="X39" s="6" t="n">
        <f aca="false">COUNT(E39:P39)</f>
        <v>12</v>
      </c>
    </row>
    <row r="40" customFormat="false" ht="14.25" hidden="false" customHeight="true" outlineLevel="0" collapsed="false">
      <c r="A40" s="6" t="s">
        <v>138</v>
      </c>
      <c r="B40" s="6" t="n">
        <v>2</v>
      </c>
      <c r="C40" s="6" t="str">
        <f aca="false">IFERROR(INDEX(Participants!$B$2:$B$21,MATCH(A40,Participants!$A$2:$A$21,0)),"")</f>
        <v>Paper condition</v>
      </c>
      <c r="D40" s="6" t="str">
        <f aca="false">IFERROR(INDEX(Participants!$C$2:$C$21,MATCH(A40,Participants!$A$2:$A$21,0)),"")</f>
        <v>Paper</v>
      </c>
      <c r="E40" s="6" t="n">
        <f aca="false">IF(Translation!E40="","",Translation!E40)</f>
        <v>2</v>
      </c>
      <c r="F40" s="6" t="n">
        <f aca="false">IF(Translation!F40="","",Translation!F40)</f>
        <v>1</v>
      </c>
      <c r="G40" s="6" t="n">
        <f aca="false">IF(Translation!G40="","",Translation!G40)</f>
        <v>2</v>
      </c>
      <c r="H40" s="6" t="n">
        <f aca="false">IF(Translation!H40="","",Translation!H40)</f>
        <v>2</v>
      </c>
      <c r="I40" s="6" t="n">
        <f aca="false">IF(Translation!I40="","",Translation!I40)</f>
        <v>1</v>
      </c>
      <c r="J40" s="6" t="n">
        <f aca="false">IF(Translation!J40="","",Translation!J40)</f>
        <v>1</v>
      </c>
      <c r="K40" s="6" t="n">
        <f aca="false">IF(Translation!K40="","",Translation!K40)</f>
        <v>2</v>
      </c>
      <c r="L40" s="6" t="n">
        <f aca="false">IF(Translation!L40="","",Translation!L40)</f>
        <v>1</v>
      </c>
      <c r="M40" s="6" t="n">
        <f aca="false">IF(Translation!M40="","",Translation!M40)</f>
        <v>1</v>
      </c>
      <c r="N40" s="6" t="n">
        <f aca="false">IF(Translation!N40="","",Translation!N40)</f>
        <v>2</v>
      </c>
      <c r="O40" s="6" t="n">
        <f aca="false">IF(Translation!O40="","",Translation!O40)</f>
        <v>1</v>
      </c>
      <c r="P40" s="6" t="n">
        <f aca="false">IF(Translation!P40="","",Translation!P40)</f>
        <v>0</v>
      </c>
      <c r="Q40" s="6" t="n">
        <f aca="false">IF(COUNT(E40:P40)=0,"",SUM(E40:P40))</f>
        <v>16</v>
      </c>
      <c r="R40" s="6" t="n">
        <f aca="false">IF(COUNTIF($E$2:$P$2,"Gate")=0,"",IF(COUNTIFS($E$2:$P$2,"Gate",E40:P40,"&gt;=0")=0,"",SUMIF($E$2:$P$2,"Gate",E40:P40)))</f>
        <v>8</v>
      </c>
      <c r="S40" s="6" t="n">
        <f aca="false">IF(COUNTIF($E$2:$P$2,"Block")=0,"",IF(COUNTIFS($E$2:$P$2,"Block",E40:P40,"&gt;=0")=0,"",SUMIF($E$2:$P$2,"Block",E40:P40)))</f>
        <v>8</v>
      </c>
      <c r="T40" s="6" t="n">
        <f aca="false">IF(COUNTIF($E$3:$P$3,"Model")=0,"",IF(COUNT(E40:P40)=0,"",SUMIF($E$3:$P$3,"Model",E40:P40)))</f>
        <v>8</v>
      </c>
      <c r="U40" s="6" t="n">
        <f aca="false">IF(COUNTIF($E$3:$P$3,"Derivation")=0,"",IF(COUNT(E40:P40)=0,"",SUMIF($E$3:$P$3,"Derivation",E40:P40)))</f>
        <v>3</v>
      </c>
      <c r="V40" s="6" t="n">
        <f aca="false">IF(COUNTIF($E$3:$P$3,"Code")=0,"",IF(COUNT(E40:P40)=0,"",SUMIF($E$3:$P$3,"Code",E40:P40)))</f>
        <v>5</v>
      </c>
      <c r="W40" s="6" t="n">
        <f aca="false">COUNTIF(E40:P40,2)</f>
        <v>5</v>
      </c>
      <c r="X40" s="6" t="n">
        <f aca="false">COUNT(E40:P40)</f>
        <v>12</v>
      </c>
    </row>
    <row r="41" customFormat="false" ht="14.25" hidden="false" customHeight="true" outlineLevel="0" collapsed="false">
      <c r="A41" s="6" t="s">
        <v>139</v>
      </c>
      <c r="B41" s="6" t="n">
        <v>2</v>
      </c>
      <c r="C41" s="6" t="str">
        <f aca="false">IFERROR(INDEX(Participants!$B$2:$B$21,MATCH(A41,Participants!$A$2:$A$21,0)),"")</f>
        <v>Paper condition</v>
      </c>
      <c r="D41" s="6" t="str">
        <f aca="false">IFERROR(INDEX(Participants!$C$2:$C$21,MATCH(A41,Participants!$A$2:$A$21,0)),"")</f>
        <v>Paper</v>
      </c>
      <c r="E41" s="6" t="n">
        <f aca="false">IF(Translation!E41="","",Translation!E41)</f>
        <v>1</v>
      </c>
      <c r="F41" s="6" t="n">
        <f aca="false">IF(Translation!F41="","",Translation!F41)</f>
        <v>1</v>
      </c>
      <c r="G41" s="6" t="n">
        <f aca="false">IF(Translation!G41="","",Translation!G41)</f>
        <v>1</v>
      </c>
      <c r="H41" s="6" t="n">
        <f aca="false">IF(Translation!H41="","",Translation!H41)</f>
        <v>1</v>
      </c>
      <c r="I41" s="6" t="n">
        <f aca="false">IF(Translation!I41="","",Translation!I41)</f>
        <v>1</v>
      </c>
      <c r="J41" s="6" t="n">
        <f aca="false">IF(Translation!J41="","",Translation!J41)</f>
        <v>1</v>
      </c>
      <c r="K41" s="6" t="n">
        <f aca="false">IF(Translation!K41="","",Translation!K41)</f>
        <v>1</v>
      </c>
      <c r="L41" s="6" t="n">
        <f aca="false">IF(Translation!L41="","",Translation!L41)</f>
        <v>2</v>
      </c>
      <c r="M41" s="6" t="n">
        <f aca="false">IF(Translation!M41="","",Translation!M41)</f>
        <v>1</v>
      </c>
      <c r="N41" s="6" t="n">
        <f aca="false">IF(Translation!N41="","",Translation!N41)</f>
        <v>0</v>
      </c>
      <c r="O41" s="6" t="n">
        <f aca="false">IF(Translation!O41="","",Translation!O41)</f>
        <v>1</v>
      </c>
      <c r="P41" s="6" t="n">
        <f aca="false">IF(Translation!P41="","",Translation!P41)</f>
        <v>1</v>
      </c>
      <c r="Q41" s="6" t="n">
        <f aca="false">IF(COUNT(E41:P41)=0,"",SUM(E41:P41))</f>
        <v>12</v>
      </c>
      <c r="R41" s="6" t="n">
        <f aca="false">IF(COUNTIF($E$2:$P$2,"Gate")=0,"",IF(COUNTIFS($E$2:$P$2,"Gate",E41:P41,"&gt;=0")=0,"",SUMIF($E$2:$P$2,"Gate",E41:P41)))</f>
        <v>7</v>
      </c>
      <c r="S41" s="6" t="n">
        <f aca="false">IF(COUNTIF($E$2:$P$2,"Block")=0,"",IF(COUNTIFS($E$2:$P$2,"Block",E41:P41,"&gt;=0")=0,"",SUMIF($E$2:$P$2,"Block",E41:P41)))</f>
        <v>5</v>
      </c>
      <c r="T41" s="6" t="n">
        <f aca="false">IF(COUNTIF($E$3:$P$3,"Model")=0,"",IF(COUNT(E41:P41)=0,"",SUMIF($E$3:$P$3,"Model",E41:P41)))</f>
        <v>4</v>
      </c>
      <c r="U41" s="6" t="n">
        <f aca="false">IF(COUNTIF($E$3:$P$3,"Derivation")=0,"",IF(COUNT(E41:P41)=0,"",SUMIF($E$3:$P$3,"Derivation",E41:P41)))</f>
        <v>4</v>
      </c>
      <c r="V41" s="6" t="n">
        <f aca="false">IF(COUNTIF($E$3:$P$3,"Code")=0,"",IF(COUNT(E41:P41)=0,"",SUMIF($E$3:$P$3,"Code",E41:P41)))</f>
        <v>4</v>
      </c>
      <c r="W41" s="6" t="n">
        <f aca="false">COUNTIF(E41:P41,2)</f>
        <v>1</v>
      </c>
      <c r="X41" s="6" t="n">
        <f aca="false">COUNT(E41:P41)</f>
        <v>12</v>
      </c>
    </row>
    <row r="42" customFormat="false" ht="14.25" hidden="false" customHeight="true" outlineLevel="0" collapsed="false">
      <c r="A42" s="6" t="s">
        <v>140</v>
      </c>
      <c r="B42" s="6" t="n">
        <v>2</v>
      </c>
      <c r="C42" s="6" t="str">
        <f aca="false">IFERROR(INDEX(Participants!$B$2:$B$21,MATCH(A42,Participants!$A$2:$A$21,0)),"")</f>
        <v>Paper condition</v>
      </c>
      <c r="D42" s="6" t="str">
        <f aca="false">IFERROR(INDEX(Participants!$C$2:$C$21,MATCH(A42,Participants!$A$2:$A$21,0)),"")</f>
        <v>Paper</v>
      </c>
      <c r="E42" s="6" t="n">
        <f aca="false">IF(Translation!E42="","",Translation!E42)</f>
        <v>2</v>
      </c>
      <c r="F42" s="6" t="n">
        <f aca="false">IF(Translation!F42="","",Translation!F42)</f>
        <v>2</v>
      </c>
      <c r="G42" s="6" t="n">
        <f aca="false">IF(Translation!G42="","",Translation!G42)</f>
        <v>2</v>
      </c>
      <c r="H42" s="6" t="n">
        <f aca="false">IF(Translation!H42="","",Translation!H42)</f>
        <v>1</v>
      </c>
      <c r="I42" s="6" t="n">
        <f aca="false">IF(Translation!I42="","",Translation!I42)</f>
        <v>2</v>
      </c>
      <c r="J42" s="6" t="n">
        <f aca="false">IF(Translation!J42="","",Translation!J42)</f>
        <v>2</v>
      </c>
      <c r="K42" s="6" t="n">
        <f aca="false">IF(Translation!K42="","",Translation!K42)</f>
        <v>1</v>
      </c>
      <c r="L42" s="6" t="n">
        <f aca="false">IF(Translation!L42="","",Translation!L42)</f>
        <v>2</v>
      </c>
      <c r="M42" s="6" t="n">
        <f aca="false">IF(Translation!M42="","",Translation!M42)</f>
        <v>1</v>
      </c>
      <c r="N42" s="6" t="n">
        <f aca="false">IF(Translation!N42="","",Translation!N42)</f>
        <v>2</v>
      </c>
      <c r="O42" s="6" t="n">
        <f aca="false">IF(Translation!O42="","",Translation!O42)</f>
        <v>1</v>
      </c>
      <c r="P42" s="6" t="n">
        <f aca="false">IF(Translation!P42="","",Translation!P42)</f>
        <v>0</v>
      </c>
      <c r="Q42" s="6" t="n">
        <f aca="false">IF(COUNT(E42:P42)=0,"",SUM(E42:P42))</f>
        <v>18</v>
      </c>
      <c r="R42" s="6" t="n">
        <f aca="false">IF(COUNTIF($E$2:$P$2,"Gate")=0,"",IF(COUNTIFS($E$2:$P$2,"Gate",E42:P42,"&gt;=0")=0,"",SUMIF($E$2:$P$2,"Gate",E42:P42)))</f>
        <v>10</v>
      </c>
      <c r="S42" s="6" t="n">
        <f aca="false">IF(COUNTIF($E$2:$P$2,"Block")=0,"",IF(COUNTIFS($E$2:$P$2,"Block",E42:P42,"&gt;=0")=0,"",SUMIF($E$2:$P$2,"Block",E42:P42)))</f>
        <v>8</v>
      </c>
      <c r="T42" s="6" t="n">
        <f aca="false">IF(COUNTIF($E$3:$P$3,"Model")=0,"",IF(COUNT(E42:P42)=0,"",SUMIF($E$3:$P$3,"Model",E42:P42)))</f>
        <v>6</v>
      </c>
      <c r="U42" s="6" t="n">
        <f aca="false">IF(COUNTIF($E$3:$P$3,"Derivation")=0,"",IF(COUNT(E42:P42)=0,"",SUMIF($E$3:$P$3,"Derivation",E42:P42)))</f>
        <v>5</v>
      </c>
      <c r="V42" s="6" t="n">
        <f aca="false">IF(COUNTIF($E$3:$P$3,"Code")=0,"",IF(COUNT(E42:P42)=0,"",SUMIF($E$3:$P$3,"Code",E42:P42)))</f>
        <v>7</v>
      </c>
      <c r="W42" s="6" t="n">
        <f aca="false">COUNTIF(E42:P42,2)</f>
        <v>7</v>
      </c>
      <c r="X42" s="6" t="n">
        <f aca="false">COUNT(E42:P42)</f>
        <v>12</v>
      </c>
    </row>
    <row r="43" customFormat="false" ht="14.25" hidden="false" customHeight="true" outlineLevel="0" collapsed="false">
      <c r="A43" s="6" t="s">
        <v>141</v>
      </c>
      <c r="B43" s="6" t="n">
        <v>2</v>
      </c>
      <c r="C43" s="6" t="str">
        <f aca="false">IFERROR(INDEX(Participants!$B$2:$B$21,MATCH(A43,Participants!$A$2:$A$21,0)),"")</f>
        <v>Paper condition</v>
      </c>
      <c r="D43" s="6" t="str">
        <f aca="false">IFERROR(INDEX(Participants!$C$2:$C$21,MATCH(A43,Participants!$A$2:$A$21,0)),"")</f>
        <v>Paper</v>
      </c>
      <c r="E43" s="6" t="n">
        <f aca="false">IF(Translation!E43="","",Translation!E43)</f>
        <v>1</v>
      </c>
      <c r="F43" s="6" t="n">
        <f aca="false">IF(Translation!F43="","",Translation!F43)</f>
        <v>1</v>
      </c>
      <c r="G43" s="6" t="n">
        <f aca="false">IF(Translation!G43="","",Translation!G43)</f>
        <v>1</v>
      </c>
      <c r="H43" s="6" t="n">
        <f aca="false">IF(Translation!H43="","",Translation!H43)</f>
        <v>2</v>
      </c>
      <c r="I43" s="6" t="n">
        <f aca="false">IF(Translation!I43="","",Translation!I43)</f>
        <v>1</v>
      </c>
      <c r="J43" s="6" t="n">
        <f aca="false">IF(Translation!J43="","",Translation!J43)</f>
        <v>1</v>
      </c>
      <c r="K43" s="6" t="n">
        <f aca="false">IF(Translation!K43="","",Translation!K43)</f>
        <v>2</v>
      </c>
      <c r="L43" s="6" t="n">
        <f aca="false">IF(Translation!L43="","",Translation!L43)</f>
        <v>1</v>
      </c>
      <c r="M43" s="6" t="n">
        <f aca="false">IF(Translation!M43="","",Translation!M43)</f>
        <v>0</v>
      </c>
      <c r="N43" s="6" t="n">
        <f aca="false">IF(Translation!N43="","",Translation!N43)</f>
        <v>1</v>
      </c>
      <c r="O43" s="6" t="n">
        <f aca="false">IF(Translation!O43="","",Translation!O43)</f>
        <v>1</v>
      </c>
      <c r="P43" s="6" t="n">
        <f aca="false">IF(Translation!P43="","",Translation!P43)</f>
        <v>0</v>
      </c>
      <c r="Q43" s="6" t="n">
        <f aca="false">IF(COUNT(E43:P43)=0,"",SUM(E43:P43))</f>
        <v>12</v>
      </c>
      <c r="R43" s="6" t="n">
        <f aca="false">IF(COUNTIF($E$2:$P$2,"Gate")=0,"",IF(COUNTIFS($E$2:$P$2,"Gate",E43:P43,"&gt;=0")=0,"",SUMIF($E$2:$P$2,"Gate",E43:P43)))</f>
        <v>7</v>
      </c>
      <c r="S43" s="6" t="n">
        <f aca="false">IF(COUNTIF($E$2:$P$2,"Block")=0,"",IF(COUNTIFS($E$2:$P$2,"Block",E43:P43,"&gt;=0")=0,"",SUMIF($E$2:$P$2,"Block",E43:P43)))</f>
        <v>5</v>
      </c>
      <c r="T43" s="6" t="n">
        <f aca="false">IF(COUNTIF($E$3:$P$3,"Model")=0,"",IF(COUNT(E43:P43)=0,"",SUMIF($E$3:$P$3,"Model",E43:P43)))</f>
        <v>6</v>
      </c>
      <c r="U43" s="6" t="n">
        <f aca="false">IF(COUNTIF($E$3:$P$3,"Derivation")=0,"",IF(COUNT(E43:P43)=0,"",SUMIF($E$3:$P$3,"Derivation",E43:P43)))</f>
        <v>3</v>
      </c>
      <c r="V43" s="6" t="n">
        <f aca="false">IF(COUNTIF($E$3:$P$3,"Code")=0,"",IF(COUNT(E43:P43)=0,"",SUMIF($E$3:$P$3,"Code",E43:P43)))</f>
        <v>3</v>
      </c>
      <c r="W43" s="6" t="n">
        <f aca="false">COUNTIF(E43:P43,2)</f>
        <v>2</v>
      </c>
      <c r="X43" s="6" t="n">
        <f aca="false">COUNT(E43:P43)</f>
        <v>12</v>
      </c>
    </row>
    <row r="44" customFormat="false" ht="14.25" hidden="false" customHeight="true" outlineLevel="0" collapsed="false">
      <c r="A44" s="6" t="s">
        <v>142</v>
      </c>
      <c r="B44" s="6" t="n">
        <v>2</v>
      </c>
      <c r="C44" s="6" t="str">
        <f aca="false">IFERROR(INDEX(Participants!$B$2:$B$21,MATCH(A44,Participants!$A$2:$A$21,0)),"")</f>
        <v>Paper condition</v>
      </c>
      <c r="D44" s="6" t="str">
        <f aca="false">IFERROR(INDEX(Participants!$C$2:$C$21,MATCH(A44,Participants!$A$2:$A$21,0)),"")</f>
        <v>Paper</v>
      </c>
      <c r="E44" s="6" t="n">
        <f aca="false">IF(Translation!E44="","",Translation!E44)</f>
        <v>2</v>
      </c>
      <c r="F44" s="6" t="n">
        <f aca="false">IF(Translation!F44="","",Translation!F44)</f>
        <v>2</v>
      </c>
      <c r="G44" s="6" t="n">
        <f aca="false">IF(Translation!G44="","",Translation!G44)</f>
        <v>2</v>
      </c>
      <c r="H44" s="6" t="n">
        <f aca="false">IF(Translation!H44="","",Translation!H44)</f>
        <v>1</v>
      </c>
      <c r="I44" s="6" t="n">
        <f aca="false">IF(Translation!I44="","",Translation!I44)</f>
        <v>2</v>
      </c>
      <c r="J44" s="6" t="n">
        <f aca="false">IF(Translation!J44="","",Translation!J44)</f>
        <v>2</v>
      </c>
      <c r="K44" s="6" t="n">
        <f aca="false">IF(Translation!K44="","",Translation!K44)</f>
        <v>1</v>
      </c>
      <c r="L44" s="6" t="n">
        <f aca="false">IF(Translation!L44="","",Translation!L44)</f>
        <v>2</v>
      </c>
      <c r="M44" s="6" t="n">
        <f aca="false">IF(Translation!M44="","",Translation!M44)</f>
        <v>2</v>
      </c>
      <c r="N44" s="6" t="n">
        <f aca="false">IF(Translation!N44="","",Translation!N44)</f>
        <v>1</v>
      </c>
      <c r="O44" s="6" t="n">
        <f aca="false">IF(Translation!O44="","",Translation!O44)</f>
        <v>0</v>
      </c>
      <c r="P44" s="6" t="n">
        <f aca="false">IF(Translation!P44="","",Translation!P44)</f>
        <v>1</v>
      </c>
      <c r="Q44" s="6" t="n">
        <f aca="false">IF(COUNT(E44:P44)=0,"",SUM(E44:P44))</f>
        <v>18</v>
      </c>
      <c r="R44" s="6" t="n">
        <f aca="false">IF(COUNTIF($E$2:$P$2,"Gate")=0,"",IF(COUNTIFS($E$2:$P$2,"Gate",E44:P44,"&gt;=0")=0,"",SUMIF($E$2:$P$2,"Gate",E44:P44)))</f>
        <v>10</v>
      </c>
      <c r="S44" s="6" t="n">
        <f aca="false">IF(COUNTIF($E$2:$P$2,"Block")=0,"",IF(COUNTIFS($E$2:$P$2,"Block",E44:P44,"&gt;=0")=0,"",SUMIF($E$2:$P$2,"Block",E44:P44)))</f>
        <v>8</v>
      </c>
      <c r="T44" s="6" t="n">
        <f aca="false">IF(COUNTIF($E$3:$P$3,"Model")=0,"",IF(COUNT(E44:P44)=0,"",SUMIF($E$3:$P$3,"Model",E44:P44)))</f>
        <v>6</v>
      </c>
      <c r="U44" s="6" t="n">
        <f aca="false">IF(COUNTIF($E$3:$P$3,"Derivation")=0,"",IF(COUNT(E44:P44)=0,"",SUMIF($E$3:$P$3,"Derivation",E44:P44)))</f>
        <v>4</v>
      </c>
      <c r="V44" s="6" t="n">
        <f aca="false">IF(COUNTIF($E$3:$P$3,"Code")=0,"",IF(COUNT(E44:P44)=0,"",SUMIF($E$3:$P$3,"Code",E44:P44)))</f>
        <v>8</v>
      </c>
      <c r="W44" s="6" t="n">
        <f aca="false">COUNTIF(E44:P44,2)</f>
        <v>7</v>
      </c>
      <c r="X44" s="6" t="n">
        <f aca="false">COUNT(E44:P44)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S47" activeCellId="0" sqref="S4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16" min="5" style="1" width="6"/>
    <col collapsed="false" customWidth="true" hidden="false" outlineLevel="0" max="18" min="17" style="1" width="10"/>
  </cols>
  <sheetData>
    <row r="1" customFormat="false" ht="17.25" hidden="false" customHeight="true" outlineLevel="0" collapsed="false">
      <c r="A1" s="2" t="s">
        <v>153</v>
      </c>
    </row>
    <row r="2" customFormat="false" ht="14.25" hidden="false" customHeight="true" outlineLevel="0" collapsed="false">
      <c r="D2" s="18" t="s">
        <v>154</v>
      </c>
      <c r="E2" s="19" t="str">
        <f aca="false">IFERROR(INDEX(Tasks!$E$2:$E$13,MATCH(E$4,Tasks!$A$2:$A$13,0))&amp;"","")</f>
        <v>Gate</v>
      </c>
      <c r="F2" s="19" t="str">
        <f aca="false">IFERROR(INDEX(Tasks!$E$2:$E$13,MATCH(F$4,Tasks!$A$2:$A$13,0))&amp;"","")</f>
        <v>Gate</v>
      </c>
      <c r="G2" s="19" t="str">
        <f aca="false">IFERROR(INDEX(Tasks!$E$2:$E$13,MATCH(G$4,Tasks!$A$2:$A$13,0))&amp;"","")</f>
        <v>Block</v>
      </c>
      <c r="H2" s="19" t="str">
        <f aca="false">IFERROR(INDEX(Tasks!$E$2:$E$13,MATCH(H$4,Tasks!$A$2:$A$13,0))&amp;"","")</f>
        <v>Gate</v>
      </c>
      <c r="I2" s="19" t="str">
        <f aca="false">IFERROR(INDEX(Tasks!$E$2:$E$13,MATCH(I$4,Tasks!$A$2:$A$13,0))&amp;"","")</f>
        <v>Gate</v>
      </c>
      <c r="J2" s="19" t="str">
        <f aca="false">IFERROR(INDEX(Tasks!$E$2:$E$13,MATCH(J$4,Tasks!$A$2:$A$13,0))&amp;"","")</f>
        <v>Gate</v>
      </c>
      <c r="K2" s="19" t="str">
        <f aca="false">IFERROR(INDEX(Tasks!$E$2:$E$13,MATCH(K$4,Tasks!$A$2:$A$13,0))&amp;"","")</f>
        <v>Block</v>
      </c>
      <c r="L2" s="19" t="str">
        <f aca="false">IFERROR(INDEX(Tasks!$E$2:$E$13,MATCH(L$4,Tasks!$A$2:$A$13,0))&amp;"","")</f>
        <v>Block</v>
      </c>
      <c r="M2" s="19" t="str">
        <f aca="false">IFERROR(INDEX(Tasks!$E$2:$E$13,MATCH(M$4,Tasks!$A$2:$A$13,0))&amp;"","")</f>
        <v>Block</v>
      </c>
      <c r="N2" s="19" t="str">
        <f aca="false">IFERROR(INDEX(Tasks!$E$2:$E$13,MATCH(N$4,Tasks!$A$2:$A$13,0))&amp;"","")</f>
        <v>Block</v>
      </c>
      <c r="O2" s="19" t="str">
        <f aca="false">IFERROR(INDEX(Tasks!$E$2:$E$13,MATCH(O$4,Tasks!$A$2:$A$13,0))&amp;"","")</f>
        <v>Gate</v>
      </c>
      <c r="P2" s="19" t="str">
        <f aca="false">IFERROR(INDEX(Tasks!$E$2:$E$13,MATCH(P$4,Tasks!$A$2:$A$13,0))&amp;"","")</f>
        <v>Gate</v>
      </c>
    </row>
    <row r="3" customFormat="false" ht="14.25" hidden="false" customHeight="true" outlineLevel="0" collapsed="false">
      <c r="D3" s="18" t="s">
        <v>155</v>
      </c>
      <c r="E3" s="19" t="str">
        <f aca="false">IFERROR(INDEX(Tasks!$D$2:$D$13,MATCH(E$4,Tasks!$A$2:$A$13,0))&amp;"","")</f>
        <v>Model</v>
      </c>
      <c r="F3" s="19" t="str">
        <f aca="false">IFERROR(INDEX(Tasks!$D$2:$D$13,MATCH(F$4,Tasks!$A$2:$A$13,0))&amp;"","")</f>
        <v>Code</v>
      </c>
      <c r="G3" s="19" t="str">
        <f aca="false">IFERROR(INDEX(Tasks!$D$2:$D$13,MATCH(G$4,Tasks!$A$2:$A$13,0))&amp;"","")</f>
        <v>Model</v>
      </c>
      <c r="H3" s="19" t="str">
        <f aca="false">IFERROR(INDEX(Tasks!$D$2:$D$13,MATCH(H$4,Tasks!$A$2:$A$13,0))&amp;"","")</f>
        <v>Model</v>
      </c>
      <c r="I3" s="19" t="str">
        <f aca="false">IFERROR(INDEX(Tasks!$D$2:$D$13,MATCH(I$4,Tasks!$A$2:$A$13,0))&amp;"","")</f>
        <v>Derivation</v>
      </c>
      <c r="J3" s="19" t="str">
        <f aca="false">IFERROR(INDEX(Tasks!$D$2:$D$13,MATCH(J$4,Tasks!$A$2:$A$13,0))&amp;"","")</f>
        <v>Code</v>
      </c>
      <c r="K3" s="19" t="str">
        <f aca="false">IFERROR(INDEX(Tasks!$D$2:$D$13,MATCH(K$4,Tasks!$A$2:$A$13,0))&amp;"","")</f>
        <v>Model</v>
      </c>
      <c r="L3" s="19" t="str">
        <f aca="false">IFERROR(INDEX(Tasks!$D$2:$D$13,MATCH(L$4,Tasks!$A$2:$A$13,0))&amp;"","")</f>
        <v>Derivation</v>
      </c>
      <c r="M3" s="19" t="str">
        <f aca="false">IFERROR(INDEX(Tasks!$D$2:$D$13,MATCH(M$4,Tasks!$A$2:$A$13,0))&amp;"","")</f>
        <v>Code</v>
      </c>
      <c r="N3" s="19" t="str">
        <f aca="false">IFERROR(INDEX(Tasks!$D$2:$D$13,MATCH(N$4,Tasks!$A$2:$A$13,0))&amp;"","")</f>
        <v>Code</v>
      </c>
      <c r="O3" s="19" t="str">
        <f aca="false">IFERROR(INDEX(Tasks!$D$2:$D$13,MATCH(O$4,Tasks!$A$2:$A$13,0))&amp;"","")</f>
        <v>Derivation</v>
      </c>
      <c r="P3" s="19" t="str">
        <f aca="false">IFERROR(INDEX(Tasks!$D$2:$D$13,MATCH(P$4,Tasks!$A$2:$A$13,0))&amp;"","")</f>
        <v>Code</v>
      </c>
    </row>
    <row r="4" customFormat="false" ht="14.25" hidden="false" customHeight="true" outlineLevel="0" collapsed="false">
      <c r="A4" s="5" t="s">
        <v>72</v>
      </c>
      <c r="B4" s="5" t="s">
        <v>144</v>
      </c>
      <c r="C4" s="5" t="s">
        <v>116</v>
      </c>
      <c r="D4" s="5" t="s">
        <v>145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150</v>
      </c>
      <c r="R4" s="5" t="s">
        <v>156</v>
      </c>
    </row>
    <row r="5" customFormat="false" ht="14.25" hidden="false" customHeight="true" outlineLevel="0" collapsed="false">
      <c r="A5" s="6" t="s">
        <v>121</v>
      </c>
      <c r="B5" s="6" t="n">
        <v>1</v>
      </c>
      <c r="C5" s="6" t="str">
        <f aca="false">IFERROR(INDEX(Participants!$B$2:$B$21,MATCH(A5,Participants!$A$2:$A$21,0)),"")</f>
        <v>Tool condition</v>
      </c>
      <c r="D5" s="6" t="str">
        <f aca="false">IF(C5="Tool condition","Tool",IF(C5="Paper condition","Paper",""))</f>
        <v>Tool</v>
      </c>
      <c r="E5" s="6" t="n">
        <f aca="false">IF(COUNTIFS(Tasks!$A$2:$A$13,E$4,Tasks!$F$2:$F$13,"Yes")=0,"",IF(Reasoning!E5="","",Reasoning!E5))</f>
        <v>1</v>
      </c>
      <c r="F5" s="6" t="n">
        <f aca="false">IF(COUNTIFS(Tasks!$A$2:$A$13,F$4,Tasks!$F$2:$F$13,"Yes")=0,"",IF(Reasoning!F5="","",Reasoning!F5))</f>
        <v>1</v>
      </c>
      <c r="G5" s="6" t="str">
        <f aca="false">IF(COUNTIFS(Tasks!$A$2:$A$13,G$4,Tasks!$F$2:$F$13,"Yes")=0,"",IF(Reasoning!G5="","",Reasoning!G5))</f>
        <v/>
      </c>
      <c r="H5" s="6" t="str">
        <f aca="false">IF(COUNTIFS(Tasks!$A$2:$A$13,H$4,Tasks!$F$2:$F$13,"Yes")=0,"",IF(Reasoning!H5="","",Reasoning!H5))</f>
        <v/>
      </c>
      <c r="I5" s="6" t="n">
        <f aca="false">IF(COUNTIFS(Tasks!$A$2:$A$13,I$4,Tasks!$F$2:$F$13,"Yes")=0,"",IF(Reasoning!I5="","",Reasoning!I5))</f>
        <v>1</v>
      </c>
      <c r="J5" s="6" t="n">
        <f aca="false">IF(COUNTIFS(Tasks!$A$2:$A$13,J$4,Tasks!$F$2:$F$13,"Yes")=0,"",IF(Reasoning!J5="","",Reasoning!J5))</f>
        <v>1</v>
      </c>
      <c r="K5" s="6" t="str">
        <f aca="false">IF(COUNTIFS(Tasks!$A$2:$A$13,K$4,Tasks!$F$2:$F$13,"Yes")=0,"",IF(Reasoning!K5="","",Reasoning!K5))</f>
        <v/>
      </c>
      <c r="L5" s="6" t="str">
        <f aca="false">IF(COUNTIFS(Tasks!$A$2:$A$13,L$4,Tasks!$F$2:$F$13,"Yes")=0,"",IF(Reasoning!L5="","",Reasoning!L5))</f>
        <v/>
      </c>
      <c r="M5" s="6" t="str">
        <f aca="false">IF(COUNTIFS(Tasks!$A$2:$A$13,M$4,Tasks!$F$2:$F$13,"Yes")=0,"",IF(Reasoning!M5="","",Reasoning!M5))</f>
        <v/>
      </c>
      <c r="N5" s="6" t="n">
        <f aca="false">IF(COUNTIFS(Tasks!$A$2:$A$13,N$4,Tasks!$F$2:$F$13,"Yes")=0,"",IF(Reasoning!N5="","",Reasoning!N5))</f>
        <v>1</v>
      </c>
      <c r="O5" s="6" t="n">
        <f aca="false">IF(COUNTIFS(Tasks!$A$2:$A$13,O$4,Tasks!$F$2:$F$13,"Yes")=0,"",IF(Reasoning!O5="","",Reasoning!O5))</f>
        <v>1</v>
      </c>
      <c r="P5" s="6" t="n">
        <f aca="false">IF(COUNTIFS(Tasks!$A$2:$A$13,P$4,Tasks!$F$2:$F$13,"Yes")=0,"",IF(Reasoning!P5="","",Reasoning!P5))</f>
        <v>1</v>
      </c>
      <c r="Q5" s="6" t="n">
        <f aca="false">IF(COUNT(E5:P5)=0,"",SUM(E5:P5))</f>
        <v>7</v>
      </c>
      <c r="R5" s="6" t="n">
        <f aca="false">IF(AND(Scores!Q5="",Q5=""),"",N(Scores!Q5)+N(Q5))</f>
        <v>31</v>
      </c>
    </row>
    <row r="6" customFormat="false" ht="14.25" hidden="false" customHeight="true" outlineLevel="0" collapsed="false">
      <c r="A6" s="6" t="s">
        <v>124</v>
      </c>
      <c r="B6" s="6" t="n">
        <v>1</v>
      </c>
      <c r="C6" s="6" t="str">
        <f aca="false">IFERROR(INDEX(Participants!$B$2:$B$21,MATCH(A6,Participants!$A$2:$A$21,0)),"")</f>
        <v>Tool condition</v>
      </c>
      <c r="D6" s="6" t="str">
        <f aca="false">IF(C6="Tool condition","Tool",IF(C6="Paper condition","Paper",""))</f>
        <v>Tool</v>
      </c>
      <c r="E6" s="6" t="n">
        <f aca="false">IF(COUNTIFS(Tasks!$A$2:$A$13,E$4,Tasks!$F$2:$F$13,"Yes")=0,"",IF(Reasoning!E6="","",Reasoning!E6))</f>
        <v>1</v>
      </c>
      <c r="F6" s="6" t="n">
        <f aca="false">IF(COUNTIFS(Tasks!$A$2:$A$13,F$4,Tasks!$F$2:$F$13,"Yes")=0,"",IF(Reasoning!F6="","",Reasoning!F6))</f>
        <v>1</v>
      </c>
      <c r="G6" s="6" t="str">
        <f aca="false">IF(COUNTIFS(Tasks!$A$2:$A$13,G$4,Tasks!$F$2:$F$13,"Yes")=0,"",IF(Reasoning!G6="","",Reasoning!G6))</f>
        <v/>
      </c>
      <c r="H6" s="6" t="str">
        <f aca="false">IF(COUNTIFS(Tasks!$A$2:$A$13,H$4,Tasks!$F$2:$F$13,"Yes")=0,"",IF(Reasoning!H6="","",Reasoning!H6))</f>
        <v/>
      </c>
      <c r="I6" s="6" t="n">
        <f aca="false">IF(COUNTIFS(Tasks!$A$2:$A$13,I$4,Tasks!$F$2:$F$13,"Yes")=0,"",IF(Reasoning!I6="","",Reasoning!I6))</f>
        <v>1</v>
      </c>
      <c r="J6" s="6" t="n">
        <f aca="false">IF(COUNTIFS(Tasks!$A$2:$A$13,J$4,Tasks!$F$2:$F$13,"Yes")=0,"",IF(Reasoning!J6="","",Reasoning!J6))</f>
        <v>1</v>
      </c>
      <c r="K6" s="6" t="str">
        <f aca="false">IF(COUNTIFS(Tasks!$A$2:$A$13,K$4,Tasks!$F$2:$F$13,"Yes")=0,"",IF(Reasoning!K6="","",Reasoning!K6))</f>
        <v/>
      </c>
      <c r="L6" s="6" t="str">
        <f aca="false">IF(COUNTIFS(Tasks!$A$2:$A$13,L$4,Tasks!$F$2:$F$13,"Yes")=0,"",IF(Reasoning!L6="","",Reasoning!L6))</f>
        <v/>
      </c>
      <c r="M6" s="6" t="str">
        <f aca="false">IF(COUNTIFS(Tasks!$A$2:$A$13,M$4,Tasks!$F$2:$F$13,"Yes")=0,"",IF(Reasoning!M6="","",Reasoning!M6))</f>
        <v/>
      </c>
      <c r="N6" s="6" t="n">
        <f aca="false">IF(COUNTIFS(Tasks!$A$2:$A$13,N$4,Tasks!$F$2:$F$13,"Yes")=0,"",IF(Reasoning!N6="","",Reasoning!N6))</f>
        <v>1</v>
      </c>
      <c r="O6" s="6" t="n">
        <f aca="false">IF(COUNTIFS(Tasks!$A$2:$A$13,O$4,Tasks!$F$2:$F$13,"Yes")=0,"",IF(Reasoning!O6="","",Reasoning!O6))</f>
        <v>1</v>
      </c>
      <c r="P6" s="6" t="n">
        <f aca="false">IF(COUNTIFS(Tasks!$A$2:$A$13,P$4,Tasks!$F$2:$F$13,"Yes")=0,"",IF(Reasoning!P6="","",Reasoning!P6))</f>
        <v>0</v>
      </c>
      <c r="Q6" s="6" t="n">
        <f aca="false">IF(COUNT(E6:P6)=0,"",SUM(E6:P6))</f>
        <v>6</v>
      </c>
      <c r="R6" s="6" t="n">
        <f aca="false">IF(AND(Scores!Q6="",Q6=""),"",N(Scores!Q6)+N(Q6))</f>
        <v>30</v>
      </c>
    </row>
    <row r="7" customFormat="false" ht="14.25" hidden="false" customHeight="true" outlineLevel="0" collapsed="false">
      <c r="A7" s="6" t="s">
        <v>125</v>
      </c>
      <c r="B7" s="6" t="n">
        <v>1</v>
      </c>
      <c r="C7" s="6" t="str">
        <f aca="false">IFERROR(INDEX(Participants!$B$2:$B$21,MATCH(A7,Participants!$A$2:$A$21,0)),"")</f>
        <v>Tool condition</v>
      </c>
      <c r="D7" s="6" t="str">
        <f aca="false">IF(C7="Tool condition","Tool",IF(C7="Paper condition","Paper",""))</f>
        <v>Tool</v>
      </c>
      <c r="E7" s="6" t="n">
        <f aca="false">IF(COUNTIFS(Tasks!$A$2:$A$13,E$4,Tasks!$F$2:$F$13,"Yes")=0,"",IF(Reasoning!E7="","",Reasoning!E7))</f>
        <v>1</v>
      </c>
      <c r="F7" s="6" t="n">
        <f aca="false">IF(COUNTIFS(Tasks!$A$2:$A$13,F$4,Tasks!$F$2:$F$13,"Yes")=0,"",IF(Reasoning!F7="","",Reasoning!F7))</f>
        <v>1</v>
      </c>
      <c r="G7" s="6" t="str">
        <f aca="false">IF(COUNTIFS(Tasks!$A$2:$A$13,G$4,Tasks!$F$2:$F$13,"Yes")=0,"",IF(Reasoning!G7="","",Reasoning!G7))</f>
        <v/>
      </c>
      <c r="H7" s="6" t="str">
        <f aca="false">IF(COUNTIFS(Tasks!$A$2:$A$13,H$4,Tasks!$F$2:$F$13,"Yes")=0,"",IF(Reasoning!H7="","",Reasoning!H7))</f>
        <v/>
      </c>
      <c r="I7" s="6" t="n">
        <f aca="false">IF(COUNTIFS(Tasks!$A$2:$A$13,I$4,Tasks!$F$2:$F$13,"Yes")=0,"",IF(Reasoning!I7="","",Reasoning!I7))</f>
        <v>0</v>
      </c>
      <c r="J7" s="6" t="n">
        <f aca="false">IF(COUNTIFS(Tasks!$A$2:$A$13,J$4,Tasks!$F$2:$F$13,"Yes")=0,"",IF(Reasoning!J7="","",Reasoning!J7))</f>
        <v>1</v>
      </c>
      <c r="K7" s="6" t="str">
        <f aca="false">IF(COUNTIFS(Tasks!$A$2:$A$13,K$4,Tasks!$F$2:$F$13,"Yes")=0,"",IF(Reasoning!K7="","",Reasoning!K7))</f>
        <v/>
      </c>
      <c r="L7" s="6" t="str">
        <f aca="false">IF(COUNTIFS(Tasks!$A$2:$A$13,L$4,Tasks!$F$2:$F$13,"Yes")=0,"",IF(Reasoning!L7="","",Reasoning!L7))</f>
        <v/>
      </c>
      <c r="M7" s="6" t="str">
        <f aca="false">IF(COUNTIFS(Tasks!$A$2:$A$13,M$4,Tasks!$F$2:$F$13,"Yes")=0,"",IF(Reasoning!M7="","",Reasoning!M7))</f>
        <v/>
      </c>
      <c r="N7" s="6" t="n">
        <f aca="false">IF(COUNTIFS(Tasks!$A$2:$A$13,N$4,Tasks!$F$2:$F$13,"Yes")=0,"",IF(Reasoning!N7="","",Reasoning!N7))</f>
        <v>1</v>
      </c>
      <c r="O7" s="6" t="n">
        <f aca="false">IF(COUNTIFS(Tasks!$A$2:$A$13,O$4,Tasks!$F$2:$F$13,"Yes")=0,"",IF(Reasoning!O7="","",Reasoning!O7))</f>
        <v>1</v>
      </c>
      <c r="P7" s="6" t="n">
        <f aca="false">IF(COUNTIFS(Tasks!$A$2:$A$13,P$4,Tasks!$F$2:$F$13,"Yes")=0,"",IF(Reasoning!P7="","",Reasoning!P7))</f>
        <v>1</v>
      </c>
      <c r="Q7" s="6" t="n">
        <f aca="false">IF(COUNT(E7:P7)=0,"",SUM(E7:P7))</f>
        <v>6</v>
      </c>
      <c r="R7" s="6" t="n">
        <f aca="false">IF(AND(Scores!Q7="",Q7=""),"",N(Scores!Q7)+N(Q7))</f>
        <v>30</v>
      </c>
    </row>
    <row r="8" customFormat="false" ht="14.25" hidden="false" customHeight="true" outlineLevel="0" collapsed="false">
      <c r="A8" s="6" t="s">
        <v>126</v>
      </c>
      <c r="B8" s="6" t="n">
        <v>1</v>
      </c>
      <c r="C8" s="6" t="str">
        <f aca="false">IFERROR(INDEX(Participants!$B$2:$B$21,MATCH(A8,Participants!$A$2:$A$21,0)),"")</f>
        <v>Tool condition</v>
      </c>
      <c r="D8" s="6" t="str">
        <f aca="false">IF(C8="Tool condition","Tool",IF(C8="Paper condition","Paper",""))</f>
        <v>Tool</v>
      </c>
      <c r="E8" s="6" t="n">
        <f aca="false">IF(COUNTIFS(Tasks!$A$2:$A$13,E$4,Tasks!$F$2:$F$13,"Yes")=0,"",IF(Reasoning!E8="","",Reasoning!E8))</f>
        <v>1</v>
      </c>
      <c r="F8" s="6" t="n">
        <f aca="false">IF(COUNTIFS(Tasks!$A$2:$A$13,F$4,Tasks!$F$2:$F$13,"Yes")=0,"",IF(Reasoning!F8="","",Reasoning!F8))</f>
        <v>1</v>
      </c>
      <c r="G8" s="6" t="str">
        <f aca="false">IF(COUNTIFS(Tasks!$A$2:$A$13,G$4,Tasks!$F$2:$F$13,"Yes")=0,"",IF(Reasoning!G8="","",Reasoning!G8))</f>
        <v/>
      </c>
      <c r="H8" s="6" t="str">
        <f aca="false">IF(COUNTIFS(Tasks!$A$2:$A$13,H$4,Tasks!$F$2:$F$13,"Yes")=0,"",IF(Reasoning!H8="","",Reasoning!H8))</f>
        <v/>
      </c>
      <c r="I8" s="6" t="n">
        <f aca="false">IF(COUNTIFS(Tasks!$A$2:$A$13,I$4,Tasks!$F$2:$F$13,"Yes")=0,"",IF(Reasoning!I8="","",Reasoning!I8))</f>
        <v>1</v>
      </c>
      <c r="J8" s="6" t="n">
        <f aca="false">IF(COUNTIFS(Tasks!$A$2:$A$13,J$4,Tasks!$F$2:$F$13,"Yes")=0,"",IF(Reasoning!J8="","",Reasoning!J8))</f>
        <v>1</v>
      </c>
      <c r="K8" s="6" t="str">
        <f aca="false">IF(COUNTIFS(Tasks!$A$2:$A$13,K$4,Tasks!$F$2:$F$13,"Yes")=0,"",IF(Reasoning!K8="","",Reasoning!K8))</f>
        <v/>
      </c>
      <c r="L8" s="6" t="str">
        <f aca="false">IF(COUNTIFS(Tasks!$A$2:$A$13,L$4,Tasks!$F$2:$F$13,"Yes")=0,"",IF(Reasoning!L8="","",Reasoning!L8))</f>
        <v/>
      </c>
      <c r="M8" s="6" t="str">
        <f aca="false">IF(COUNTIFS(Tasks!$A$2:$A$13,M$4,Tasks!$F$2:$F$13,"Yes")=0,"",IF(Reasoning!M8="","",Reasoning!M8))</f>
        <v/>
      </c>
      <c r="N8" s="6" t="n">
        <f aca="false">IF(COUNTIFS(Tasks!$A$2:$A$13,N$4,Tasks!$F$2:$F$13,"Yes")=0,"",IF(Reasoning!N8="","",Reasoning!N8))</f>
        <v>0</v>
      </c>
      <c r="O8" s="6" t="n">
        <f aca="false">IF(COUNTIFS(Tasks!$A$2:$A$13,O$4,Tasks!$F$2:$F$13,"Yes")=0,"",IF(Reasoning!O8="","",Reasoning!O8))</f>
        <v>1</v>
      </c>
      <c r="P8" s="6" t="n">
        <f aca="false">IF(COUNTIFS(Tasks!$A$2:$A$13,P$4,Tasks!$F$2:$F$13,"Yes")=0,"",IF(Reasoning!P8="","",Reasoning!P8))</f>
        <v>1</v>
      </c>
      <c r="Q8" s="6" t="n">
        <f aca="false">IF(COUNT(E8:P8)=0,"",SUM(E8:P8))</f>
        <v>6</v>
      </c>
      <c r="R8" s="6" t="n">
        <f aca="false">IF(AND(Scores!Q8="",Q8=""),"",N(Scores!Q8)+N(Q8))</f>
        <v>30</v>
      </c>
    </row>
    <row r="9" customFormat="false" ht="14.25" hidden="false" customHeight="true" outlineLevel="0" collapsed="false">
      <c r="A9" s="6" t="s">
        <v>127</v>
      </c>
      <c r="B9" s="6" t="n">
        <v>1</v>
      </c>
      <c r="C9" s="6" t="str">
        <f aca="false">IFERROR(INDEX(Participants!$B$2:$B$21,MATCH(A9,Participants!$A$2:$A$21,0)),"")</f>
        <v>Tool condition</v>
      </c>
      <c r="D9" s="6" t="str">
        <f aca="false">IF(C9="Tool condition","Tool",IF(C9="Paper condition","Paper",""))</f>
        <v>Tool</v>
      </c>
      <c r="E9" s="6" t="n">
        <f aca="false">IF(COUNTIFS(Tasks!$A$2:$A$13,E$4,Tasks!$F$2:$F$13,"Yes")=0,"",IF(Reasoning!E9="","",Reasoning!E9))</f>
        <v>1</v>
      </c>
      <c r="F9" s="6" t="n">
        <f aca="false">IF(COUNTIFS(Tasks!$A$2:$A$13,F$4,Tasks!$F$2:$F$13,"Yes")=0,"",IF(Reasoning!F9="","",Reasoning!F9))</f>
        <v>0</v>
      </c>
      <c r="G9" s="6" t="str">
        <f aca="false">IF(COUNTIFS(Tasks!$A$2:$A$13,G$4,Tasks!$F$2:$F$13,"Yes")=0,"",IF(Reasoning!G9="","",Reasoning!G9))</f>
        <v/>
      </c>
      <c r="H9" s="6" t="str">
        <f aca="false">IF(COUNTIFS(Tasks!$A$2:$A$13,H$4,Tasks!$F$2:$F$13,"Yes")=0,"",IF(Reasoning!H9="","",Reasoning!H9))</f>
        <v/>
      </c>
      <c r="I9" s="6" t="n">
        <f aca="false">IF(COUNTIFS(Tasks!$A$2:$A$13,I$4,Tasks!$F$2:$F$13,"Yes")=0,"",IF(Reasoning!I9="","",Reasoning!I9))</f>
        <v>1</v>
      </c>
      <c r="J9" s="6" t="n">
        <f aca="false">IF(COUNTIFS(Tasks!$A$2:$A$13,J$4,Tasks!$F$2:$F$13,"Yes")=0,"",IF(Reasoning!J9="","",Reasoning!J9))</f>
        <v>1</v>
      </c>
      <c r="K9" s="6" t="str">
        <f aca="false">IF(COUNTIFS(Tasks!$A$2:$A$13,K$4,Tasks!$F$2:$F$13,"Yes")=0,"",IF(Reasoning!K9="","",Reasoning!K9))</f>
        <v/>
      </c>
      <c r="L9" s="6" t="str">
        <f aca="false">IF(COUNTIFS(Tasks!$A$2:$A$13,L$4,Tasks!$F$2:$F$13,"Yes")=0,"",IF(Reasoning!L9="","",Reasoning!L9))</f>
        <v/>
      </c>
      <c r="M9" s="6" t="str">
        <f aca="false">IF(COUNTIFS(Tasks!$A$2:$A$13,M$4,Tasks!$F$2:$F$13,"Yes")=0,"",IF(Reasoning!M9="","",Reasoning!M9))</f>
        <v/>
      </c>
      <c r="N9" s="6" t="n">
        <f aca="false">IF(COUNTIFS(Tasks!$A$2:$A$13,N$4,Tasks!$F$2:$F$13,"Yes")=0,"",IF(Reasoning!N9="","",Reasoning!N9))</f>
        <v>1</v>
      </c>
      <c r="O9" s="6" t="n">
        <f aca="false">IF(COUNTIFS(Tasks!$A$2:$A$13,O$4,Tasks!$F$2:$F$13,"Yes")=0,"",IF(Reasoning!O9="","",Reasoning!O9))</f>
        <v>1</v>
      </c>
      <c r="P9" s="6" t="n">
        <f aca="false">IF(COUNTIFS(Tasks!$A$2:$A$13,P$4,Tasks!$F$2:$F$13,"Yes")=0,"",IF(Reasoning!P9="","",Reasoning!P9))</f>
        <v>1</v>
      </c>
      <c r="Q9" s="6" t="n">
        <f aca="false">IF(COUNT(E9:P9)=0,"",SUM(E9:P9))</f>
        <v>6</v>
      </c>
      <c r="R9" s="6" t="n">
        <f aca="false">IF(AND(Scores!Q9="",Q9=""),"",N(Scores!Q9)+N(Q9))</f>
        <v>30</v>
      </c>
    </row>
    <row r="10" customFormat="false" ht="14.25" hidden="false" customHeight="true" outlineLevel="0" collapsed="false">
      <c r="A10" s="6" t="s">
        <v>128</v>
      </c>
      <c r="B10" s="6" t="n">
        <v>1</v>
      </c>
      <c r="C10" s="6" t="str">
        <f aca="false">IFERROR(INDEX(Participants!$B$2:$B$21,MATCH(A10,Participants!$A$2:$A$21,0)),"")</f>
        <v>Tool condition</v>
      </c>
      <c r="D10" s="6" t="str">
        <f aca="false">IF(C10="Tool condition","Tool",IF(C10="Paper condition","Paper",""))</f>
        <v>Tool</v>
      </c>
      <c r="E10" s="6" t="n">
        <f aca="false">IF(COUNTIFS(Tasks!$A$2:$A$13,E$4,Tasks!$F$2:$F$13,"Yes")=0,"",IF(Reasoning!E10="","",Reasoning!E10))</f>
        <v>1</v>
      </c>
      <c r="F10" s="6" t="n">
        <f aca="false">IF(COUNTIFS(Tasks!$A$2:$A$13,F$4,Tasks!$F$2:$F$13,"Yes")=0,"",IF(Reasoning!F10="","",Reasoning!F10))</f>
        <v>1</v>
      </c>
      <c r="G10" s="6" t="str">
        <f aca="false">IF(COUNTIFS(Tasks!$A$2:$A$13,G$4,Tasks!$F$2:$F$13,"Yes")=0,"",IF(Reasoning!G10="","",Reasoning!G10))</f>
        <v/>
      </c>
      <c r="H10" s="6" t="str">
        <f aca="false">IF(COUNTIFS(Tasks!$A$2:$A$13,H$4,Tasks!$F$2:$F$13,"Yes")=0,"",IF(Reasoning!H10="","",Reasoning!H10))</f>
        <v/>
      </c>
      <c r="I10" s="6" t="n">
        <f aca="false">IF(COUNTIFS(Tasks!$A$2:$A$13,I$4,Tasks!$F$2:$F$13,"Yes")=0,"",IF(Reasoning!I10="","",Reasoning!I10))</f>
        <v>1</v>
      </c>
      <c r="J10" s="6" t="n">
        <f aca="false">IF(COUNTIFS(Tasks!$A$2:$A$13,J$4,Tasks!$F$2:$F$13,"Yes")=0,"",IF(Reasoning!J10="","",Reasoning!J10))</f>
        <v>1</v>
      </c>
      <c r="K10" s="6" t="str">
        <f aca="false">IF(COUNTIFS(Tasks!$A$2:$A$13,K$4,Tasks!$F$2:$F$13,"Yes")=0,"",IF(Reasoning!K10="","",Reasoning!K10))</f>
        <v/>
      </c>
      <c r="L10" s="6" t="str">
        <f aca="false">IF(COUNTIFS(Tasks!$A$2:$A$13,L$4,Tasks!$F$2:$F$13,"Yes")=0,"",IF(Reasoning!L10="","",Reasoning!L10))</f>
        <v/>
      </c>
      <c r="M10" s="6" t="str">
        <f aca="false">IF(COUNTIFS(Tasks!$A$2:$A$13,M$4,Tasks!$F$2:$F$13,"Yes")=0,"",IF(Reasoning!M10="","",Reasoning!M10))</f>
        <v/>
      </c>
      <c r="N10" s="6" t="n">
        <f aca="false">IF(COUNTIFS(Tasks!$A$2:$A$13,N$4,Tasks!$F$2:$F$13,"Yes")=0,"",IF(Reasoning!N10="","",Reasoning!N10))</f>
        <v>1</v>
      </c>
      <c r="O10" s="6" t="n">
        <f aca="false">IF(COUNTIFS(Tasks!$A$2:$A$13,O$4,Tasks!$F$2:$F$13,"Yes")=0,"",IF(Reasoning!O10="","",Reasoning!O10))</f>
        <v>0</v>
      </c>
      <c r="P10" s="6" t="n">
        <f aca="false">IF(COUNTIFS(Tasks!$A$2:$A$13,P$4,Tasks!$F$2:$F$13,"Yes")=0,"",IF(Reasoning!P10="","",Reasoning!P10))</f>
        <v>1</v>
      </c>
      <c r="Q10" s="6" t="n">
        <f aca="false">IF(COUNT(E10:P10)=0,"",SUM(E10:P10))</f>
        <v>6</v>
      </c>
      <c r="R10" s="6" t="n">
        <f aca="false">IF(AND(Scores!Q10="",Q10=""),"",N(Scores!Q10)+N(Q10))</f>
        <v>30</v>
      </c>
    </row>
    <row r="11" customFormat="false" ht="14.25" hidden="false" customHeight="true" outlineLevel="0" collapsed="false">
      <c r="A11" s="6" t="s">
        <v>129</v>
      </c>
      <c r="B11" s="6" t="n">
        <v>1</v>
      </c>
      <c r="C11" s="6" t="str">
        <f aca="false">IFERROR(INDEX(Participants!$B$2:$B$21,MATCH(A11,Participants!$A$2:$A$21,0)),"")</f>
        <v>Tool condition</v>
      </c>
      <c r="D11" s="6" t="str">
        <f aca="false">IF(C11="Tool condition","Tool",IF(C11="Paper condition","Paper",""))</f>
        <v>Tool</v>
      </c>
      <c r="E11" s="6" t="n">
        <f aca="false">IF(COUNTIFS(Tasks!$A$2:$A$13,E$4,Tasks!$F$2:$F$13,"Yes")=0,"",IF(Reasoning!E11="","",Reasoning!E11))</f>
        <v>1</v>
      </c>
      <c r="F11" s="6" t="n">
        <f aca="false">IF(COUNTIFS(Tasks!$A$2:$A$13,F$4,Tasks!$F$2:$F$13,"Yes")=0,"",IF(Reasoning!F11="","",Reasoning!F11))</f>
        <v>1</v>
      </c>
      <c r="G11" s="6" t="str">
        <f aca="false">IF(COUNTIFS(Tasks!$A$2:$A$13,G$4,Tasks!$F$2:$F$13,"Yes")=0,"",IF(Reasoning!G11="","",Reasoning!G11))</f>
        <v/>
      </c>
      <c r="H11" s="6" t="str">
        <f aca="false">IF(COUNTIFS(Tasks!$A$2:$A$13,H$4,Tasks!$F$2:$F$13,"Yes")=0,"",IF(Reasoning!H11="","",Reasoning!H11))</f>
        <v/>
      </c>
      <c r="I11" s="6" t="n">
        <f aca="false">IF(COUNTIFS(Tasks!$A$2:$A$13,I$4,Tasks!$F$2:$F$13,"Yes")=0,"",IF(Reasoning!I11="","",Reasoning!I11))</f>
        <v>1</v>
      </c>
      <c r="J11" s="6" t="n">
        <f aca="false">IF(COUNTIFS(Tasks!$A$2:$A$13,J$4,Tasks!$F$2:$F$13,"Yes")=0,"",IF(Reasoning!J11="","",Reasoning!J11))</f>
        <v>0</v>
      </c>
      <c r="K11" s="6" t="str">
        <f aca="false">IF(COUNTIFS(Tasks!$A$2:$A$13,K$4,Tasks!$F$2:$F$13,"Yes")=0,"",IF(Reasoning!K11="","",Reasoning!K11))</f>
        <v/>
      </c>
      <c r="L11" s="6" t="str">
        <f aca="false">IF(COUNTIFS(Tasks!$A$2:$A$13,L$4,Tasks!$F$2:$F$13,"Yes")=0,"",IF(Reasoning!L11="","",Reasoning!L11))</f>
        <v/>
      </c>
      <c r="M11" s="6" t="str">
        <f aca="false">IF(COUNTIFS(Tasks!$A$2:$A$13,M$4,Tasks!$F$2:$F$13,"Yes")=0,"",IF(Reasoning!M11="","",Reasoning!M11))</f>
        <v/>
      </c>
      <c r="N11" s="6" t="n">
        <f aca="false">IF(COUNTIFS(Tasks!$A$2:$A$13,N$4,Tasks!$F$2:$F$13,"Yes")=0,"",IF(Reasoning!N11="","",Reasoning!N11))</f>
        <v>1</v>
      </c>
      <c r="O11" s="6" t="n">
        <f aca="false">IF(COUNTIFS(Tasks!$A$2:$A$13,O$4,Tasks!$F$2:$F$13,"Yes")=0,"",IF(Reasoning!O11="","",Reasoning!O11))</f>
        <v>1</v>
      </c>
      <c r="P11" s="6" t="n">
        <f aca="false">IF(COUNTIFS(Tasks!$A$2:$A$13,P$4,Tasks!$F$2:$F$13,"Yes")=0,"",IF(Reasoning!P11="","",Reasoning!P11))</f>
        <v>1</v>
      </c>
      <c r="Q11" s="6" t="n">
        <f aca="false">IF(COUNT(E11:P11)=0,"",SUM(E11:P11))</f>
        <v>6</v>
      </c>
      <c r="R11" s="6" t="n">
        <f aca="false">IF(AND(Scores!Q11="",Q11=""),"",N(Scores!Q11)+N(Q11))</f>
        <v>30</v>
      </c>
    </row>
    <row r="12" customFormat="false" ht="14.25" hidden="false" customHeight="true" outlineLevel="0" collapsed="false">
      <c r="A12" s="6" t="s">
        <v>130</v>
      </c>
      <c r="B12" s="6" t="n">
        <v>1</v>
      </c>
      <c r="C12" s="6" t="str">
        <f aca="false">IFERROR(INDEX(Participants!$B$2:$B$21,MATCH(A12,Participants!$A$2:$A$21,0)),"")</f>
        <v>Tool condition</v>
      </c>
      <c r="D12" s="6" t="str">
        <f aca="false">IF(C12="Tool condition","Tool",IF(C12="Paper condition","Paper",""))</f>
        <v>Tool</v>
      </c>
      <c r="E12" s="6" t="n">
        <f aca="false">IF(COUNTIFS(Tasks!$A$2:$A$13,E$4,Tasks!$F$2:$F$13,"Yes")=0,"",IF(Reasoning!E12="","",Reasoning!E12))</f>
        <v>0</v>
      </c>
      <c r="F12" s="6" t="n">
        <f aca="false">IF(COUNTIFS(Tasks!$A$2:$A$13,F$4,Tasks!$F$2:$F$13,"Yes")=0,"",IF(Reasoning!F12="","",Reasoning!F12))</f>
        <v>1</v>
      </c>
      <c r="G12" s="6" t="str">
        <f aca="false">IF(COUNTIFS(Tasks!$A$2:$A$13,G$4,Tasks!$F$2:$F$13,"Yes")=0,"",IF(Reasoning!G12="","",Reasoning!G12))</f>
        <v/>
      </c>
      <c r="H12" s="6" t="str">
        <f aca="false">IF(COUNTIFS(Tasks!$A$2:$A$13,H$4,Tasks!$F$2:$F$13,"Yes")=0,"",IF(Reasoning!H12="","",Reasoning!H12))</f>
        <v/>
      </c>
      <c r="I12" s="6" t="n">
        <f aca="false">IF(COUNTIFS(Tasks!$A$2:$A$13,I$4,Tasks!$F$2:$F$13,"Yes")=0,"",IF(Reasoning!I12="","",Reasoning!I12))</f>
        <v>1</v>
      </c>
      <c r="J12" s="6" t="n">
        <f aca="false">IF(COUNTIFS(Tasks!$A$2:$A$13,J$4,Tasks!$F$2:$F$13,"Yes")=0,"",IF(Reasoning!J12="","",Reasoning!J12))</f>
        <v>1</v>
      </c>
      <c r="K12" s="6" t="str">
        <f aca="false">IF(COUNTIFS(Tasks!$A$2:$A$13,K$4,Tasks!$F$2:$F$13,"Yes")=0,"",IF(Reasoning!K12="","",Reasoning!K12))</f>
        <v/>
      </c>
      <c r="L12" s="6" t="str">
        <f aca="false">IF(COUNTIFS(Tasks!$A$2:$A$13,L$4,Tasks!$F$2:$F$13,"Yes")=0,"",IF(Reasoning!L12="","",Reasoning!L12))</f>
        <v/>
      </c>
      <c r="M12" s="6" t="str">
        <f aca="false">IF(COUNTIFS(Tasks!$A$2:$A$13,M$4,Tasks!$F$2:$F$13,"Yes")=0,"",IF(Reasoning!M12="","",Reasoning!M12))</f>
        <v/>
      </c>
      <c r="N12" s="6" t="n">
        <f aca="false">IF(COUNTIFS(Tasks!$A$2:$A$13,N$4,Tasks!$F$2:$F$13,"Yes")=0,"",IF(Reasoning!N12="","",Reasoning!N12))</f>
        <v>1</v>
      </c>
      <c r="O12" s="6" t="n">
        <f aca="false">IF(COUNTIFS(Tasks!$A$2:$A$13,O$4,Tasks!$F$2:$F$13,"Yes")=0,"",IF(Reasoning!O12="","",Reasoning!O12))</f>
        <v>1</v>
      </c>
      <c r="P12" s="6" t="n">
        <f aca="false">IF(COUNTIFS(Tasks!$A$2:$A$13,P$4,Tasks!$F$2:$F$13,"Yes")=0,"",IF(Reasoning!P12="","",Reasoning!P12))</f>
        <v>0</v>
      </c>
      <c r="Q12" s="6" t="n">
        <f aca="false">IF(COUNT(E12:P12)=0,"",SUM(E12:P12))</f>
        <v>5</v>
      </c>
      <c r="R12" s="6" t="n">
        <f aca="false">IF(AND(Scores!Q12="",Q12=""),"",N(Scores!Q12)+N(Q12))</f>
        <v>29</v>
      </c>
    </row>
    <row r="13" customFormat="false" ht="14.25" hidden="false" customHeight="true" outlineLevel="0" collapsed="false">
      <c r="A13" s="6" t="s">
        <v>131</v>
      </c>
      <c r="B13" s="6" t="n">
        <v>1</v>
      </c>
      <c r="C13" s="6" t="str">
        <f aca="false">IFERROR(INDEX(Participants!$B$2:$B$21,MATCH(A13,Participants!$A$2:$A$21,0)),"")</f>
        <v>Tool condition</v>
      </c>
      <c r="D13" s="6" t="str">
        <f aca="false">IF(C13="Tool condition","Tool",IF(C13="Paper condition","Paper",""))</f>
        <v>Tool</v>
      </c>
      <c r="E13" s="6" t="n">
        <f aca="false">IF(COUNTIFS(Tasks!$A$2:$A$13,E$4,Tasks!$F$2:$F$13,"Yes")=0,"",IF(Reasoning!E13="","",Reasoning!E13))</f>
        <v>1</v>
      </c>
      <c r="F13" s="6" t="n">
        <f aca="false">IF(COUNTIFS(Tasks!$A$2:$A$13,F$4,Tasks!$F$2:$F$13,"Yes")=0,"",IF(Reasoning!F13="","",Reasoning!F13))</f>
        <v>0</v>
      </c>
      <c r="G13" s="6" t="str">
        <f aca="false">IF(COUNTIFS(Tasks!$A$2:$A$13,G$4,Tasks!$F$2:$F$13,"Yes")=0,"",IF(Reasoning!G13="","",Reasoning!G13))</f>
        <v/>
      </c>
      <c r="H13" s="6" t="str">
        <f aca="false">IF(COUNTIFS(Tasks!$A$2:$A$13,H$4,Tasks!$F$2:$F$13,"Yes")=0,"",IF(Reasoning!H13="","",Reasoning!H13))</f>
        <v/>
      </c>
      <c r="I13" s="6" t="n">
        <f aca="false">IF(COUNTIFS(Tasks!$A$2:$A$13,I$4,Tasks!$F$2:$F$13,"Yes")=0,"",IF(Reasoning!I13="","",Reasoning!I13))</f>
        <v>1</v>
      </c>
      <c r="J13" s="6" t="n">
        <f aca="false">IF(COUNTIFS(Tasks!$A$2:$A$13,J$4,Tasks!$F$2:$F$13,"Yes")=0,"",IF(Reasoning!J13="","",Reasoning!J13))</f>
        <v>1</v>
      </c>
      <c r="K13" s="6" t="str">
        <f aca="false">IF(COUNTIFS(Tasks!$A$2:$A$13,K$4,Tasks!$F$2:$F$13,"Yes")=0,"",IF(Reasoning!K13="","",Reasoning!K13))</f>
        <v/>
      </c>
      <c r="L13" s="6" t="str">
        <f aca="false">IF(COUNTIFS(Tasks!$A$2:$A$13,L$4,Tasks!$F$2:$F$13,"Yes")=0,"",IF(Reasoning!L13="","",Reasoning!L13))</f>
        <v/>
      </c>
      <c r="M13" s="6" t="str">
        <f aca="false">IF(COUNTIFS(Tasks!$A$2:$A$13,M$4,Tasks!$F$2:$F$13,"Yes")=0,"",IF(Reasoning!M13="","",Reasoning!M13))</f>
        <v/>
      </c>
      <c r="N13" s="6" t="n">
        <f aca="false">IF(COUNTIFS(Tasks!$A$2:$A$13,N$4,Tasks!$F$2:$F$13,"Yes")=0,"",IF(Reasoning!N13="","",Reasoning!N13))</f>
        <v>0</v>
      </c>
      <c r="O13" s="6" t="n">
        <f aca="false">IF(COUNTIFS(Tasks!$A$2:$A$13,O$4,Tasks!$F$2:$F$13,"Yes")=0,"",IF(Reasoning!O13="","",Reasoning!O13))</f>
        <v>1</v>
      </c>
      <c r="P13" s="6" t="n">
        <f aca="false">IF(COUNTIFS(Tasks!$A$2:$A$13,P$4,Tasks!$F$2:$F$13,"Yes")=0,"",IF(Reasoning!P13="","",Reasoning!P13))</f>
        <v>1</v>
      </c>
      <c r="Q13" s="6" t="n">
        <f aca="false">IF(COUNT(E13:P13)=0,"",SUM(E13:P13))</f>
        <v>5</v>
      </c>
      <c r="R13" s="6" t="n">
        <f aca="false">IF(AND(Scores!Q13="",Q13=""),"",N(Scores!Q13)+N(Q13))</f>
        <v>29</v>
      </c>
    </row>
    <row r="14" customFormat="false" ht="14.25" hidden="false" customHeight="true" outlineLevel="0" collapsed="false">
      <c r="A14" s="6" t="s">
        <v>26</v>
      </c>
      <c r="B14" s="6" t="n">
        <v>1</v>
      </c>
      <c r="C14" s="6" t="str">
        <f aca="false">IFERROR(INDEX(Participants!$B$2:$B$21,MATCH(A14,Participants!$A$2:$A$21,0)),"")</f>
        <v>Tool condition</v>
      </c>
      <c r="D14" s="6" t="str">
        <f aca="false">IF(C14="Tool condition","Tool",IF(C14="Paper condition","Paper",""))</f>
        <v>Tool</v>
      </c>
      <c r="E14" s="6" t="n">
        <f aca="false">IF(COUNTIFS(Tasks!$A$2:$A$13,E$4,Tasks!$F$2:$F$13,"Yes")=0,"",IF(Reasoning!E14="","",Reasoning!E14))</f>
        <v>1</v>
      </c>
      <c r="F14" s="6" t="n">
        <f aca="false">IF(COUNTIFS(Tasks!$A$2:$A$13,F$4,Tasks!$F$2:$F$13,"Yes")=0,"",IF(Reasoning!F14="","",Reasoning!F14))</f>
        <v>1</v>
      </c>
      <c r="G14" s="6" t="str">
        <f aca="false">IF(COUNTIFS(Tasks!$A$2:$A$13,G$4,Tasks!$F$2:$F$13,"Yes")=0,"",IF(Reasoning!G14="","",Reasoning!G14))</f>
        <v/>
      </c>
      <c r="H14" s="6" t="str">
        <f aca="false">IF(COUNTIFS(Tasks!$A$2:$A$13,H$4,Tasks!$F$2:$F$13,"Yes")=0,"",IF(Reasoning!H14="","",Reasoning!H14))</f>
        <v/>
      </c>
      <c r="I14" s="6" t="n">
        <f aca="false">IF(COUNTIFS(Tasks!$A$2:$A$13,I$4,Tasks!$F$2:$F$13,"Yes")=0,"",IF(Reasoning!I14="","",Reasoning!I14))</f>
        <v>0</v>
      </c>
      <c r="J14" s="6" t="n">
        <f aca="false">IF(COUNTIFS(Tasks!$A$2:$A$13,J$4,Tasks!$F$2:$F$13,"Yes")=0,"",IF(Reasoning!J14="","",Reasoning!J14))</f>
        <v>1</v>
      </c>
      <c r="K14" s="6" t="str">
        <f aca="false">IF(COUNTIFS(Tasks!$A$2:$A$13,K$4,Tasks!$F$2:$F$13,"Yes")=0,"",IF(Reasoning!K14="","",Reasoning!K14))</f>
        <v/>
      </c>
      <c r="L14" s="6" t="str">
        <f aca="false">IF(COUNTIFS(Tasks!$A$2:$A$13,L$4,Tasks!$F$2:$F$13,"Yes")=0,"",IF(Reasoning!L14="","",Reasoning!L14))</f>
        <v/>
      </c>
      <c r="M14" s="6" t="str">
        <f aca="false">IF(COUNTIFS(Tasks!$A$2:$A$13,M$4,Tasks!$F$2:$F$13,"Yes")=0,"",IF(Reasoning!M14="","",Reasoning!M14))</f>
        <v/>
      </c>
      <c r="N14" s="6" t="n">
        <f aca="false">IF(COUNTIFS(Tasks!$A$2:$A$13,N$4,Tasks!$F$2:$F$13,"Yes")=0,"",IF(Reasoning!N14="","",Reasoning!N14))</f>
        <v>1</v>
      </c>
      <c r="O14" s="6" t="n">
        <f aca="false">IF(COUNTIFS(Tasks!$A$2:$A$13,O$4,Tasks!$F$2:$F$13,"Yes")=0,"",IF(Reasoning!O14="","",Reasoning!O14))</f>
        <v>0</v>
      </c>
      <c r="P14" s="6" t="n">
        <f aca="false">IF(COUNTIFS(Tasks!$A$2:$A$13,P$4,Tasks!$F$2:$F$13,"Yes")=0,"",IF(Reasoning!P14="","",Reasoning!P14))</f>
        <v>1</v>
      </c>
      <c r="Q14" s="6" t="n">
        <f aca="false">IF(COUNT(E14:P14)=0,"",SUM(E14:P14))</f>
        <v>5</v>
      </c>
      <c r="R14" s="6" t="n">
        <f aca="false">IF(AND(Scores!Q14="",Q14=""),"",N(Scores!Q14)+N(Q14))</f>
        <v>29</v>
      </c>
    </row>
    <row r="15" customFormat="false" ht="14.25" hidden="false" customHeight="true" outlineLevel="0" collapsed="false">
      <c r="A15" s="6" t="s">
        <v>132</v>
      </c>
      <c r="B15" s="6" t="n">
        <v>1</v>
      </c>
      <c r="C15" s="6" t="str">
        <f aca="false">IFERROR(INDEX(Participants!$B$2:$B$21,MATCH(A15,Participants!$A$2:$A$21,0)),"")</f>
        <v>Paper condition</v>
      </c>
      <c r="D15" s="6" t="str">
        <f aca="false">IF(C15="Tool condition","Tool",IF(C15="Paper condition","Paper",""))</f>
        <v>Paper</v>
      </c>
      <c r="E15" s="6" t="n">
        <f aca="false">IF(COUNTIFS(Tasks!$A$2:$A$13,E$4,Tasks!$F$2:$F$13,"Yes")=0,"",IF(Reasoning!E15="","",Reasoning!E15))</f>
        <v>1</v>
      </c>
      <c r="F15" s="6" t="n">
        <f aca="false">IF(COUNTIFS(Tasks!$A$2:$A$13,F$4,Tasks!$F$2:$F$13,"Yes")=0,"",IF(Reasoning!F15="","",Reasoning!F15))</f>
        <v>1</v>
      </c>
      <c r="G15" s="6" t="str">
        <f aca="false">IF(COUNTIFS(Tasks!$A$2:$A$13,G$4,Tasks!$F$2:$F$13,"Yes")=0,"",IF(Reasoning!G15="","",Reasoning!G15))</f>
        <v/>
      </c>
      <c r="H15" s="6" t="str">
        <f aca="false">IF(COUNTIFS(Tasks!$A$2:$A$13,H$4,Tasks!$F$2:$F$13,"Yes")=0,"",IF(Reasoning!H15="","",Reasoning!H15))</f>
        <v/>
      </c>
      <c r="I15" s="6" t="n">
        <f aca="false">IF(COUNTIFS(Tasks!$A$2:$A$13,I$4,Tasks!$F$2:$F$13,"Yes")=0,"",IF(Reasoning!I15="","",Reasoning!I15))</f>
        <v>0</v>
      </c>
      <c r="J15" s="6" t="n">
        <f aca="false">IF(COUNTIFS(Tasks!$A$2:$A$13,J$4,Tasks!$F$2:$F$13,"Yes")=0,"",IF(Reasoning!J15="","",Reasoning!J15))</f>
        <v>1</v>
      </c>
      <c r="K15" s="6" t="str">
        <f aca="false">IF(COUNTIFS(Tasks!$A$2:$A$13,K$4,Tasks!$F$2:$F$13,"Yes")=0,"",IF(Reasoning!K15="","",Reasoning!K15))</f>
        <v/>
      </c>
      <c r="L15" s="6" t="str">
        <f aca="false">IF(COUNTIFS(Tasks!$A$2:$A$13,L$4,Tasks!$F$2:$F$13,"Yes")=0,"",IF(Reasoning!L15="","",Reasoning!L15))</f>
        <v/>
      </c>
      <c r="M15" s="6" t="str">
        <f aca="false">IF(COUNTIFS(Tasks!$A$2:$A$13,M$4,Tasks!$F$2:$F$13,"Yes")=0,"",IF(Reasoning!M15="","",Reasoning!M15))</f>
        <v/>
      </c>
      <c r="N15" s="6" t="n">
        <f aca="false">IF(COUNTIFS(Tasks!$A$2:$A$13,N$4,Tasks!$F$2:$F$13,"Yes")=0,"",IF(Reasoning!N15="","",Reasoning!N15))</f>
        <v>0</v>
      </c>
      <c r="O15" s="6" t="n">
        <f aca="false">IF(COUNTIFS(Tasks!$A$2:$A$13,O$4,Tasks!$F$2:$F$13,"Yes")=0,"",IF(Reasoning!O15="","",Reasoning!O15))</f>
        <v>1</v>
      </c>
      <c r="P15" s="6" t="n">
        <f aca="false">IF(COUNTIFS(Tasks!$A$2:$A$13,P$4,Tasks!$F$2:$F$13,"Yes")=0,"",IF(Reasoning!P15="","",Reasoning!P15))</f>
        <v>0</v>
      </c>
      <c r="Q15" s="6" t="n">
        <f aca="false">IF(COUNT(E15:P15)=0,"",SUM(E15:P15))</f>
        <v>4</v>
      </c>
      <c r="R15" s="6" t="n">
        <f aca="false">IF(AND(Scores!Q15="",Q15=""),"",N(Scores!Q15)+N(Q15))</f>
        <v>23</v>
      </c>
    </row>
    <row r="16" customFormat="false" ht="14.25" hidden="false" customHeight="true" outlineLevel="0" collapsed="false">
      <c r="A16" s="6" t="s">
        <v>134</v>
      </c>
      <c r="B16" s="6" t="n">
        <v>1</v>
      </c>
      <c r="C16" s="6" t="str">
        <f aca="false">IFERROR(INDEX(Participants!$B$2:$B$21,MATCH(A16,Participants!$A$2:$A$21,0)),"")</f>
        <v>Paper condition</v>
      </c>
      <c r="D16" s="6" t="str">
        <f aca="false">IF(C16="Tool condition","Tool",IF(C16="Paper condition","Paper",""))</f>
        <v>Paper</v>
      </c>
      <c r="E16" s="6" t="n">
        <f aca="false">IF(COUNTIFS(Tasks!$A$2:$A$13,E$4,Tasks!$F$2:$F$13,"Yes")=0,"",IF(Reasoning!E16="","",Reasoning!E16))</f>
        <v>1</v>
      </c>
      <c r="F16" s="6" t="n">
        <f aca="false">IF(COUNTIFS(Tasks!$A$2:$A$13,F$4,Tasks!$F$2:$F$13,"Yes")=0,"",IF(Reasoning!F16="","",Reasoning!F16))</f>
        <v>1</v>
      </c>
      <c r="G16" s="6" t="str">
        <f aca="false">IF(COUNTIFS(Tasks!$A$2:$A$13,G$4,Tasks!$F$2:$F$13,"Yes")=0,"",IF(Reasoning!G16="","",Reasoning!G16))</f>
        <v/>
      </c>
      <c r="H16" s="6" t="str">
        <f aca="false">IF(COUNTIFS(Tasks!$A$2:$A$13,H$4,Tasks!$F$2:$F$13,"Yes")=0,"",IF(Reasoning!H16="","",Reasoning!H16))</f>
        <v/>
      </c>
      <c r="I16" s="6" t="n">
        <f aca="false">IF(COUNTIFS(Tasks!$A$2:$A$13,I$4,Tasks!$F$2:$F$13,"Yes")=0,"",IF(Reasoning!I16="","",Reasoning!I16))</f>
        <v>1</v>
      </c>
      <c r="J16" s="6" t="n">
        <f aca="false">IF(COUNTIFS(Tasks!$A$2:$A$13,J$4,Tasks!$F$2:$F$13,"Yes")=0,"",IF(Reasoning!J16="","",Reasoning!J16))</f>
        <v>1</v>
      </c>
      <c r="K16" s="6" t="str">
        <f aca="false">IF(COUNTIFS(Tasks!$A$2:$A$13,K$4,Tasks!$F$2:$F$13,"Yes")=0,"",IF(Reasoning!K16="","",Reasoning!K16))</f>
        <v/>
      </c>
      <c r="L16" s="6" t="str">
        <f aca="false">IF(COUNTIFS(Tasks!$A$2:$A$13,L$4,Tasks!$F$2:$F$13,"Yes")=0,"",IF(Reasoning!L16="","",Reasoning!L16))</f>
        <v/>
      </c>
      <c r="M16" s="6" t="str">
        <f aca="false">IF(COUNTIFS(Tasks!$A$2:$A$13,M$4,Tasks!$F$2:$F$13,"Yes")=0,"",IF(Reasoning!M16="","",Reasoning!M16))</f>
        <v/>
      </c>
      <c r="N16" s="6" t="n">
        <f aca="false">IF(COUNTIFS(Tasks!$A$2:$A$13,N$4,Tasks!$F$2:$F$13,"Yes")=0,"",IF(Reasoning!N16="","",Reasoning!N16))</f>
        <v>1</v>
      </c>
      <c r="O16" s="6" t="n">
        <f aca="false">IF(COUNTIFS(Tasks!$A$2:$A$13,O$4,Tasks!$F$2:$F$13,"Yes")=0,"",IF(Reasoning!O16="","",Reasoning!O16))</f>
        <v>0</v>
      </c>
      <c r="P16" s="6" t="n">
        <f aca="false">IF(COUNTIFS(Tasks!$A$2:$A$13,P$4,Tasks!$F$2:$F$13,"Yes")=0,"",IF(Reasoning!P16="","",Reasoning!P16))</f>
        <v>1</v>
      </c>
      <c r="Q16" s="6" t="n">
        <f aca="false">IF(COUNT(E16:P16)=0,"",SUM(E16:P16))</f>
        <v>6</v>
      </c>
      <c r="R16" s="6" t="n">
        <f aca="false">IF(AND(Scores!Q16="",Q16=""),"",N(Scores!Q16)+N(Q16))</f>
        <v>28</v>
      </c>
    </row>
    <row r="17" customFormat="false" ht="14.25" hidden="false" customHeight="true" outlineLevel="0" collapsed="false">
      <c r="A17" s="6" t="s">
        <v>135</v>
      </c>
      <c r="B17" s="6" t="n">
        <v>1</v>
      </c>
      <c r="C17" s="6" t="str">
        <f aca="false">IFERROR(INDEX(Participants!$B$2:$B$21,MATCH(A17,Participants!$A$2:$A$21,0)),"")</f>
        <v>Paper condition</v>
      </c>
      <c r="D17" s="6" t="str">
        <f aca="false">IF(C17="Tool condition","Tool",IF(C17="Paper condition","Paper",""))</f>
        <v>Paper</v>
      </c>
      <c r="E17" s="6" t="n">
        <f aca="false">IF(COUNTIFS(Tasks!$A$2:$A$13,E$4,Tasks!$F$2:$F$13,"Yes")=0,"",IF(Reasoning!E17="","",Reasoning!E17))</f>
        <v>0</v>
      </c>
      <c r="F17" s="6" t="n">
        <f aca="false">IF(COUNTIFS(Tasks!$A$2:$A$13,F$4,Tasks!$F$2:$F$13,"Yes")=0,"",IF(Reasoning!F17="","",Reasoning!F17))</f>
        <v>0</v>
      </c>
      <c r="G17" s="6" t="str">
        <f aca="false">IF(COUNTIFS(Tasks!$A$2:$A$13,G$4,Tasks!$F$2:$F$13,"Yes")=0,"",IF(Reasoning!G17="","",Reasoning!G17))</f>
        <v/>
      </c>
      <c r="H17" s="6" t="str">
        <f aca="false">IF(COUNTIFS(Tasks!$A$2:$A$13,H$4,Tasks!$F$2:$F$13,"Yes")=0,"",IF(Reasoning!H17="","",Reasoning!H17))</f>
        <v/>
      </c>
      <c r="I17" s="6" t="n">
        <f aca="false">IF(COUNTIFS(Tasks!$A$2:$A$13,I$4,Tasks!$F$2:$F$13,"Yes")=0,"",IF(Reasoning!I17="","",Reasoning!I17))</f>
        <v>0</v>
      </c>
      <c r="J17" s="6" t="n">
        <f aca="false">IF(COUNTIFS(Tasks!$A$2:$A$13,J$4,Tasks!$F$2:$F$13,"Yes")=0,"",IF(Reasoning!J17="","",Reasoning!J17))</f>
        <v>0</v>
      </c>
      <c r="K17" s="6" t="str">
        <f aca="false">IF(COUNTIFS(Tasks!$A$2:$A$13,K$4,Tasks!$F$2:$F$13,"Yes")=0,"",IF(Reasoning!K17="","",Reasoning!K17))</f>
        <v/>
      </c>
      <c r="L17" s="6" t="str">
        <f aca="false">IF(COUNTIFS(Tasks!$A$2:$A$13,L$4,Tasks!$F$2:$F$13,"Yes")=0,"",IF(Reasoning!L17="","",Reasoning!L17))</f>
        <v/>
      </c>
      <c r="M17" s="6" t="str">
        <f aca="false">IF(COUNTIFS(Tasks!$A$2:$A$13,M$4,Tasks!$F$2:$F$13,"Yes")=0,"",IF(Reasoning!M17="","",Reasoning!M17))</f>
        <v/>
      </c>
      <c r="N17" s="6" t="n">
        <f aca="false">IF(COUNTIFS(Tasks!$A$2:$A$13,N$4,Tasks!$F$2:$F$13,"Yes")=0,"",IF(Reasoning!N17="","",Reasoning!N17))</f>
        <v>0</v>
      </c>
      <c r="O17" s="6" t="n">
        <f aca="false">IF(COUNTIFS(Tasks!$A$2:$A$13,O$4,Tasks!$F$2:$F$13,"Yes")=0,"",IF(Reasoning!O17="","",Reasoning!O17))</f>
        <v>0</v>
      </c>
      <c r="P17" s="6" t="n">
        <f aca="false">IF(COUNTIFS(Tasks!$A$2:$A$13,P$4,Tasks!$F$2:$F$13,"Yes")=0,"",IF(Reasoning!P17="","",Reasoning!P17))</f>
        <v>0</v>
      </c>
      <c r="Q17" s="6" t="n">
        <f aca="false">IF(COUNT(E17:P17)=0,"",SUM(E17:P17))</f>
        <v>0</v>
      </c>
      <c r="R17" s="6" t="n">
        <f aca="false">IF(AND(Scores!Q17="",Q17=""),"",N(Scores!Q17)+N(Q17))</f>
        <v>12</v>
      </c>
    </row>
    <row r="18" customFormat="false" ht="14.25" hidden="false" customHeight="true" outlineLevel="0" collapsed="false">
      <c r="A18" s="6" t="s">
        <v>136</v>
      </c>
      <c r="B18" s="6" t="n">
        <v>1</v>
      </c>
      <c r="C18" s="6" t="str">
        <f aca="false">IFERROR(INDEX(Participants!$B$2:$B$21,MATCH(A18,Participants!$A$2:$A$21,0)),"")</f>
        <v>Paper condition</v>
      </c>
      <c r="D18" s="6" t="str">
        <f aca="false">IF(C18="Tool condition","Tool",IF(C18="Paper condition","Paper",""))</f>
        <v>Paper</v>
      </c>
      <c r="E18" s="6" t="n">
        <f aca="false">IF(COUNTIFS(Tasks!$A$2:$A$13,E$4,Tasks!$F$2:$F$13,"Yes")=0,"",IF(Reasoning!E18="","",Reasoning!E18))</f>
        <v>1</v>
      </c>
      <c r="F18" s="6" t="n">
        <f aca="false">IF(COUNTIFS(Tasks!$A$2:$A$13,F$4,Tasks!$F$2:$F$13,"Yes")=0,"",IF(Reasoning!F18="","",Reasoning!F18))</f>
        <v>1</v>
      </c>
      <c r="G18" s="6" t="str">
        <f aca="false">IF(COUNTIFS(Tasks!$A$2:$A$13,G$4,Tasks!$F$2:$F$13,"Yes")=0,"",IF(Reasoning!G18="","",Reasoning!G18))</f>
        <v/>
      </c>
      <c r="H18" s="6" t="str">
        <f aca="false">IF(COUNTIFS(Tasks!$A$2:$A$13,H$4,Tasks!$F$2:$F$13,"Yes")=0,"",IF(Reasoning!H18="","",Reasoning!H18))</f>
        <v/>
      </c>
      <c r="I18" s="6" t="n">
        <f aca="false">IF(COUNTIFS(Tasks!$A$2:$A$13,I$4,Tasks!$F$2:$F$13,"Yes")=0,"",IF(Reasoning!I18="","",Reasoning!I18))</f>
        <v>1</v>
      </c>
      <c r="J18" s="6" t="n">
        <f aca="false">IF(COUNTIFS(Tasks!$A$2:$A$13,J$4,Tasks!$F$2:$F$13,"Yes")=0,"",IF(Reasoning!J18="","",Reasoning!J18))</f>
        <v>1</v>
      </c>
      <c r="K18" s="6" t="str">
        <f aca="false">IF(COUNTIFS(Tasks!$A$2:$A$13,K$4,Tasks!$F$2:$F$13,"Yes")=0,"",IF(Reasoning!K18="","",Reasoning!K18))</f>
        <v/>
      </c>
      <c r="L18" s="6" t="str">
        <f aca="false">IF(COUNTIFS(Tasks!$A$2:$A$13,L$4,Tasks!$F$2:$F$13,"Yes")=0,"",IF(Reasoning!L18="","",Reasoning!L18))</f>
        <v/>
      </c>
      <c r="M18" s="6" t="str">
        <f aca="false">IF(COUNTIFS(Tasks!$A$2:$A$13,M$4,Tasks!$F$2:$F$13,"Yes")=0,"",IF(Reasoning!M18="","",Reasoning!M18))</f>
        <v/>
      </c>
      <c r="N18" s="6" t="n">
        <f aca="false">IF(COUNTIFS(Tasks!$A$2:$A$13,N$4,Tasks!$F$2:$F$13,"Yes")=0,"",IF(Reasoning!N18="","",Reasoning!N18))</f>
        <v>1</v>
      </c>
      <c r="O18" s="6" t="n">
        <f aca="false">IF(COUNTIFS(Tasks!$A$2:$A$13,O$4,Tasks!$F$2:$F$13,"Yes")=0,"",IF(Reasoning!O18="","",Reasoning!O18))</f>
        <v>1</v>
      </c>
      <c r="P18" s="6" t="n">
        <f aca="false">IF(COUNTIFS(Tasks!$A$2:$A$13,P$4,Tasks!$F$2:$F$13,"Yes")=0,"",IF(Reasoning!P18="","",Reasoning!P18))</f>
        <v>1</v>
      </c>
      <c r="Q18" s="6" t="n">
        <f aca="false">IF(COUNT(E18:P18)=0,"",SUM(E18:P18))</f>
        <v>7</v>
      </c>
      <c r="R18" s="6" t="n">
        <f aca="false">IF(AND(Scores!Q18="",Q18=""),"",N(Scores!Q18)+N(Q18))</f>
        <v>29</v>
      </c>
    </row>
    <row r="19" customFormat="false" ht="14.25" hidden="false" customHeight="true" outlineLevel="0" collapsed="false">
      <c r="A19" s="6" t="s">
        <v>137</v>
      </c>
      <c r="B19" s="6" t="n">
        <v>1</v>
      </c>
      <c r="C19" s="6" t="str">
        <f aca="false">IFERROR(INDEX(Participants!$B$2:$B$21,MATCH(A19,Participants!$A$2:$A$21,0)),"")</f>
        <v>Paper condition</v>
      </c>
      <c r="D19" s="6" t="str">
        <f aca="false">IF(C19="Tool condition","Tool",IF(C19="Paper condition","Paper",""))</f>
        <v>Paper</v>
      </c>
      <c r="E19" s="6" t="n">
        <f aca="false">IF(COUNTIFS(Tasks!$A$2:$A$13,E$4,Tasks!$F$2:$F$13,"Yes")=0,"",IF(Reasoning!E19="","",Reasoning!E19))</f>
        <v>0</v>
      </c>
      <c r="F19" s="6" t="n">
        <f aca="false">IF(COUNTIFS(Tasks!$A$2:$A$13,F$4,Tasks!$F$2:$F$13,"Yes")=0,"",IF(Reasoning!F19="","",Reasoning!F19))</f>
        <v>0</v>
      </c>
      <c r="G19" s="6" t="str">
        <f aca="false">IF(COUNTIFS(Tasks!$A$2:$A$13,G$4,Tasks!$F$2:$F$13,"Yes")=0,"",IF(Reasoning!G19="","",Reasoning!G19))</f>
        <v/>
      </c>
      <c r="H19" s="6" t="str">
        <f aca="false">IF(COUNTIFS(Tasks!$A$2:$A$13,H$4,Tasks!$F$2:$F$13,"Yes")=0,"",IF(Reasoning!H19="","",Reasoning!H19))</f>
        <v/>
      </c>
      <c r="I19" s="6" t="n">
        <f aca="false">IF(COUNTIFS(Tasks!$A$2:$A$13,I$4,Tasks!$F$2:$F$13,"Yes")=0,"",IF(Reasoning!I19="","",Reasoning!I19))</f>
        <v>1</v>
      </c>
      <c r="J19" s="6" t="n">
        <f aca="false">IF(COUNTIFS(Tasks!$A$2:$A$13,J$4,Tasks!$F$2:$F$13,"Yes")=0,"",IF(Reasoning!J19="","",Reasoning!J19))</f>
        <v>1</v>
      </c>
      <c r="K19" s="6" t="str">
        <f aca="false">IF(COUNTIFS(Tasks!$A$2:$A$13,K$4,Tasks!$F$2:$F$13,"Yes")=0,"",IF(Reasoning!K19="","",Reasoning!K19))</f>
        <v/>
      </c>
      <c r="L19" s="6" t="str">
        <f aca="false">IF(COUNTIFS(Tasks!$A$2:$A$13,L$4,Tasks!$F$2:$F$13,"Yes")=0,"",IF(Reasoning!L19="","",Reasoning!L19))</f>
        <v/>
      </c>
      <c r="M19" s="6" t="str">
        <f aca="false">IF(COUNTIFS(Tasks!$A$2:$A$13,M$4,Tasks!$F$2:$F$13,"Yes")=0,"",IF(Reasoning!M19="","",Reasoning!M19))</f>
        <v/>
      </c>
      <c r="N19" s="6" t="n">
        <f aca="false">IF(COUNTIFS(Tasks!$A$2:$A$13,N$4,Tasks!$F$2:$F$13,"Yes")=0,"",IF(Reasoning!N19="","",Reasoning!N19))</f>
        <v>0</v>
      </c>
      <c r="O19" s="6" t="n">
        <f aca="false">IF(COUNTIFS(Tasks!$A$2:$A$13,O$4,Tasks!$F$2:$F$13,"Yes")=0,"",IF(Reasoning!O19="","",Reasoning!O19))</f>
        <v>0</v>
      </c>
      <c r="P19" s="6" t="n">
        <f aca="false">IF(COUNTIFS(Tasks!$A$2:$A$13,P$4,Tasks!$F$2:$F$13,"Yes")=0,"",IF(Reasoning!P19="","",Reasoning!P19))</f>
        <v>0</v>
      </c>
      <c r="Q19" s="6" t="n">
        <f aca="false">IF(COUNT(E19:P19)=0,"",SUM(E19:P19))</f>
        <v>2</v>
      </c>
      <c r="R19" s="6" t="n">
        <f aca="false">IF(AND(Scores!Q19="",Q19=""),"",N(Scores!Q19)+N(Q19))</f>
        <v>17</v>
      </c>
    </row>
    <row r="20" customFormat="false" ht="14.25" hidden="false" customHeight="true" outlineLevel="0" collapsed="false">
      <c r="A20" s="6" t="s">
        <v>138</v>
      </c>
      <c r="B20" s="6" t="n">
        <v>1</v>
      </c>
      <c r="C20" s="6" t="str">
        <f aca="false">IFERROR(INDEX(Participants!$B$2:$B$21,MATCH(A20,Participants!$A$2:$A$21,0)),"")</f>
        <v>Paper condition</v>
      </c>
      <c r="D20" s="6" t="str">
        <f aca="false">IF(C20="Tool condition","Tool",IF(C20="Paper condition","Paper",""))</f>
        <v>Paper</v>
      </c>
      <c r="E20" s="6" t="n">
        <f aca="false">IF(COUNTIFS(Tasks!$A$2:$A$13,E$4,Tasks!$F$2:$F$13,"Yes")=0,"",IF(Reasoning!E20="","",Reasoning!E20))</f>
        <v>1</v>
      </c>
      <c r="F20" s="6" t="n">
        <f aca="false">IF(COUNTIFS(Tasks!$A$2:$A$13,F$4,Tasks!$F$2:$F$13,"Yes")=0,"",IF(Reasoning!F20="","",Reasoning!F20))</f>
        <v>0</v>
      </c>
      <c r="G20" s="6" t="str">
        <f aca="false">IF(COUNTIFS(Tasks!$A$2:$A$13,G$4,Tasks!$F$2:$F$13,"Yes")=0,"",IF(Reasoning!G20="","",Reasoning!G20))</f>
        <v/>
      </c>
      <c r="H20" s="6" t="str">
        <f aca="false">IF(COUNTIFS(Tasks!$A$2:$A$13,H$4,Tasks!$F$2:$F$13,"Yes")=0,"",IF(Reasoning!H20="","",Reasoning!H20))</f>
        <v/>
      </c>
      <c r="I20" s="6" t="n">
        <f aca="false">IF(COUNTIFS(Tasks!$A$2:$A$13,I$4,Tasks!$F$2:$F$13,"Yes")=0,"",IF(Reasoning!I20="","",Reasoning!I20))</f>
        <v>0</v>
      </c>
      <c r="J20" s="6" t="n">
        <f aca="false">IF(COUNTIFS(Tasks!$A$2:$A$13,J$4,Tasks!$F$2:$F$13,"Yes")=0,"",IF(Reasoning!J20="","",Reasoning!J20))</f>
        <v>0</v>
      </c>
      <c r="K20" s="6" t="str">
        <f aca="false">IF(COUNTIFS(Tasks!$A$2:$A$13,K$4,Tasks!$F$2:$F$13,"Yes")=0,"",IF(Reasoning!K20="","",Reasoning!K20))</f>
        <v/>
      </c>
      <c r="L20" s="6" t="str">
        <f aca="false">IF(COUNTIFS(Tasks!$A$2:$A$13,L$4,Tasks!$F$2:$F$13,"Yes")=0,"",IF(Reasoning!L20="","",Reasoning!L20))</f>
        <v/>
      </c>
      <c r="M20" s="6" t="str">
        <f aca="false">IF(COUNTIFS(Tasks!$A$2:$A$13,M$4,Tasks!$F$2:$F$13,"Yes")=0,"",IF(Reasoning!M20="","",Reasoning!M20))</f>
        <v/>
      </c>
      <c r="N20" s="6" t="n">
        <f aca="false">IF(COUNTIFS(Tasks!$A$2:$A$13,N$4,Tasks!$F$2:$F$13,"Yes")=0,"",IF(Reasoning!N20="","",Reasoning!N20))</f>
        <v>1</v>
      </c>
      <c r="O20" s="6" t="n">
        <f aca="false">IF(COUNTIFS(Tasks!$A$2:$A$13,O$4,Tasks!$F$2:$F$13,"Yes")=0,"",IF(Reasoning!O20="","",Reasoning!O20))</f>
        <v>1</v>
      </c>
      <c r="P20" s="6" t="n">
        <f aca="false">IF(COUNTIFS(Tasks!$A$2:$A$13,P$4,Tasks!$F$2:$F$13,"Yes")=0,"",IF(Reasoning!P20="","",Reasoning!P20))</f>
        <v>0</v>
      </c>
      <c r="Q20" s="6" t="n">
        <f aca="false">IF(COUNT(E20:P20)=0,"",SUM(E20:P20))</f>
        <v>3</v>
      </c>
      <c r="R20" s="6" t="n">
        <f aca="false">IF(AND(Scores!Q20="",Q20=""),"",N(Scores!Q20)+N(Q20))</f>
        <v>22</v>
      </c>
    </row>
    <row r="21" customFormat="false" ht="14.25" hidden="false" customHeight="true" outlineLevel="0" collapsed="false">
      <c r="A21" s="6" t="s">
        <v>139</v>
      </c>
      <c r="B21" s="6" t="n">
        <v>1</v>
      </c>
      <c r="C21" s="6" t="str">
        <f aca="false">IFERROR(INDEX(Participants!$B$2:$B$21,MATCH(A21,Participants!$A$2:$A$21,0)),"")</f>
        <v>Paper condition</v>
      </c>
      <c r="D21" s="6" t="str">
        <f aca="false">IF(C21="Tool condition","Tool",IF(C21="Paper condition","Paper",""))</f>
        <v>Paper</v>
      </c>
      <c r="E21" s="6" t="n">
        <f aca="false">IF(COUNTIFS(Tasks!$A$2:$A$13,E$4,Tasks!$F$2:$F$13,"Yes")=0,"",IF(Reasoning!E21="","",Reasoning!E21))</f>
        <v>0</v>
      </c>
      <c r="F21" s="6" t="n">
        <f aca="false">IF(COUNTIFS(Tasks!$A$2:$A$13,F$4,Tasks!$F$2:$F$13,"Yes")=0,"",IF(Reasoning!F21="","",Reasoning!F21))</f>
        <v>0</v>
      </c>
      <c r="G21" s="6" t="str">
        <f aca="false">IF(COUNTIFS(Tasks!$A$2:$A$13,G$4,Tasks!$F$2:$F$13,"Yes")=0,"",IF(Reasoning!G21="","",Reasoning!G21))</f>
        <v/>
      </c>
      <c r="H21" s="6" t="str">
        <f aca="false">IF(COUNTIFS(Tasks!$A$2:$A$13,H$4,Tasks!$F$2:$F$13,"Yes")=0,"",IF(Reasoning!H21="","",Reasoning!H21))</f>
        <v/>
      </c>
      <c r="I21" s="6" t="n">
        <f aca="false">IF(COUNTIFS(Tasks!$A$2:$A$13,I$4,Tasks!$F$2:$F$13,"Yes")=0,"",IF(Reasoning!I21="","",Reasoning!I21))</f>
        <v>0</v>
      </c>
      <c r="J21" s="6" t="n">
        <f aca="false">IF(COUNTIFS(Tasks!$A$2:$A$13,J$4,Tasks!$F$2:$F$13,"Yes")=0,"",IF(Reasoning!J21="","",Reasoning!J21))</f>
        <v>0</v>
      </c>
      <c r="K21" s="6" t="str">
        <f aca="false">IF(COUNTIFS(Tasks!$A$2:$A$13,K$4,Tasks!$F$2:$F$13,"Yes")=0,"",IF(Reasoning!K21="","",Reasoning!K21))</f>
        <v/>
      </c>
      <c r="L21" s="6" t="str">
        <f aca="false">IF(COUNTIFS(Tasks!$A$2:$A$13,L$4,Tasks!$F$2:$F$13,"Yes")=0,"",IF(Reasoning!L21="","",Reasoning!L21))</f>
        <v/>
      </c>
      <c r="M21" s="6" t="str">
        <f aca="false">IF(COUNTIFS(Tasks!$A$2:$A$13,M$4,Tasks!$F$2:$F$13,"Yes")=0,"",IF(Reasoning!M21="","",Reasoning!M21))</f>
        <v/>
      </c>
      <c r="N21" s="6" t="n">
        <f aca="false">IF(COUNTIFS(Tasks!$A$2:$A$13,N$4,Tasks!$F$2:$F$13,"Yes")=0,"",IF(Reasoning!N21="","",Reasoning!N21))</f>
        <v>0</v>
      </c>
      <c r="O21" s="6" t="n">
        <f aca="false">IF(COUNTIFS(Tasks!$A$2:$A$13,O$4,Tasks!$F$2:$F$13,"Yes")=0,"",IF(Reasoning!O21="","",Reasoning!O21))</f>
        <v>0</v>
      </c>
      <c r="P21" s="6" t="n">
        <f aca="false">IF(COUNTIFS(Tasks!$A$2:$A$13,P$4,Tasks!$F$2:$F$13,"Yes")=0,"",IF(Reasoning!P21="","",Reasoning!P21))</f>
        <v>0</v>
      </c>
      <c r="Q21" s="6" t="n">
        <f aca="false">IF(COUNT(E21:P21)=0,"",SUM(E21:P21))</f>
        <v>0</v>
      </c>
      <c r="R21" s="6" t="n">
        <f aca="false">IF(AND(Scores!Q21="",Q21=""),"",N(Scores!Q21)+N(Q21))</f>
        <v>10</v>
      </c>
    </row>
    <row r="22" customFormat="false" ht="14.25" hidden="false" customHeight="true" outlineLevel="0" collapsed="false">
      <c r="A22" s="6" t="s">
        <v>140</v>
      </c>
      <c r="B22" s="6" t="n">
        <v>1</v>
      </c>
      <c r="C22" s="6" t="str">
        <f aca="false">IFERROR(INDEX(Participants!$B$2:$B$21,MATCH(A22,Participants!$A$2:$A$21,0)),"")</f>
        <v>Paper condition</v>
      </c>
      <c r="D22" s="6" t="str">
        <f aca="false">IF(C22="Tool condition","Tool",IF(C22="Paper condition","Paper",""))</f>
        <v>Paper</v>
      </c>
      <c r="E22" s="6" t="n">
        <f aca="false">IF(COUNTIFS(Tasks!$A$2:$A$13,E$4,Tasks!$F$2:$F$13,"Yes")=0,"",IF(Reasoning!E22="","",Reasoning!E22))</f>
        <v>1</v>
      </c>
      <c r="F22" s="6" t="n">
        <f aca="false">IF(COUNTIFS(Tasks!$A$2:$A$13,F$4,Tasks!$F$2:$F$13,"Yes")=0,"",IF(Reasoning!F22="","",Reasoning!F22))</f>
        <v>1</v>
      </c>
      <c r="G22" s="6" t="str">
        <f aca="false">IF(COUNTIFS(Tasks!$A$2:$A$13,G$4,Tasks!$F$2:$F$13,"Yes")=0,"",IF(Reasoning!G22="","",Reasoning!G22))</f>
        <v/>
      </c>
      <c r="H22" s="6" t="str">
        <f aca="false">IF(COUNTIFS(Tasks!$A$2:$A$13,H$4,Tasks!$F$2:$F$13,"Yes")=0,"",IF(Reasoning!H22="","",Reasoning!H22))</f>
        <v/>
      </c>
      <c r="I22" s="6" t="n">
        <f aca="false">IF(COUNTIFS(Tasks!$A$2:$A$13,I$4,Tasks!$F$2:$F$13,"Yes")=0,"",IF(Reasoning!I22="","",Reasoning!I22))</f>
        <v>1</v>
      </c>
      <c r="J22" s="6" t="n">
        <f aca="false">IF(COUNTIFS(Tasks!$A$2:$A$13,J$4,Tasks!$F$2:$F$13,"Yes")=0,"",IF(Reasoning!J22="","",Reasoning!J22))</f>
        <v>1</v>
      </c>
      <c r="K22" s="6" t="str">
        <f aca="false">IF(COUNTIFS(Tasks!$A$2:$A$13,K$4,Tasks!$F$2:$F$13,"Yes")=0,"",IF(Reasoning!K22="","",Reasoning!K22))</f>
        <v/>
      </c>
      <c r="L22" s="6" t="str">
        <f aca="false">IF(COUNTIFS(Tasks!$A$2:$A$13,L$4,Tasks!$F$2:$F$13,"Yes")=0,"",IF(Reasoning!L22="","",Reasoning!L22))</f>
        <v/>
      </c>
      <c r="M22" s="6" t="str">
        <f aca="false">IF(COUNTIFS(Tasks!$A$2:$A$13,M$4,Tasks!$F$2:$F$13,"Yes")=0,"",IF(Reasoning!M22="","",Reasoning!M22))</f>
        <v/>
      </c>
      <c r="N22" s="6" t="n">
        <f aca="false">IF(COUNTIFS(Tasks!$A$2:$A$13,N$4,Tasks!$F$2:$F$13,"Yes")=0,"",IF(Reasoning!N22="","",Reasoning!N22))</f>
        <v>1</v>
      </c>
      <c r="O22" s="6" t="n">
        <f aca="false">IF(COUNTIFS(Tasks!$A$2:$A$13,O$4,Tasks!$F$2:$F$13,"Yes")=0,"",IF(Reasoning!O22="","",Reasoning!O22))</f>
        <v>1</v>
      </c>
      <c r="P22" s="6" t="n">
        <f aca="false">IF(COUNTIFS(Tasks!$A$2:$A$13,P$4,Tasks!$F$2:$F$13,"Yes")=0,"",IF(Reasoning!P22="","",Reasoning!P22))</f>
        <v>0</v>
      </c>
      <c r="Q22" s="6" t="n">
        <f aca="false">IF(COUNT(E22:P22)=0,"",SUM(E22:P22))</f>
        <v>6</v>
      </c>
      <c r="R22" s="6" t="n">
        <f aca="false">IF(AND(Scores!Q22="",Q22=""),"",N(Scores!Q22)+N(Q22))</f>
        <v>29</v>
      </c>
    </row>
    <row r="23" customFormat="false" ht="14.25" hidden="false" customHeight="true" outlineLevel="0" collapsed="false">
      <c r="A23" s="6" t="s">
        <v>141</v>
      </c>
      <c r="B23" s="6" t="n">
        <v>1</v>
      </c>
      <c r="C23" s="6" t="str">
        <f aca="false">IFERROR(INDEX(Participants!$B$2:$B$21,MATCH(A23,Participants!$A$2:$A$21,0)),"")</f>
        <v>Paper condition</v>
      </c>
      <c r="D23" s="6" t="str">
        <f aca="false">IF(C23="Tool condition","Tool",IF(C23="Paper condition","Paper",""))</f>
        <v>Paper</v>
      </c>
      <c r="E23" s="6" t="n">
        <f aca="false">IF(COUNTIFS(Tasks!$A$2:$A$13,E$4,Tasks!$F$2:$F$13,"Yes")=0,"",IF(Reasoning!E23="","",Reasoning!E23))</f>
        <v>0</v>
      </c>
      <c r="F23" s="6" t="n">
        <f aca="false">IF(COUNTIFS(Tasks!$A$2:$A$13,F$4,Tasks!$F$2:$F$13,"Yes")=0,"",IF(Reasoning!F23="","",Reasoning!F23))</f>
        <v>1</v>
      </c>
      <c r="G23" s="6" t="str">
        <f aca="false">IF(COUNTIFS(Tasks!$A$2:$A$13,G$4,Tasks!$F$2:$F$13,"Yes")=0,"",IF(Reasoning!G23="","",Reasoning!G23))</f>
        <v/>
      </c>
      <c r="H23" s="6" t="str">
        <f aca="false">IF(COUNTIFS(Tasks!$A$2:$A$13,H$4,Tasks!$F$2:$F$13,"Yes")=0,"",IF(Reasoning!H23="","",Reasoning!H23))</f>
        <v/>
      </c>
      <c r="I23" s="6" t="n">
        <f aca="false">IF(COUNTIFS(Tasks!$A$2:$A$13,I$4,Tasks!$F$2:$F$13,"Yes")=0,"",IF(Reasoning!I23="","",Reasoning!I23))</f>
        <v>0</v>
      </c>
      <c r="J23" s="6" t="n">
        <f aca="false">IF(COUNTIFS(Tasks!$A$2:$A$13,J$4,Tasks!$F$2:$F$13,"Yes")=0,"",IF(Reasoning!J23="","",Reasoning!J23))</f>
        <v>0</v>
      </c>
      <c r="K23" s="6" t="str">
        <f aca="false">IF(COUNTIFS(Tasks!$A$2:$A$13,K$4,Tasks!$F$2:$F$13,"Yes")=0,"",IF(Reasoning!K23="","",Reasoning!K23))</f>
        <v/>
      </c>
      <c r="L23" s="6" t="str">
        <f aca="false">IF(COUNTIFS(Tasks!$A$2:$A$13,L$4,Tasks!$F$2:$F$13,"Yes")=0,"",IF(Reasoning!L23="","",Reasoning!L23))</f>
        <v/>
      </c>
      <c r="M23" s="6" t="str">
        <f aca="false">IF(COUNTIFS(Tasks!$A$2:$A$13,M$4,Tasks!$F$2:$F$13,"Yes")=0,"",IF(Reasoning!M23="","",Reasoning!M23))</f>
        <v/>
      </c>
      <c r="N23" s="6" t="n">
        <f aca="false">IF(COUNTIFS(Tasks!$A$2:$A$13,N$4,Tasks!$F$2:$F$13,"Yes")=0,"",IF(Reasoning!N23="","",Reasoning!N23))</f>
        <v>0</v>
      </c>
      <c r="O23" s="6" t="n">
        <f aca="false">IF(COUNTIFS(Tasks!$A$2:$A$13,O$4,Tasks!$F$2:$F$13,"Yes")=0,"",IF(Reasoning!O23="","",Reasoning!O23))</f>
        <v>0</v>
      </c>
      <c r="P23" s="6" t="n">
        <f aca="false">IF(COUNTIFS(Tasks!$A$2:$A$13,P$4,Tasks!$F$2:$F$13,"Yes")=0,"",IF(Reasoning!P23="","",Reasoning!P23))</f>
        <v>0</v>
      </c>
      <c r="Q23" s="6" t="n">
        <f aca="false">IF(COUNT(E23:P23)=0,"",SUM(E23:P23))</f>
        <v>1</v>
      </c>
      <c r="R23" s="6" t="n">
        <f aca="false">IF(AND(Scores!Q23="",Q23=""),"",N(Scores!Q23)+N(Q23))</f>
        <v>13</v>
      </c>
    </row>
    <row r="24" customFormat="false" ht="14.25" hidden="false" customHeight="true" outlineLevel="0" collapsed="false">
      <c r="A24" s="6" t="s">
        <v>142</v>
      </c>
      <c r="B24" s="6" t="n">
        <v>1</v>
      </c>
      <c r="C24" s="6" t="str">
        <f aca="false">IFERROR(INDEX(Participants!$B$2:$B$21,MATCH(A24,Participants!$A$2:$A$21,0)),"")</f>
        <v>Paper condition</v>
      </c>
      <c r="D24" s="6" t="str">
        <f aca="false">IF(C24="Tool condition","Tool",IF(C24="Paper condition","Paper",""))</f>
        <v>Paper</v>
      </c>
      <c r="E24" s="6" t="n">
        <f aca="false">IF(COUNTIFS(Tasks!$A$2:$A$13,E$4,Tasks!$F$2:$F$13,"Yes")=0,"",IF(Reasoning!E24="","",Reasoning!E24))</f>
        <v>1</v>
      </c>
      <c r="F24" s="6" t="n">
        <f aca="false">IF(COUNTIFS(Tasks!$A$2:$A$13,F$4,Tasks!$F$2:$F$13,"Yes")=0,"",IF(Reasoning!F24="","",Reasoning!F24))</f>
        <v>1</v>
      </c>
      <c r="G24" s="6" t="str">
        <f aca="false">IF(COUNTIFS(Tasks!$A$2:$A$13,G$4,Tasks!$F$2:$F$13,"Yes")=0,"",IF(Reasoning!G24="","",Reasoning!G24))</f>
        <v/>
      </c>
      <c r="H24" s="6" t="str">
        <f aca="false">IF(COUNTIFS(Tasks!$A$2:$A$13,H$4,Tasks!$F$2:$F$13,"Yes")=0,"",IF(Reasoning!H24="","",Reasoning!H24))</f>
        <v/>
      </c>
      <c r="I24" s="6" t="n">
        <f aca="false">IF(COUNTIFS(Tasks!$A$2:$A$13,I$4,Tasks!$F$2:$F$13,"Yes")=0,"",IF(Reasoning!I24="","",Reasoning!I24))</f>
        <v>1</v>
      </c>
      <c r="J24" s="6" t="n">
        <f aca="false">IF(COUNTIFS(Tasks!$A$2:$A$13,J$4,Tasks!$F$2:$F$13,"Yes")=0,"",IF(Reasoning!J24="","",Reasoning!J24))</f>
        <v>1</v>
      </c>
      <c r="K24" s="6" t="str">
        <f aca="false">IF(COUNTIFS(Tasks!$A$2:$A$13,K$4,Tasks!$F$2:$F$13,"Yes")=0,"",IF(Reasoning!K24="","",Reasoning!K24))</f>
        <v/>
      </c>
      <c r="L24" s="6" t="str">
        <f aca="false">IF(COUNTIFS(Tasks!$A$2:$A$13,L$4,Tasks!$F$2:$F$13,"Yes")=0,"",IF(Reasoning!L24="","",Reasoning!L24))</f>
        <v/>
      </c>
      <c r="M24" s="6" t="str">
        <f aca="false">IF(COUNTIFS(Tasks!$A$2:$A$13,M$4,Tasks!$F$2:$F$13,"Yes")=0,"",IF(Reasoning!M24="","",Reasoning!M24))</f>
        <v/>
      </c>
      <c r="N24" s="6" t="n">
        <f aca="false">IF(COUNTIFS(Tasks!$A$2:$A$13,N$4,Tasks!$F$2:$F$13,"Yes")=0,"",IF(Reasoning!N24="","",Reasoning!N24))</f>
        <v>0</v>
      </c>
      <c r="O24" s="6" t="n">
        <f aca="false">IF(COUNTIFS(Tasks!$A$2:$A$13,O$4,Tasks!$F$2:$F$13,"Yes")=0,"",IF(Reasoning!O24="","",Reasoning!O24))</f>
        <v>1</v>
      </c>
      <c r="P24" s="6" t="n">
        <f aca="false">IF(COUNTIFS(Tasks!$A$2:$A$13,P$4,Tasks!$F$2:$F$13,"Yes")=0,"",IF(Reasoning!P24="","",Reasoning!P24))</f>
        <v>1</v>
      </c>
      <c r="Q24" s="6" t="n">
        <f aca="false">IF(COUNT(E24:P24)=0,"",SUM(E24:P24))</f>
        <v>6</v>
      </c>
      <c r="R24" s="6" t="n">
        <f aca="false">IF(AND(Scores!Q24="",Q24=""),"",N(Scores!Q24)+N(Q24))</f>
        <v>27</v>
      </c>
    </row>
    <row r="25" customFormat="false" ht="14.25" hidden="false" customHeight="true" outlineLevel="0" collapsed="false">
      <c r="A25" s="6" t="s">
        <v>121</v>
      </c>
      <c r="B25" s="6" t="n">
        <v>2</v>
      </c>
      <c r="C25" s="6" t="str">
        <f aca="false">IFERROR(INDEX(Participants!$B$2:$B$21,MATCH(A25,Participants!$A$2:$A$21,0)),"")</f>
        <v>Tool condition</v>
      </c>
      <c r="D25" s="6" t="str">
        <f aca="false">IFERROR(INDEX(Participants!$C$2:$C$21,MATCH(A25,Participants!$A$2:$A$21,0)),"")</f>
        <v>Paper</v>
      </c>
      <c r="E25" s="6" t="n">
        <f aca="false">IF(COUNTIFS(Tasks!$A$2:$A$13,E$4,Tasks!$F$2:$F$13,"Yes")=0,"",IF(Reasoning!E25="","",Reasoning!E25))</f>
        <v>1</v>
      </c>
      <c r="F25" s="6" t="n">
        <f aca="false">IF(COUNTIFS(Tasks!$A$2:$A$13,F$4,Tasks!$F$2:$F$13,"Yes")=0,"",IF(Reasoning!F25="","",Reasoning!F25))</f>
        <v>1</v>
      </c>
      <c r="G25" s="6" t="str">
        <f aca="false">IF(COUNTIFS(Tasks!$A$2:$A$13,G$4,Tasks!$F$2:$F$13,"Yes")=0,"",IF(Reasoning!G25="","",Reasoning!G25))</f>
        <v/>
      </c>
      <c r="H25" s="6" t="str">
        <f aca="false">IF(COUNTIFS(Tasks!$A$2:$A$13,H$4,Tasks!$F$2:$F$13,"Yes")=0,"",IF(Reasoning!H25="","",Reasoning!H25))</f>
        <v/>
      </c>
      <c r="I25" s="6" t="n">
        <f aca="false">IF(COUNTIFS(Tasks!$A$2:$A$13,I$4,Tasks!$F$2:$F$13,"Yes")=0,"",IF(Reasoning!I25="","",Reasoning!I25))</f>
        <v>1</v>
      </c>
      <c r="J25" s="6" t="n">
        <f aca="false">IF(COUNTIFS(Tasks!$A$2:$A$13,J$4,Tasks!$F$2:$F$13,"Yes")=0,"",IF(Reasoning!J25="","",Reasoning!J25))</f>
        <v>1</v>
      </c>
      <c r="K25" s="6" t="str">
        <f aca="false">IF(COUNTIFS(Tasks!$A$2:$A$13,K$4,Tasks!$F$2:$F$13,"Yes")=0,"",IF(Reasoning!K25="","",Reasoning!K25))</f>
        <v/>
      </c>
      <c r="L25" s="6" t="str">
        <f aca="false">IF(COUNTIFS(Tasks!$A$2:$A$13,L$4,Tasks!$F$2:$F$13,"Yes")=0,"",IF(Reasoning!L25="","",Reasoning!L25))</f>
        <v/>
      </c>
      <c r="M25" s="6" t="str">
        <f aca="false">IF(COUNTIFS(Tasks!$A$2:$A$13,M$4,Tasks!$F$2:$F$13,"Yes")=0,"",IF(Reasoning!M25="","",Reasoning!M25))</f>
        <v/>
      </c>
      <c r="N25" s="6" t="n">
        <f aca="false">IF(COUNTIFS(Tasks!$A$2:$A$13,N$4,Tasks!$F$2:$F$13,"Yes")=0,"",IF(Reasoning!N25="","",Reasoning!N25))</f>
        <v>1</v>
      </c>
      <c r="O25" s="6" t="n">
        <f aca="false">IF(COUNTIFS(Tasks!$A$2:$A$13,O$4,Tasks!$F$2:$F$13,"Yes")=0,"",IF(Reasoning!O25="","",Reasoning!O25))</f>
        <v>1</v>
      </c>
      <c r="P25" s="6" t="n">
        <f aca="false">IF(COUNTIFS(Tasks!$A$2:$A$13,P$4,Tasks!$F$2:$F$13,"Yes")=0,"",IF(Reasoning!P25="","",Reasoning!P25))</f>
        <v>1</v>
      </c>
      <c r="Q25" s="6" t="n">
        <f aca="false">IF(COUNT(E25:P25)=0,"",SUM(E25:P25))</f>
        <v>7</v>
      </c>
      <c r="R25" s="6" t="n">
        <f aca="false">IF(AND(Scores!Q25="",Q25=""),"",N(Scores!Q25)+N(Q25))</f>
        <v>25</v>
      </c>
    </row>
    <row r="26" customFormat="false" ht="14.25" hidden="false" customHeight="true" outlineLevel="0" collapsed="false">
      <c r="A26" s="6" t="s">
        <v>124</v>
      </c>
      <c r="B26" s="6" t="n">
        <v>2</v>
      </c>
      <c r="C26" s="6" t="str">
        <f aca="false">IFERROR(INDEX(Participants!$B$2:$B$21,MATCH(A26,Participants!$A$2:$A$21,0)),"")</f>
        <v>Tool condition</v>
      </c>
      <c r="D26" s="6" t="str">
        <f aca="false">IFERROR(INDEX(Participants!$C$2:$C$21,MATCH(A26,Participants!$A$2:$A$21,0)),"")</f>
        <v>Paper</v>
      </c>
      <c r="E26" s="6" t="n">
        <f aca="false">IF(COUNTIFS(Tasks!$A$2:$A$13,E$4,Tasks!$F$2:$F$13,"Yes")=0,"",IF(Reasoning!E26="","",Reasoning!E26))</f>
        <v>1</v>
      </c>
      <c r="F26" s="6" t="n">
        <f aca="false">IF(COUNTIFS(Tasks!$A$2:$A$13,F$4,Tasks!$F$2:$F$13,"Yes")=0,"",IF(Reasoning!F26="","",Reasoning!F26))</f>
        <v>1</v>
      </c>
      <c r="G26" s="6" t="str">
        <f aca="false">IF(COUNTIFS(Tasks!$A$2:$A$13,G$4,Tasks!$F$2:$F$13,"Yes")=0,"",IF(Reasoning!G26="","",Reasoning!G26))</f>
        <v/>
      </c>
      <c r="H26" s="6" t="str">
        <f aca="false">IF(COUNTIFS(Tasks!$A$2:$A$13,H$4,Tasks!$F$2:$F$13,"Yes")=0,"",IF(Reasoning!H26="","",Reasoning!H26))</f>
        <v/>
      </c>
      <c r="I26" s="6" t="n">
        <f aca="false">IF(COUNTIFS(Tasks!$A$2:$A$13,I$4,Tasks!$F$2:$F$13,"Yes")=0,"",IF(Reasoning!I26="","",Reasoning!I26))</f>
        <v>1</v>
      </c>
      <c r="J26" s="6" t="n">
        <f aca="false">IF(COUNTIFS(Tasks!$A$2:$A$13,J$4,Tasks!$F$2:$F$13,"Yes")=0,"",IF(Reasoning!J26="","",Reasoning!J26))</f>
        <v>0</v>
      </c>
      <c r="K26" s="6" t="str">
        <f aca="false">IF(COUNTIFS(Tasks!$A$2:$A$13,K$4,Tasks!$F$2:$F$13,"Yes")=0,"",IF(Reasoning!K26="","",Reasoning!K26))</f>
        <v/>
      </c>
      <c r="L26" s="6" t="str">
        <f aca="false">IF(COUNTIFS(Tasks!$A$2:$A$13,L$4,Tasks!$F$2:$F$13,"Yes")=0,"",IF(Reasoning!L26="","",Reasoning!L26))</f>
        <v/>
      </c>
      <c r="M26" s="6" t="str">
        <f aca="false">IF(COUNTIFS(Tasks!$A$2:$A$13,M$4,Tasks!$F$2:$F$13,"Yes")=0,"",IF(Reasoning!M26="","",Reasoning!M26))</f>
        <v/>
      </c>
      <c r="N26" s="6" t="n">
        <f aca="false">IF(COUNTIFS(Tasks!$A$2:$A$13,N$4,Tasks!$F$2:$F$13,"Yes")=0,"",IF(Reasoning!N26="","",Reasoning!N26))</f>
        <v>1</v>
      </c>
      <c r="O26" s="6" t="n">
        <f aca="false">IF(COUNTIFS(Tasks!$A$2:$A$13,O$4,Tasks!$F$2:$F$13,"Yes")=0,"",IF(Reasoning!O26="","",Reasoning!O26))</f>
        <v>1</v>
      </c>
      <c r="P26" s="6" t="n">
        <f aca="false">IF(COUNTIFS(Tasks!$A$2:$A$13,P$4,Tasks!$F$2:$F$13,"Yes")=0,"",IF(Reasoning!P26="","",Reasoning!P26))</f>
        <v>0</v>
      </c>
      <c r="Q26" s="6" t="n">
        <f aca="false">IF(COUNT(E26:P26)=0,"",SUM(E26:P26))</f>
        <v>5</v>
      </c>
      <c r="R26" s="6" t="n">
        <f aca="false">IF(AND(Scores!Q26="",Q26=""),"",N(Scores!Q26)+N(Q26))</f>
        <v>24</v>
      </c>
    </row>
    <row r="27" customFormat="false" ht="14.25" hidden="false" customHeight="true" outlineLevel="0" collapsed="false">
      <c r="A27" s="6" t="s">
        <v>125</v>
      </c>
      <c r="B27" s="6" t="n">
        <v>2</v>
      </c>
      <c r="C27" s="6" t="str">
        <f aca="false">IFERROR(INDEX(Participants!$B$2:$B$21,MATCH(A27,Participants!$A$2:$A$21,0)),"")</f>
        <v>Tool condition</v>
      </c>
      <c r="D27" s="6" t="str">
        <f aca="false">IFERROR(INDEX(Participants!$C$2:$C$21,MATCH(A27,Participants!$A$2:$A$21,0)),"")</f>
        <v>Paper</v>
      </c>
      <c r="E27" s="6" t="n">
        <f aca="false">IF(COUNTIFS(Tasks!$A$2:$A$13,E$4,Tasks!$F$2:$F$13,"Yes")=0,"",IF(Reasoning!E27="","",Reasoning!E27))</f>
        <v>1</v>
      </c>
      <c r="F27" s="6" t="n">
        <f aca="false">IF(COUNTIFS(Tasks!$A$2:$A$13,F$4,Tasks!$F$2:$F$13,"Yes")=0,"",IF(Reasoning!F27="","",Reasoning!F27))</f>
        <v>0</v>
      </c>
      <c r="G27" s="6" t="str">
        <f aca="false">IF(COUNTIFS(Tasks!$A$2:$A$13,G$4,Tasks!$F$2:$F$13,"Yes")=0,"",IF(Reasoning!G27="","",Reasoning!G27))</f>
        <v/>
      </c>
      <c r="H27" s="6" t="str">
        <f aca="false">IF(COUNTIFS(Tasks!$A$2:$A$13,H$4,Tasks!$F$2:$F$13,"Yes")=0,"",IF(Reasoning!H27="","",Reasoning!H27))</f>
        <v/>
      </c>
      <c r="I27" s="6" t="n">
        <f aca="false">IF(COUNTIFS(Tasks!$A$2:$A$13,I$4,Tasks!$F$2:$F$13,"Yes")=0,"",IF(Reasoning!I27="","",Reasoning!I27))</f>
        <v>0</v>
      </c>
      <c r="J27" s="6" t="n">
        <f aca="false">IF(COUNTIFS(Tasks!$A$2:$A$13,J$4,Tasks!$F$2:$F$13,"Yes")=0,"",IF(Reasoning!J27="","",Reasoning!J27))</f>
        <v>1</v>
      </c>
      <c r="K27" s="6" t="str">
        <f aca="false">IF(COUNTIFS(Tasks!$A$2:$A$13,K$4,Tasks!$F$2:$F$13,"Yes")=0,"",IF(Reasoning!K27="","",Reasoning!K27))</f>
        <v/>
      </c>
      <c r="L27" s="6" t="str">
        <f aca="false">IF(COUNTIFS(Tasks!$A$2:$A$13,L$4,Tasks!$F$2:$F$13,"Yes")=0,"",IF(Reasoning!L27="","",Reasoning!L27))</f>
        <v/>
      </c>
      <c r="M27" s="6" t="str">
        <f aca="false">IF(COUNTIFS(Tasks!$A$2:$A$13,M$4,Tasks!$F$2:$F$13,"Yes")=0,"",IF(Reasoning!M27="","",Reasoning!M27))</f>
        <v/>
      </c>
      <c r="N27" s="6" t="n">
        <f aca="false">IF(COUNTIFS(Tasks!$A$2:$A$13,N$4,Tasks!$F$2:$F$13,"Yes")=0,"",IF(Reasoning!N27="","",Reasoning!N27))</f>
        <v>1</v>
      </c>
      <c r="O27" s="6" t="n">
        <f aca="false">IF(COUNTIFS(Tasks!$A$2:$A$13,O$4,Tasks!$F$2:$F$13,"Yes")=0,"",IF(Reasoning!O27="","",Reasoning!O27))</f>
        <v>1</v>
      </c>
      <c r="P27" s="6" t="n">
        <f aca="false">IF(COUNTIFS(Tasks!$A$2:$A$13,P$4,Tasks!$F$2:$F$13,"Yes")=0,"",IF(Reasoning!P27="","",Reasoning!P27))</f>
        <v>1</v>
      </c>
      <c r="Q27" s="6" t="n">
        <f aca="false">IF(COUNT(E27:P27)=0,"",SUM(E27:P27))</f>
        <v>5</v>
      </c>
      <c r="R27" s="6" t="n">
        <f aca="false">IF(AND(Scores!Q27="",Q27=""),"",N(Scores!Q27)+N(Q27))</f>
        <v>22</v>
      </c>
    </row>
    <row r="28" customFormat="false" ht="14.25" hidden="false" customHeight="true" outlineLevel="0" collapsed="false">
      <c r="A28" s="6" t="s">
        <v>126</v>
      </c>
      <c r="B28" s="6" t="n">
        <v>2</v>
      </c>
      <c r="C28" s="6" t="str">
        <f aca="false">IFERROR(INDEX(Participants!$B$2:$B$21,MATCH(A28,Participants!$A$2:$A$21,0)),"")</f>
        <v>Tool condition</v>
      </c>
      <c r="D28" s="6" t="str">
        <f aca="false">IFERROR(INDEX(Participants!$C$2:$C$21,MATCH(A28,Participants!$A$2:$A$21,0)),"")</f>
        <v>Paper</v>
      </c>
      <c r="E28" s="6" t="n">
        <f aca="false">IF(COUNTIFS(Tasks!$A$2:$A$13,E$4,Tasks!$F$2:$F$13,"Yes")=0,"",IF(Reasoning!E28="","",Reasoning!E28))</f>
        <v>1</v>
      </c>
      <c r="F28" s="6" t="n">
        <f aca="false">IF(COUNTIFS(Tasks!$A$2:$A$13,F$4,Tasks!$F$2:$F$13,"Yes")=0,"",IF(Reasoning!F28="","",Reasoning!F28))</f>
        <v>1</v>
      </c>
      <c r="G28" s="6" t="str">
        <f aca="false">IF(COUNTIFS(Tasks!$A$2:$A$13,G$4,Tasks!$F$2:$F$13,"Yes")=0,"",IF(Reasoning!G28="","",Reasoning!G28))</f>
        <v/>
      </c>
      <c r="H28" s="6" t="str">
        <f aca="false">IF(COUNTIFS(Tasks!$A$2:$A$13,H$4,Tasks!$F$2:$F$13,"Yes")=0,"",IF(Reasoning!H28="","",Reasoning!H28))</f>
        <v/>
      </c>
      <c r="I28" s="6" t="n">
        <f aca="false">IF(COUNTIFS(Tasks!$A$2:$A$13,I$4,Tasks!$F$2:$F$13,"Yes")=0,"",IF(Reasoning!I28="","",Reasoning!I28))</f>
        <v>1</v>
      </c>
      <c r="J28" s="6" t="n">
        <f aca="false">IF(COUNTIFS(Tasks!$A$2:$A$13,J$4,Tasks!$F$2:$F$13,"Yes")=0,"",IF(Reasoning!J28="","",Reasoning!J28))</f>
        <v>1</v>
      </c>
      <c r="K28" s="6" t="str">
        <f aca="false">IF(COUNTIFS(Tasks!$A$2:$A$13,K$4,Tasks!$F$2:$F$13,"Yes")=0,"",IF(Reasoning!K28="","",Reasoning!K28))</f>
        <v/>
      </c>
      <c r="L28" s="6" t="str">
        <f aca="false">IF(COUNTIFS(Tasks!$A$2:$A$13,L$4,Tasks!$F$2:$F$13,"Yes")=0,"",IF(Reasoning!L28="","",Reasoning!L28))</f>
        <v/>
      </c>
      <c r="M28" s="6" t="str">
        <f aca="false">IF(COUNTIFS(Tasks!$A$2:$A$13,M$4,Tasks!$F$2:$F$13,"Yes")=0,"",IF(Reasoning!M28="","",Reasoning!M28))</f>
        <v/>
      </c>
      <c r="N28" s="6" t="n">
        <f aca="false">IF(COUNTIFS(Tasks!$A$2:$A$13,N$4,Tasks!$F$2:$F$13,"Yes")=0,"",IF(Reasoning!N28="","",Reasoning!N28))</f>
        <v>0</v>
      </c>
      <c r="O28" s="6" t="n">
        <f aca="false">IF(COUNTIFS(Tasks!$A$2:$A$13,O$4,Tasks!$F$2:$F$13,"Yes")=0,"",IF(Reasoning!O28="","",Reasoning!O28))</f>
        <v>1</v>
      </c>
      <c r="P28" s="6" t="n">
        <f aca="false">IF(COUNTIFS(Tasks!$A$2:$A$13,P$4,Tasks!$F$2:$F$13,"Yes")=0,"",IF(Reasoning!P28="","",Reasoning!P28))</f>
        <v>0</v>
      </c>
      <c r="Q28" s="6" t="n">
        <f aca="false">IF(COUNT(E28:P28)=0,"",SUM(E28:P28))</f>
        <v>5</v>
      </c>
      <c r="R28" s="6" t="n">
        <f aca="false">IF(AND(Scores!Q28="",Q28=""),"",N(Scores!Q28)+N(Q28))</f>
        <v>22</v>
      </c>
    </row>
    <row r="29" customFormat="false" ht="14.25" hidden="false" customHeight="true" outlineLevel="0" collapsed="false">
      <c r="A29" s="6" t="s">
        <v>127</v>
      </c>
      <c r="B29" s="6" t="n">
        <v>2</v>
      </c>
      <c r="C29" s="6" t="str">
        <f aca="false">IFERROR(INDEX(Participants!$B$2:$B$21,MATCH(A29,Participants!$A$2:$A$21,0)),"")</f>
        <v>Tool condition</v>
      </c>
      <c r="D29" s="6" t="str">
        <f aca="false">IFERROR(INDEX(Participants!$C$2:$C$21,MATCH(A29,Participants!$A$2:$A$21,0)),"")</f>
        <v>Paper</v>
      </c>
      <c r="E29" s="6" t="n">
        <f aca="false">IF(COUNTIFS(Tasks!$A$2:$A$13,E$4,Tasks!$F$2:$F$13,"Yes")=0,"",IF(Reasoning!E29="","",Reasoning!E29))</f>
        <v>1</v>
      </c>
      <c r="F29" s="6" t="n">
        <f aca="false">IF(COUNTIFS(Tasks!$A$2:$A$13,F$4,Tasks!$F$2:$F$13,"Yes")=0,"",IF(Reasoning!F29="","",Reasoning!F29))</f>
        <v>0</v>
      </c>
      <c r="G29" s="6" t="str">
        <f aca="false">IF(COUNTIFS(Tasks!$A$2:$A$13,G$4,Tasks!$F$2:$F$13,"Yes")=0,"",IF(Reasoning!G29="","",Reasoning!G29))</f>
        <v/>
      </c>
      <c r="H29" s="6" t="str">
        <f aca="false">IF(COUNTIFS(Tasks!$A$2:$A$13,H$4,Tasks!$F$2:$F$13,"Yes")=0,"",IF(Reasoning!H29="","",Reasoning!H29))</f>
        <v/>
      </c>
      <c r="I29" s="6" t="n">
        <f aca="false">IF(COUNTIFS(Tasks!$A$2:$A$13,I$4,Tasks!$F$2:$F$13,"Yes")=0,"",IF(Reasoning!I29="","",Reasoning!I29))</f>
        <v>1</v>
      </c>
      <c r="J29" s="6" t="n">
        <f aca="false">IF(COUNTIFS(Tasks!$A$2:$A$13,J$4,Tasks!$F$2:$F$13,"Yes")=0,"",IF(Reasoning!J29="","",Reasoning!J29))</f>
        <v>1</v>
      </c>
      <c r="K29" s="6" t="str">
        <f aca="false">IF(COUNTIFS(Tasks!$A$2:$A$13,K$4,Tasks!$F$2:$F$13,"Yes")=0,"",IF(Reasoning!K29="","",Reasoning!K29))</f>
        <v/>
      </c>
      <c r="L29" s="6" t="str">
        <f aca="false">IF(COUNTIFS(Tasks!$A$2:$A$13,L$4,Tasks!$F$2:$F$13,"Yes")=0,"",IF(Reasoning!L29="","",Reasoning!L29))</f>
        <v/>
      </c>
      <c r="M29" s="6" t="str">
        <f aca="false">IF(COUNTIFS(Tasks!$A$2:$A$13,M$4,Tasks!$F$2:$F$13,"Yes")=0,"",IF(Reasoning!M29="","",Reasoning!M29))</f>
        <v/>
      </c>
      <c r="N29" s="6" t="n">
        <f aca="false">IF(COUNTIFS(Tasks!$A$2:$A$13,N$4,Tasks!$F$2:$F$13,"Yes")=0,"",IF(Reasoning!N29="","",Reasoning!N29))</f>
        <v>1</v>
      </c>
      <c r="O29" s="6" t="n">
        <f aca="false">IF(COUNTIFS(Tasks!$A$2:$A$13,O$4,Tasks!$F$2:$F$13,"Yes")=0,"",IF(Reasoning!O29="","",Reasoning!O29))</f>
        <v>0</v>
      </c>
      <c r="P29" s="6" t="n">
        <f aca="false">IF(COUNTIFS(Tasks!$A$2:$A$13,P$4,Tasks!$F$2:$F$13,"Yes")=0,"",IF(Reasoning!P29="","",Reasoning!P29))</f>
        <v>1</v>
      </c>
      <c r="Q29" s="6" t="n">
        <f aca="false">IF(COUNT(E29:P29)=0,"",SUM(E29:P29))</f>
        <v>5</v>
      </c>
      <c r="R29" s="6" t="n">
        <f aca="false">IF(AND(Scores!Q29="",Q29=""),"",N(Scores!Q29)+N(Q29))</f>
        <v>22</v>
      </c>
    </row>
    <row r="30" customFormat="false" ht="14.25" hidden="false" customHeight="true" outlineLevel="0" collapsed="false">
      <c r="A30" s="6" t="s">
        <v>128</v>
      </c>
      <c r="B30" s="6" t="n">
        <v>2</v>
      </c>
      <c r="C30" s="6" t="str">
        <f aca="false">IFERROR(INDEX(Participants!$B$2:$B$21,MATCH(A30,Participants!$A$2:$A$21,0)),"")</f>
        <v>Tool condition</v>
      </c>
      <c r="D30" s="6" t="str">
        <f aca="false">IFERROR(INDEX(Participants!$C$2:$C$21,MATCH(A30,Participants!$A$2:$A$21,0)),"")</f>
        <v>Paper</v>
      </c>
      <c r="E30" s="6" t="n">
        <f aca="false">IF(COUNTIFS(Tasks!$A$2:$A$13,E$4,Tasks!$F$2:$F$13,"Yes")=0,"",IF(Reasoning!E30="","",Reasoning!E30))</f>
        <v>0</v>
      </c>
      <c r="F30" s="6" t="n">
        <f aca="false">IF(COUNTIFS(Tasks!$A$2:$A$13,F$4,Tasks!$F$2:$F$13,"Yes")=0,"",IF(Reasoning!F30="","",Reasoning!F30))</f>
        <v>1</v>
      </c>
      <c r="G30" s="6" t="str">
        <f aca="false">IF(COUNTIFS(Tasks!$A$2:$A$13,G$4,Tasks!$F$2:$F$13,"Yes")=0,"",IF(Reasoning!G30="","",Reasoning!G30))</f>
        <v/>
      </c>
      <c r="H30" s="6" t="str">
        <f aca="false">IF(COUNTIFS(Tasks!$A$2:$A$13,H$4,Tasks!$F$2:$F$13,"Yes")=0,"",IF(Reasoning!H30="","",Reasoning!H30))</f>
        <v/>
      </c>
      <c r="I30" s="6" t="n">
        <f aca="false">IF(COUNTIFS(Tasks!$A$2:$A$13,I$4,Tasks!$F$2:$F$13,"Yes")=0,"",IF(Reasoning!I30="","",Reasoning!I30))</f>
        <v>1</v>
      </c>
      <c r="J30" s="6" t="n">
        <f aca="false">IF(COUNTIFS(Tasks!$A$2:$A$13,J$4,Tasks!$F$2:$F$13,"Yes")=0,"",IF(Reasoning!J30="","",Reasoning!J30))</f>
        <v>1</v>
      </c>
      <c r="K30" s="6" t="str">
        <f aca="false">IF(COUNTIFS(Tasks!$A$2:$A$13,K$4,Tasks!$F$2:$F$13,"Yes")=0,"",IF(Reasoning!K30="","",Reasoning!K30))</f>
        <v/>
      </c>
      <c r="L30" s="6" t="str">
        <f aca="false">IF(COUNTIFS(Tasks!$A$2:$A$13,L$4,Tasks!$F$2:$F$13,"Yes")=0,"",IF(Reasoning!L30="","",Reasoning!L30))</f>
        <v/>
      </c>
      <c r="M30" s="6" t="str">
        <f aca="false">IF(COUNTIFS(Tasks!$A$2:$A$13,M$4,Tasks!$F$2:$F$13,"Yes")=0,"",IF(Reasoning!M30="","",Reasoning!M30))</f>
        <v/>
      </c>
      <c r="N30" s="6" t="n">
        <f aca="false">IF(COUNTIFS(Tasks!$A$2:$A$13,N$4,Tasks!$F$2:$F$13,"Yes")=0,"",IF(Reasoning!N30="","",Reasoning!N30))</f>
        <v>1</v>
      </c>
      <c r="O30" s="6" t="n">
        <f aca="false">IF(COUNTIFS(Tasks!$A$2:$A$13,O$4,Tasks!$F$2:$F$13,"Yes")=0,"",IF(Reasoning!O30="","",Reasoning!O30))</f>
        <v>0</v>
      </c>
      <c r="P30" s="6" t="n">
        <f aca="false">IF(COUNTIFS(Tasks!$A$2:$A$13,P$4,Tasks!$F$2:$F$13,"Yes")=0,"",IF(Reasoning!P30="","",Reasoning!P30))</f>
        <v>1</v>
      </c>
      <c r="Q30" s="6" t="n">
        <f aca="false">IF(COUNT(E30:P30)=0,"",SUM(E30:P30))</f>
        <v>5</v>
      </c>
      <c r="R30" s="6" t="n">
        <f aca="false">IF(AND(Scores!Q30="",Q30=""),"",N(Scores!Q30)+N(Q30))</f>
        <v>23</v>
      </c>
    </row>
    <row r="31" customFormat="false" ht="14.25" hidden="false" customHeight="true" outlineLevel="0" collapsed="false">
      <c r="A31" s="6" t="s">
        <v>129</v>
      </c>
      <c r="B31" s="6" t="n">
        <v>2</v>
      </c>
      <c r="C31" s="6" t="str">
        <f aca="false">IFERROR(INDEX(Participants!$B$2:$B$21,MATCH(A31,Participants!$A$2:$A$21,0)),"")</f>
        <v>Tool condition</v>
      </c>
      <c r="D31" s="6" t="str">
        <f aca="false">IFERROR(INDEX(Participants!$C$2:$C$21,MATCH(A31,Participants!$A$2:$A$21,0)),"")</f>
        <v>Paper</v>
      </c>
      <c r="E31" s="6" t="n">
        <f aca="false">IF(COUNTIFS(Tasks!$A$2:$A$13,E$4,Tasks!$F$2:$F$13,"Yes")=0,"",IF(Reasoning!E31="","",Reasoning!E31))</f>
        <v>1</v>
      </c>
      <c r="F31" s="6" t="n">
        <f aca="false">IF(COUNTIFS(Tasks!$A$2:$A$13,F$4,Tasks!$F$2:$F$13,"Yes")=0,"",IF(Reasoning!F31="","",Reasoning!F31))</f>
        <v>1</v>
      </c>
      <c r="G31" s="6" t="str">
        <f aca="false">IF(COUNTIFS(Tasks!$A$2:$A$13,G$4,Tasks!$F$2:$F$13,"Yes")=0,"",IF(Reasoning!G31="","",Reasoning!G31))</f>
        <v/>
      </c>
      <c r="H31" s="6" t="str">
        <f aca="false">IF(COUNTIFS(Tasks!$A$2:$A$13,H$4,Tasks!$F$2:$F$13,"Yes")=0,"",IF(Reasoning!H31="","",Reasoning!H31))</f>
        <v/>
      </c>
      <c r="I31" s="6" t="n">
        <f aca="false">IF(COUNTIFS(Tasks!$A$2:$A$13,I$4,Tasks!$F$2:$F$13,"Yes")=0,"",IF(Reasoning!I31="","",Reasoning!I31))</f>
        <v>1</v>
      </c>
      <c r="J31" s="6" t="n">
        <f aca="false">IF(COUNTIFS(Tasks!$A$2:$A$13,J$4,Tasks!$F$2:$F$13,"Yes")=0,"",IF(Reasoning!J31="","",Reasoning!J31))</f>
        <v>0</v>
      </c>
      <c r="K31" s="6" t="str">
        <f aca="false">IF(COUNTIFS(Tasks!$A$2:$A$13,K$4,Tasks!$F$2:$F$13,"Yes")=0,"",IF(Reasoning!K31="","",Reasoning!K31))</f>
        <v/>
      </c>
      <c r="L31" s="6" t="str">
        <f aca="false">IF(COUNTIFS(Tasks!$A$2:$A$13,L$4,Tasks!$F$2:$F$13,"Yes")=0,"",IF(Reasoning!L31="","",Reasoning!L31))</f>
        <v/>
      </c>
      <c r="M31" s="6" t="str">
        <f aca="false">IF(COUNTIFS(Tasks!$A$2:$A$13,M$4,Tasks!$F$2:$F$13,"Yes")=0,"",IF(Reasoning!M31="","",Reasoning!M31))</f>
        <v/>
      </c>
      <c r="N31" s="6" t="n">
        <f aca="false">IF(COUNTIFS(Tasks!$A$2:$A$13,N$4,Tasks!$F$2:$F$13,"Yes")=0,"",IF(Reasoning!N31="","",Reasoning!N31))</f>
        <v>1</v>
      </c>
      <c r="O31" s="6" t="n">
        <f aca="false">IF(COUNTIFS(Tasks!$A$2:$A$13,O$4,Tasks!$F$2:$F$13,"Yes")=0,"",IF(Reasoning!O31="","",Reasoning!O31))</f>
        <v>1</v>
      </c>
      <c r="P31" s="6" t="n">
        <f aca="false">IF(COUNTIFS(Tasks!$A$2:$A$13,P$4,Tasks!$F$2:$F$13,"Yes")=0,"",IF(Reasoning!P31="","",Reasoning!P31))</f>
        <v>0</v>
      </c>
      <c r="Q31" s="6" t="n">
        <f aca="false">IF(COUNT(E31:P31)=0,"",SUM(E31:P31))</f>
        <v>5</v>
      </c>
      <c r="R31" s="6" t="n">
        <f aca="false">IF(AND(Scores!Q31="",Q31=""),"",N(Scores!Q31)+N(Q31))</f>
        <v>22</v>
      </c>
    </row>
    <row r="32" customFormat="false" ht="14.25" hidden="false" customHeight="true" outlineLevel="0" collapsed="false">
      <c r="A32" s="6" t="s">
        <v>130</v>
      </c>
      <c r="B32" s="6" t="n">
        <v>2</v>
      </c>
      <c r="C32" s="6" t="str">
        <f aca="false">IFERROR(INDEX(Participants!$B$2:$B$21,MATCH(A32,Participants!$A$2:$A$21,0)),"")</f>
        <v>Tool condition</v>
      </c>
      <c r="D32" s="6" t="str">
        <f aca="false">IFERROR(INDEX(Participants!$C$2:$C$21,MATCH(A32,Participants!$A$2:$A$21,0)),"")</f>
        <v>Paper</v>
      </c>
      <c r="E32" s="6" t="n">
        <f aca="false">IF(COUNTIFS(Tasks!$A$2:$A$13,E$4,Tasks!$F$2:$F$13,"Yes")=0,"",IF(Reasoning!E32="","",Reasoning!E32))</f>
        <v>0</v>
      </c>
      <c r="F32" s="6" t="n">
        <f aca="false">IF(COUNTIFS(Tasks!$A$2:$A$13,F$4,Tasks!$F$2:$F$13,"Yes")=0,"",IF(Reasoning!F32="","",Reasoning!F32))</f>
        <v>1</v>
      </c>
      <c r="G32" s="6" t="str">
        <f aca="false">IF(COUNTIFS(Tasks!$A$2:$A$13,G$4,Tasks!$F$2:$F$13,"Yes")=0,"",IF(Reasoning!G32="","",Reasoning!G32))</f>
        <v/>
      </c>
      <c r="H32" s="6" t="str">
        <f aca="false">IF(COUNTIFS(Tasks!$A$2:$A$13,H$4,Tasks!$F$2:$F$13,"Yes")=0,"",IF(Reasoning!H32="","",Reasoning!H32))</f>
        <v/>
      </c>
      <c r="I32" s="6" t="n">
        <f aca="false">IF(COUNTIFS(Tasks!$A$2:$A$13,I$4,Tasks!$F$2:$F$13,"Yes")=0,"",IF(Reasoning!I32="","",Reasoning!I32))</f>
        <v>1</v>
      </c>
      <c r="J32" s="6" t="n">
        <f aca="false">IF(COUNTIFS(Tasks!$A$2:$A$13,J$4,Tasks!$F$2:$F$13,"Yes")=0,"",IF(Reasoning!J32="","",Reasoning!J32))</f>
        <v>1</v>
      </c>
      <c r="K32" s="6" t="str">
        <f aca="false">IF(COUNTIFS(Tasks!$A$2:$A$13,K$4,Tasks!$F$2:$F$13,"Yes")=0,"",IF(Reasoning!K32="","",Reasoning!K32))</f>
        <v/>
      </c>
      <c r="L32" s="6" t="str">
        <f aca="false">IF(COUNTIFS(Tasks!$A$2:$A$13,L$4,Tasks!$F$2:$F$13,"Yes")=0,"",IF(Reasoning!L32="","",Reasoning!L32))</f>
        <v/>
      </c>
      <c r="M32" s="6" t="str">
        <f aca="false">IF(COUNTIFS(Tasks!$A$2:$A$13,M$4,Tasks!$F$2:$F$13,"Yes")=0,"",IF(Reasoning!M32="","",Reasoning!M32))</f>
        <v/>
      </c>
      <c r="N32" s="6" t="n">
        <f aca="false">IF(COUNTIFS(Tasks!$A$2:$A$13,N$4,Tasks!$F$2:$F$13,"Yes")=0,"",IF(Reasoning!N32="","",Reasoning!N32))</f>
        <v>1</v>
      </c>
      <c r="O32" s="6" t="n">
        <f aca="false">IF(COUNTIFS(Tasks!$A$2:$A$13,O$4,Tasks!$F$2:$F$13,"Yes")=0,"",IF(Reasoning!O32="","",Reasoning!O32))</f>
        <v>1</v>
      </c>
      <c r="P32" s="6" t="n">
        <f aca="false">IF(COUNTIFS(Tasks!$A$2:$A$13,P$4,Tasks!$F$2:$F$13,"Yes")=0,"",IF(Reasoning!P32="","",Reasoning!P32))</f>
        <v>0</v>
      </c>
      <c r="Q32" s="6" t="n">
        <f aca="false">IF(COUNT(E32:P32)=0,"",SUM(E32:P32))</f>
        <v>5</v>
      </c>
      <c r="R32" s="6" t="n">
        <f aca="false">IF(AND(Scores!Q32="",Q32=""),"",N(Scores!Q32)+N(Q32))</f>
        <v>22</v>
      </c>
    </row>
    <row r="33" customFormat="false" ht="14.25" hidden="false" customHeight="true" outlineLevel="0" collapsed="false">
      <c r="A33" s="6" t="s">
        <v>131</v>
      </c>
      <c r="B33" s="6" t="n">
        <v>2</v>
      </c>
      <c r="C33" s="6" t="str">
        <f aca="false">IFERROR(INDEX(Participants!$B$2:$B$21,MATCH(A33,Participants!$A$2:$A$21,0)),"")</f>
        <v>Tool condition</v>
      </c>
      <c r="D33" s="6" t="str">
        <f aca="false">IFERROR(INDEX(Participants!$C$2:$C$21,MATCH(A33,Participants!$A$2:$A$21,0)),"")</f>
        <v>Paper</v>
      </c>
      <c r="E33" s="6" t="n">
        <f aca="false">IF(COUNTIFS(Tasks!$A$2:$A$13,E$4,Tasks!$F$2:$F$13,"Yes")=0,"",IF(Reasoning!E33="","",Reasoning!E33))</f>
        <v>1</v>
      </c>
      <c r="F33" s="6" t="n">
        <f aca="false">IF(COUNTIFS(Tasks!$A$2:$A$13,F$4,Tasks!$F$2:$F$13,"Yes")=0,"",IF(Reasoning!F33="","",Reasoning!F33))</f>
        <v>0</v>
      </c>
      <c r="G33" s="6" t="str">
        <f aca="false">IF(COUNTIFS(Tasks!$A$2:$A$13,G$4,Tasks!$F$2:$F$13,"Yes")=0,"",IF(Reasoning!G33="","",Reasoning!G33))</f>
        <v/>
      </c>
      <c r="H33" s="6" t="str">
        <f aca="false">IF(COUNTIFS(Tasks!$A$2:$A$13,H$4,Tasks!$F$2:$F$13,"Yes")=0,"",IF(Reasoning!H33="","",Reasoning!H33))</f>
        <v/>
      </c>
      <c r="I33" s="6" t="n">
        <f aca="false">IF(COUNTIFS(Tasks!$A$2:$A$13,I$4,Tasks!$F$2:$F$13,"Yes")=0,"",IF(Reasoning!I33="","",Reasoning!I33))</f>
        <v>1</v>
      </c>
      <c r="J33" s="6" t="n">
        <f aca="false">IF(COUNTIFS(Tasks!$A$2:$A$13,J$4,Tasks!$F$2:$F$13,"Yes")=0,"",IF(Reasoning!J33="","",Reasoning!J33))</f>
        <v>1</v>
      </c>
      <c r="K33" s="6" t="str">
        <f aca="false">IF(COUNTIFS(Tasks!$A$2:$A$13,K$4,Tasks!$F$2:$F$13,"Yes")=0,"",IF(Reasoning!K33="","",Reasoning!K33))</f>
        <v/>
      </c>
      <c r="L33" s="6" t="str">
        <f aca="false">IF(COUNTIFS(Tasks!$A$2:$A$13,L$4,Tasks!$F$2:$F$13,"Yes")=0,"",IF(Reasoning!L33="","",Reasoning!L33))</f>
        <v/>
      </c>
      <c r="M33" s="6" t="str">
        <f aca="false">IF(COUNTIFS(Tasks!$A$2:$A$13,M$4,Tasks!$F$2:$F$13,"Yes")=0,"",IF(Reasoning!M33="","",Reasoning!M33))</f>
        <v/>
      </c>
      <c r="N33" s="6" t="n">
        <f aca="false">IF(COUNTIFS(Tasks!$A$2:$A$13,N$4,Tasks!$F$2:$F$13,"Yes")=0,"",IF(Reasoning!N33="","",Reasoning!N33))</f>
        <v>0</v>
      </c>
      <c r="O33" s="6" t="n">
        <f aca="false">IF(COUNTIFS(Tasks!$A$2:$A$13,O$4,Tasks!$F$2:$F$13,"Yes")=0,"",IF(Reasoning!O33="","",Reasoning!O33))</f>
        <v>1</v>
      </c>
      <c r="P33" s="6" t="n">
        <f aca="false">IF(COUNTIFS(Tasks!$A$2:$A$13,P$4,Tasks!$F$2:$F$13,"Yes")=0,"",IF(Reasoning!P33="","",Reasoning!P33))</f>
        <v>1</v>
      </c>
      <c r="Q33" s="6" t="n">
        <f aca="false">IF(COUNT(E33:P33)=0,"",SUM(E33:P33))</f>
        <v>5</v>
      </c>
      <c r="R33" s="6" t="n">
        <f aca="false">IF(AND(Scores!Q33="",Q33=""),"",N(Scores!Q33)+N(Q33))</f>
        <v>21</v>
      </c>
    </row>
    <row r="34" customFormat="false" ht="14.25" hidden="false" customHeight="true" outlineLevel="0" collapsed="false">
      <c r="A34" s="6" t="s">
        <v>26</v>
      </c>
      <c r="B34" s="6" t="n">
        <v>2</v>
      </c>
      <c r="C34" s="6" t="str">
        <f aca="false">IFERROR(INDEX(Participants!$B$2:$B$21,MATCH(A34,Participants!$A$2:$A$21,0)),"")</f>
        <v>Tool condition</v>
      </c>
      <c r="D34" s="6" t="str">
        <f aca="false">IFERROR(INDEX(Participants!$C$2:$C$21,MATCH(A34,Participants!$A$2:$A$21,0)),"")</f>
        <v>Paper</v>
      </c>
      <c r="E34" s="6" t="n">
        <f aca="false">IF(COUNTIFS(Tasks!$A$2:$A$13,E$4,Tasks!$F$2:$F$13,"Yes")=0,"",IF(Reasoning!E34="","",Reasoning!E34))</f>
        <v>1</v>
      </c>
      <c r="F34" s="6" t="n">
        <f aca="false">IF(COUNTIFS(Tasks!$A$2:$A$13,F$4,Tasks!$F$2:$F$13,"Yes")=0,"",IF(Reasoning!F34="","",Reasoning!F34))</f>
        <v>1</v>
      </c>
      <c r="G34" s="6" t="str">
        <f aca="false">IF(COUNTIFS(Tasks!$A$2:$A$13,G$4,Tasks!$F$2:$F$13,"Yes")=0,"",IF(Reasoning!G34="","",Reasoning!G34))</f>
        <v/>
      </c>
      <c r="H34" s="6" t="str">
        <f aca="false">IF(COUNTIFS(Tasks!$A$2:$A$13,H$4,Tasks!$F$2:$F$13,"Yes")=0,"",IF(Reasoning!H34="","",Reasoning!H34))</f>
        <v/>
      </c>
      <c r="I34" s="6" t="n">
        <f aca="false">IF(COUNTIFS(Tasks!$A$2:$A$13,I$4,Tasks!$F$2:$F$13,"Yes")=0,"",IF(Reasoning!I34="","",Reasoning!I34))</f>
        <v>0</v>
      </c>
      <c r="J34" s="6" t="n">
        <f aca="false">IF(COUNTIFS(Tasks!$A$2:$A$13,J$4,Tasks!$F$2:$F$13,"Yes")=0,"",IF(Reasoning!J34="","",Reasoning!J34))</f>
        <v>1</v>
      </c>
      <c r="K34" s="6" t="str">
        <f aca="false">IF(COUNTIFS(Tasks!$A$2:$A$13,K$4,Tasks!$F$2:$F$13,"Yes")=0,"",IF(Reasoning!K34="","",Reasoning!K34))</f>
        <v/>
      </c>
      <c r="L34" s="6" t="str">
        <f aca="false">IF(COUNTIFS(Tasks!$A$2:$A$13,L$4,Tasks!$F$2:$F$13,"Yes")=0,"",IF(Reasoning!L34="","",Reasoning!L34))</f>
        <v/>
      </c>
      <c r="M34" s="6" t="str">
        <f aca="false">IF(COUNTIFS(Tasks!$A$2:$A$13,M$4,Tasks!$F$2:$F$13,"Yes")=0,"",IF(Reasoning!M34="","",Reasoning!M34))</f>
        <v/>
      </c>
      <c r="N34" s="6" t="n">
        <f aca="false">IF(COUNTIFS(Tasks!$A$2:$A$13,N$4,Tasks!$F$2:$F$13,"Yes")=0,"",IF(Reasoning!N34="","",Reasoning!N34))</f>
        <v>1</v>
      </c>
      <c r="O34" s="6" t="n">
        <f aca="false">IF(COUNTIFS(Tasks!$A$2:$A$13,O$4,Tasks!$F$2:$F$13,"Yes")=0,"",IF(Reasoning!O34="","",Reasoning!O34))</f>
        <v>0</v>
      </c>
      <c r="P34" s="6" t="n">
        <f aca="false">IF(COUNTIFS(Tasks!$A$2:$A$13,P$4,Tasks!$F$2:$F$13,"Yes")=0,"",IF(Reasoning!P34="","",Reasoning!P34))</f>
        <v>1</v>
      </c>
      <c r="Q34" s="6" t="n">
        <f aca="false">IF(COUNT(E34:P34)=0,"",SUM(E34:P34))</f>
        <v>5</v>
      </c>
      <c r="R34" s="6" t="n">
        <f aca="false">IF(AND(Scores!Q34="",Q34=""),"",N(Scores!Q34)+N(Q34))</f>
        <v>22</v>
      </c>
    </row>
    <row r="35" customFormat="false" ht="14.25" hidden="false" customHeight="true" outlineLevel="0" collapsed="false">
      <c r="A35" s="6" t="s">
        <v>132</v>
      </c>
      <c r="B35" s="6" t="n">
        <v>2</v>
      </c>
      <c r="C35" s="6" t="str">
        <f aca="false">IFERROR(INDEX(Participants!$B$2:$B$21,MATCH(A35,Participants!$A$2:$A$21,0)),"")</f>
        <v>Paper condition</v>
      </c>
      <c r="D35" s="6" t="str">
        <f aca="false">IFERROR(INDEX(Participants!$C$2:$C$21,MATCH(A35,Participants!$A$2:$A$21,0)),"")</f>
        <v>Paper</v>
      </c>
      <c r="E35" s="6" t="n">
        <f aca="false">IF(COUNTIFS(Tasks!$A$2:$A$13,E$4,Tasks!$F$2:$F$13,"Yes")=0,"",IF(Reasoning!E35="","",Reasoning!E35))</f>
        <v>1</v>
      </c>
      <c r="F35" s="6" t="n">
        <f aca="false">IF(COUNTIFS(Tasks!$A$2:$A$13,F$4,Tasks!$F$2:$F$13,"Yes")=0,"",IF(Reasoning!F35="","",Reasoning!F35))</f>
        <v>1</v>
      </c>
      <c r="G35" s="6" t="str">
        <f aca="false">IF(COUNTIFS(Tasks!$A$2:$A$13,G$4,Tasks!$F$2:$F$13,"Yes")=0,"",IF(Reasoning!G35="","",Reasoning!G35))</f>
        <v/>
      </c>
      <c r="H35" s="6" t="str">
        <f aca="false">IF(COUNTIFS(Tasks!$A$2:$A$13,H$4,Tasks!$F$2:$F$13,"Yes")=0,"",IF(Reasoning!H35="","",Reasoning!H35))</f>
        <v/>
      </c>
      <c r="I35" s="6" t="n">
        <f aca="false">IF(COUNTIFS(Tasks!$A$2:$A$13,I$4,Tasks!$F$2:$F$13,"Yes")=0,"",IF(Reasoning!I35="","",Reasoning!I35))</f>
        <v>1</v>
      </c>
      <c r="J35" s="6" t="n">
        <f aca="false">IF(COUNTIFS(Tasks!$A$2:$A$13,J$4,Tasks!$F$2:$F$13,"Yes")=0,"",IF(Reasoning!J35="","",Reasoning!J35))</f>
        <v>0</v>
      </c>
      <c r="K35" s="6" t="str">
        <f aca="false">IF(COUNTIFS(Tasks!$A$2:$A$13,K$4,Tasks!$F$2:$F$13,"Yes")=0,"",IF(Reasoning!K35="","",Reasoning!K35))</f>
        <v/>
      </c>
      <c r="L35" s="6" t="str">
        <f aca="false">IF(COUNTIFS(Tasks!$A$2:$A$13,L$4,Tasks!$F$2:$F$13,"Yes")=0,"",IF(Reasoning!L35="","",Reasoning!L35))</f>
        <v/>
      </c>
      <c r="M35" s="6" t="str">
        <f aca="false">IF(COUNTIFS(Tasks!$A$2:$A$13,M$4,Tasks!$F$2:$F$13,"Yes")=0,"",IF(Reasoning!M35="","",Reasoning!M35))</f>
        <v/>
      </c>
      <c r="N35" s="6" t="n">
        <f aca="false">IF(COUNTIFS(Tasks!$A$2:$A$13,N$4,Tasks!$F$2:$F$13,"Yes")=0,"",IF(Reasoning!N35="","",Reasoning!N35))</f>
        <v>1</v>
      </c>
      <c r="O35" s="6" t="n">
        <f aca="false">IF(COUNTIFS(Tasks!$A$2:$A$13,O$4,Tasks!$F$2:$F$13,"Yes")=0,"",IF(Reasoning!O35="","",Reasoning!O35))</f>
        <v>0</v>
      </c>
      <c r="P35" s="6" t="n">
        <f aca="false">IF(COUNTIFS(Tasks!$A$2:$A$13,P$4,Tasks!$F$2:$F$13,"Yes")=0,"",IF(Reasoning!P35="","",Reasoning!P35))</f>
        <v>0</v>
      </c>
      <c r="Q35" s="6" t="n">
        <f aca="false">IF(COUNT(E35:P35)=0,"",SUM(E35:P35))</f>
        <v>4</v>
      </c>
      <c r="R35" s="6" t="n">
        <f aca="false">IF(AND(Scores!Q35="",Q35=""),"",N(Scores!Q35)+N(Q35))</f>
        <v>19</v>
      </c>
    </row>
    <row r="36" customFormat="false" ht="14.25" hidden="false" customHeight="true" outlineLevel="0" collapsed="false">
      <c r="A36" s="6" t="s">
        <v>134</v>
      </c>
      <c r="B36" s="6" t="n">
        <v>2</v>
      </c>
      <c r="C36" s="6" t="str">
        <f aca="false">IFERROR(INDEX(Participants!$B$2:$B$21,MATCH(A36,Participants!$A$2:$A$21,0)),"")</f>
        <v>Paper condition</v>
      </c>
      <c r="D36" s="6" t="str">
        <f aca="false">IFERROR(INDEX(Participants!$C$2:$C$21,MATCH(A36,Participants!$A$2:$A$21,0)),"")</f>
        <v>Paper</v>
      </c>
      <c r="E36" s="6" t="n">
        <f aca="false">IF(COUNTIFS(Tasks!$A$2:$A$13,E$4,Tasks!$F$2:$F$13,"Yes")=0,"",IF(Reasoning!E36="","",Reasoning!E36))</f>
        <v>1</v>
      </c>
      <c r="F36" s="6" t="n">
        <f aca="false">IF(COUNTIFS(Tasks!$A$2:$A$13,F$4,Tasks!$F$2:$F$13,"Yes")=0,"",IF(Reasoning!F36="","",Reasoning!F36))</f>
        <v>0</v>
      </c>
      <c r="G36" s="6" t="str">
        <f aca="false">IF(COUNTIFS(Tasks!$A$2:$A$13,G$4,Tasks!$F$2:$F$13,"Yes")=0,"",IF(Reasoning!G36="","",Reasoning!G36))</f>
        <v/>
      </c>
      <c r="H36" s="6" t="str">
        <f aca="false">IF(COUNTIFS(Tasks!$A$2:$A$13,H$4,Tasks!$F$2:$F$13,"Yes")=0,"",IF(Reasoning!H36="","",Reasoning!H36))</f>
        <v/>
      </c>
      <c r="I36" s="6" t="n">
        <f aca="false">IF(COUNTIFS(Tasks!$A$2:$A$13,I$4,Tasks!$F$2:$F$13,"Yes")=0,"",IF(Reasoning!I36="","",Reasoning!I36))</f>
        <v>1</v>
      </c>
      <c r="J36" s="6" t="n">
        <f aca="false">IF(COUNTIFS(Tasks!$A$2:$A$13,J$4,Tasks!$F$2:$F$13,"Yes")=0,"",IF(Reasoning!J36="","",Reasoning!J36))</f>
        <v>1</v>
      </c>
      <c r="K36" s="6" t="str">
        <f aca="false">IF(COUNTIFS(Tasks!$A$2:$A$13,K$4,Tasks!$F$2:$F$13,"Yes")=0,"",IF(Reasoning!K36="","",Reasoning!K36))</f>
        <v/>
      </c>
      <c r="L36" s="6" t="str">
        <f aca="false">IF(COUNTIFS(Tasks!$A$2:$A$13,L$4,Tasks!$F$2:$F$13,"Yes")=0,"",IF(Reasoning!L36="","",Reasoning!L36))</f>
        <v/>
      </c>
      <c r="M36" s="6" t="str">
        <f aca="false">IF(COUNTIFS(Tasks!$A$2:$A$13,M$4,Tasks!$F$2:$F$13,"Yes")=0,"",IF(Reasoning!M36="","",Reasoning!M36))</f>
        <v/>
      </c>
      <c r="N36" s="6" t="n">
        <f aca="false">IF(COUNTIFS(Tasks!$A$2:$A$13,N$4,Tasks!$F$2:$F$13,"Yes")=0,"",IF(Reasoning!N36="","",Reasoning!N36))</f>
        <v>0</v>
      </c>
      <c r="O36" s="6" t="n">
        <f aca="false">IF(COUNTIFS(Tasks!$A$2:$A$13,O$4,Tasks!$F$2:$F$13,"Yes")=0,"",IF(Reasoning!O36="","",Reasoning!O36))</f>
        <v>1</v>
      </c>
      <c r="P36" s="6" t="n">
        <f aca="false">IF(COUNTIFS(Tasks!$A$2:$A$13,P$4,Tasks!$F$2:$F$13,"Yes")=0,"",IF(Reasoning!P36="","",Reasoning!P36))</f>
        <v>0</v>
      </c>
      <c r="Q36" s="6" t="n">
        <f aca="false">IF(COUNT(E36:P36)=0,"",SUM(E36:P36))</f>
        <v>4</v>
      </c>
      <c r="R36" s="6" t="n">
        <f aca="false">IF(AND(Scores!Q36="",Q36=""),"",N(Scores!Q36)+N(Q36))</f>
        <v>19</v>
      </c>
    </row>
    <row r="37" customFormat="false" ht="14.25" hidden="false" customHeight="true" outlineLevel="0" collapsed="false">
      <c r="A37" s="6" t="s">
        <v>135</v>
      </c>
      <c r="B37" s="6" t="n">
        <v>2</v>
      </c>
      <c r="C37" s="6" t="str">
        <f aca="false">IFERROR(INDEX(Participants!$B$2:$B$21,MATCH(A37,Participants!$A$2:$A$21,0)),"")</f>
        <v>Paper condition</v>
      </c>
      <c r="D37" s="6" t="str">
        <f aca="false">IFERROR(INDEX(Participants!$C$2:$C$21,MATCH(A37,Participants!$A$2:$A$21,0)),"")</f>
        <v>Paper</v>
      </c>
      <c r="E37" s="6" t="n">
        <f aca="false">IF(COUNTIFS(Tasks!$A$2:$A$13,E$4,Tasks!$F$2:$F$13,"Yes")=0,"",IF(Reasoning!E37="","",Reasoning!E37))</f>
        <v>0</v>
      </c>
      <c r="F37" s="6" t="n">
        <f aca="false">IF(COUNTIFS(Tasks!$A$2:$A$13,F$4,Tasks!$F$2:$F$13,"Yes")=0,"",IF(Reasoning!F37="","",Reasoning!F37))</f>
        <v>1</v>
      </c>
      <c r="G37" s="6" t="str">
        <f aca="false">IF(COUNTIFS(Tasks!$A$2:$A$13,G$4,Tasks!$F$2:$F$13,"Yes")=0,"",IF(Reasoning!G37="","",Reasoning!G37))</f>
        <v/>
      </c>
      <c r="H37" s="6" t="str">
        <f aca="false">IF(COUNTIFS(Tasks!$A$2:$A$13,H$4,Tasks!$F$2:$F$13,"Yes")=0,"",IF(Reasoning!H37="","",Reasoning!H37))</f>
        <v/>
      </c>
      <c r="I37" s="6" t="n">
        <f aca="false">IF(COUNTIFS(Tasks!$A$2:$A$13,I$4,Tasks!$F$2:$F$13,"Yes")=0,"",IF(Reasoning!I37="","",Reasoning!I37))</f>
        <v>0</v>
      </c>
      <c r="J37" s="6" t="n">
        <f aca="false">IF(COUNTIFS(Tasks!$A$2:$A$13,J$4,Tasks!$F$2:$F$13,"Yes")=0,"",IF(Reasoning!J37="","",Reasoning!J37))</f>
        <v>1</v>
      </c>
      <c r="K37" s="6" t="str">
        <f aca="false">IF(COUNTIFS(Tasks!$A$2:$A$13,K$4,Tasks!$F$2:$F$13,"Yes")=0,"",IF(Reasoning!K37="","",Reasoning!K37))</f>
        <v/>
      </c>
      <c r="L37" s="6" t="str">
        <f aca="false">IF(COUNTIFS(Tasks!$A$2:$A$13,L$4,Tasks!$F$2:$F$13,"Yes")=0,"",IF(Reasoning!L37="","",Reasoning!L37))</f>
        <v/>
      </c>
      <c r="M37" s="6" t="str">
        <f aca="false">IF(COUNTIFS(Tasks!$A$2:$A$13,M$4,Tasks!$F$2:$F$13,"Yes")=0,"",IF(Reasoning!M37="","",Reasoning!M37))</f>
        <v/>
      </c>
      <c r="N37" s="6" t="n">
        <f aca="false">IF(COUNTIFS(Tasks!$A$2:$A$13,N$4,Tasks!$F$2:$F$13,"Yes")=0,"",IF(Reasoning!N37="","",Reasoning!N37))</f>
        <v>0</v>
      </c>
      <c r="O37" s="6" t="n">
        <f aca="false">IF(COUNTIFS(Tasks!$A$2:$A$13,O$4,Tasks!$F$2:$F$13,"Yes")=0,"",IF(Reasoning!O37="","",Reasoning!O37))</f>
        <v>1</v>
      </c>
      <c r="P37" s="6" t="n">
        <f aca="false">IF(COUNTIFS(Tasks!$A$2:$A$13,P$4,Tasks!$F$2:$F$13,"Yes")=0,"",IF(Reasoning!P37="","",Reasoning!P37))</f>
        <v>0</v>
      </c>
      <c r="Q37" s="6" t="n">
        <f aca="false">IF(COUNT(E37:P37)=0,"",SUM(E37:P37))</f>
        <v>3</v>
      </c>
      <c r="R37" s="6" t="n">
        <f aca="false">IF(AND(Scores!Q37="",Q37=""),"",N(Scores!Q37)+N(Q37))</f>
        <v>16</v>
      </c>
    </row>
    <row r="38" customFormat="false" ht="14.25" hidden="false" customHeight="true" outlineLevel="0" collapsed="false">
      <c r="A38" s="6" t="s">
        <v>136</v>
      </c>
      <c r="B38" s="6" t="n">
        <v>2</v>
      </c>
      <c r="C38" s="6" t="str">
        <f aca="false">IFERROR(INDEX(Participants!$B$2:$B$21,MATCH(A38,Participants!$A$2:$A$21,0)),"")</f>
        <v>Paper condition</v>
      </c>
      <c r="D38" s="6" t="str">
        <f aca="false">IFERROR(INDEX(Participants!$C$2:$C$21,MATCH(A38,Participants!$A$2:$A$21,0)),"")</f>
        <v>Paper</v>
      </c>
      <c r="E38" s="6" t="n">
        <f aca="false">IF(COUNTIFS(Tasks!$A$2:$A$13,E$4,Tasks!$F$2:$F$13,"Yes")=0,"",IF(Reasoning!E38="","",Reasoning!E38))</f>
        <v>1</v>
      </c>
      <c r="F38" s="6" t="n">
        <f aca="false">IF(COUNTIFS(Tasks!$A$2:$A$13,F$4,Tasks!$F$2:$F$13,"Yes")=0,"",IF(Reasoning!F38="","",Reasoning!F38))</f>
        <v>1</v>
      </c>
      <c r="G38" s="6" t="str">
        <f aca="false">IF(COUNTIFS(Tasks!$A$2:$A$13,G$4,Tasks!$F$2:$F$13,"Yes")=0,"",IF(Reasoning!G38="","",Reasoning!G38))</f>
        <v/>
      </c>
      <c r="H38" s="6" t="str">
        <f aca="false">IF(COUNTIFS(Tasks!$A$2:$A$13,H$4,Tasks!$F$2:$F$13,"Yes")=0,"",IF(Reasoning!H38="","",Reasoning!H38))</f>
        <v/>
      </c>
      <c r="I38" s="6" t="n">
        <f aca="false">IF(COUNTIFS(Tasks!$A$2:$A$13,I$4,Tasks!$F$2:$F$13,"Yes")=0,"",IF(Reasoning!I38="","",Reasoning!I38))</f>
        <v>1</v>
      </c>
      <c r="J38" s="6" t="n">
        <f aca="false">IF(COUNTIFS(Tasks!$A$2:$A$13,J$4,Tasks!$F$2:$F$13,"Yes")=0,"",IF(Reasoning!J38="","",Reasoning!J38))</f>
        <v>1</v>
      </c>
      <c r="K38" s="6" t="str">
        <f aca="false">IF(COUNTIFS(Tasks!$A$2:$A$13,K$4,Tasks!$F$2:$F$13,"Yes")=0,"",IF(Reasoning!K38="","",Reasoning!K38))</f>
        <v/>
      </c>
      <c r="L38" s="6" t="str">
        <f aca="false">IF(COUNTIFS(Tasks!$A$2:$A$13,L$4,Tasks!$F$2:$F$13,"Yes")=0,"",IF(Reasoning!L38="","",Reasoning!L38))</f>
        <v/>
      </c>
      <c r="M38" s="6" t="str">
        <f aca="false">IF(COUNTIFS(Tasks!$A$2:$A$13,M$4,Tasks!$F$2:$F$13,"Yes")=0,"",IF(Reasoning!M38="","",Reasoning!M38))</f>
        <v/>
      </c>
      <c r="N38" s="6" t="n">
        <f aca="false">IF(COUNTIFS(Tasks!$A$2:$A$13,N$4,Tasks!$F$2:$F$13,"Yes")=0,"",IF(Reasoning!N38="","",Reasoning!N38))</f>
        <v>0</v>
      </c>
      <c r="O38" s="6" t="n">
        <f aca="false">IF(COUNTIFS(Tasks!$A$2:$A$13,O$4,Tasks!$F$2:$F$13,"Yes")=0,"",IF(Reasoning!O38="","",Reasoning!O38))</f>
        <v>1</v>
      </c>
      <c r="P38" s="6" t="n">
        <f aca="false">IF(COUNTIFS(Tasks!$A$2:$A$13,P$4,Tasks!$F$2:$F$13,"Yes")=0,"",IF(Reasoning!P38="","",Reasoning!P38))</f>
        <v>0</v>
      </c>
      <c r="Q38" s="6" t="n">
        <f aca="false">IF(COUNT(E38:P38)=0,"",SUM(E38:P38))</f>
        <v>5</v>
      </c>
      <c r="R38" s="6" t="n">
        <f aca="false">IF(AND(Scores!Q38="",Q38=""),"",N(Scores!Q38)+N(Q38))</f>
        <v>21</v>
      </c>
    </row>
    <row r="39" customFormat="false" ht="14.25" hidden="false" customHeight="true" outlineLevel="0" collapsed="false">
      <c r="A39" s="6" t="s">
        <v>137</v>
      </c>
      <c r="B39" s="6" t="n">
        <v>2</v>
      </c>
      <c r="C39" s="6" t="str">
        <f aca="false">IFERROR(INDEX(Participants!$B$2:$B$21,MATCH(A39,Participants!$A$2:$A$21,0)),"")</f>
        <v>Paper condition</v>
      </c>
      <c r="D39" s="6" t="str">
        <f aca="false">IFERROR(INDEX(Participants!$C$2:$C$21,MATCH(A39,Participants!$A$2:$A$21,0)),"")</f>
        <v>Paper</v>
      </c>
      <c r="E39" s="6" t="n">
        <f aca="false">IF(COUNTIFS(Tasks!$A$2:$A$13,E$4,Tasks!$F$2:$F$13,"Yes")=0,"",IF(Reasoning!E39="","",Reasoning!E39))</f>
        <v>1</v>
      </c>
      <c r="F39" s="6" t="n">
        <f aca="false">IF(COUNTIFS(Tasks!$A$2:$A$13,F$4,Tasks!$F$2:$F$13,"Yes")=0,"",IF(Reasoning!F39="","",Reasoning!F39))</f>
        <v>0</v>
      </c>
      <c r="G39" s="6" t="str">
        <f aca="false">IF(COUNTIFS(Tasks!$A$2:$A$13,G$4,Tasks!$F$2:$F$13,"Yes")=0,"",IF(Reasoning!G39="","",Reasoning!G39))</f>
        <v/>
      </c>
      <c r="H39" s="6" t="str">
        <f aca="false">IF(COUNTIFS(Tasks!$A$2:$A$13,H$4,Tasks!$F$2:$F$13,"Yes")=0,"",IF(Reasoning!H39="","",Reasoning!H39))</f>
        <v/>
      </c>
      <c r="I39" s="6" t="n">
        <f aca="false">IF(COUNTIFS(Tasks!$A$2:$A$13,I$4,Tasks!$F$2:$F$13,"Yes")=0,"",IF(Reasoning!I39="","",Reasoning!I39))</f>
        <v>1</v>
      </c>
      <c r="J39" s="6" t="n">
        <f aca="false">IF(COUNTIFS(Tasks!$A$2:$A$13,J$4,Tasks!$F$2:$F$13,"Yes")=0,"",IF(Reasoning!J39="","",Reasoning!J39))</f>
        <v>0</v>
      </c>
      <c r="K39" s="6" t="str">
        <f aca="false">IF(COUNTIFS(Tasks!$A$2:$A$13,K$4,Tasks!$F$2:$F$13,"Yes")=0,"",IF(Reasoning!K39="","",Reasoning!K39))</f>
        <v/>
      </c>
      <c r="L39" s="6" t="str">
        <f aca="false">IF(COUNTIFS(Tasks!$A$2:$A$13,L$4,Tasks!$F$2:$F$13,"Yes")=0,"",IF(Reasoning!L39="","",Reasoning!L39))</f>
        <v/>
      </c>
      <c r="M39" s="6" t="str">
        <f aca="false">IF(COUNTIFS(Tasks!$A$2:$A$13,M$4,Tasks!$F$2:$F$13,"Yes")=0,"",IF(Reasoning!M39="","",Reasoning!M39))</f>
        <v/>
      </c>
      <c r="N39" s="6" t="n">
        <f aca="false">IF(COUNTIFS(Tasks!$A$2:$A$13,N$4,Tasks!$F$2:$F$13,"Yes")=0,"",IF(Reasoning!N39="","",Reasoning!N39))</f>
        <v>0</v>
      </c>
      <c r="O39" s="6" t="n">
        <f aca="false">IF(COUNTIFS(Tasks!$A$2:$A$13,O$4,Tasks!$F$2:$F$13,"Yes")=0,"",IF(Reasoning!O39="","",Reasoning!O39))</f>
        <v>1</v>
      </c>
      <c r="P39" s="6" t="n">
        <f aca="false">IF(COUNTIFS(Tasks!$A$2:$A$13,P$4,Tasks!$F$2:$F$13,"Yes")=0,"",IF(Reasoning!P39="","",Reasoning!P39))</f>
        <v>0</v>
      </c>
      <c r="Q39" s="6" t="n">
        <f aca="false">IF(COUNT(E39:P39)=0,"",SUM(E39:P39))</f>
        <v>3</v>
      </c>
      <c r="R39" s="6" t="n">
        <f aca="false">IF(AND(Scores!Q39="",Q39=""),"",N(Scores!Q39)+N(Q39))</f>
        <v>17</v>
      </c>
    </row>
    <row r="40" customFormat="false" ht="14.25" hidden="false" customHeight="true" outlineLevel="0" collapsed="false">
      <c r="A40" s="6" t="s">
        <v>138</v>
      </c>
      <c r="B40" s="6" t="n">
        <v>2</v>
      </c>
      <c r="C40" s="6" t="str">
        <f aca="false">IFERROR(INDEX(Participants!$B$2:$B$21,MATCH(A40,Participants!$A$2:$A$21,0)),"")</f>
        <v>Paper condition</v>
      </c>
      <c r="D40" s="6" t="str">
        <f aca="false">IFERROR(INDEX(Participants!$C$2:$C$21,MATCH(A40,Participants!$A$2:$A$21,0)),"")</f>
        <v>Paper</v>
      </c>
      <c r="E40" s="6" t="n">
        <f aca="false">IF(COUNTIFS(Tasks!$A$2:$A$13,E$4,Tasks!$F$2:$F$13,"Yes")=0,"",IF(Reasoning!E40="","",Reasoning!E40))</f>
        <v>1</v>
      </c>
      <c r="F40" s="6" t="n">
        <f aca="false">IF(COUNTIFS(Tasks!$A$2:$A$13,F$4,Tasks!$F$2:$F$13,"Yes")=0,"",IF(Reasoning!F40="","",Reasoning!F40))</f>
        <v>0</v>
      </c>
      <c r="G40" s="6" t="str">
        <f aca="false">IF(COUNTIFS(Tasks!$A$2:$A$13,G$4,Tasks!$F$2:$F$13,"Yes")=0,"",IF(Reasoning!G40="","",Reasoning!G40))</f>
        <v/>
      </c>
      <c r="H40" s="6" t="str">
        <f aca="false">IF(COUNTIFS(Tasks!$A$2:$A$13,H$4,Tasks!$F$2:$F$13,"Yes")=0,"",IF(Reasoning!H40="","",Reasoning!H40))</f>
        <v/>
      </c>
      <c r="I40" s="6" t="n">
        <f aca="false">IF(COUNTIFS(Tasks!$A$2:$A$13,I$4,Tasks!$F$2:$F$13,"Yes")=0,"",IF(Reasoning!I40="","",Reasoning!I40))</f>
        <v>1</v>
      </c>
      <c r="J40" s="6" t="n">
        <f aca="false">IF(COUNTIFS(Tasks!$A$2:$A$13,J$4,Tasks!$F$2:$F$13,"Yes")=0,"",IF(Reasoning!J40="","",Reasoning!J40))</f>
        <v>1</v>
      </c>
      <c r="K40" s="6" t="str">
        <f aca="false">IF(COUNTIFS(Tasks!$A$2:$A$13,K$4,Tasks!$F$2:$F$13,"Yes")=0,"",IF(Reasoning!K40="","",Reasoning!K40))</f>
        <v/>
      </c>
      <c r="L40" s="6" t="str">
        <f aca="false">IF(COUNTIFS(Tasks!$A$2:$A$13,L$4,Tasks!$F$2:$F$13,"Yes")=0,"",IF(Reasoning!L40="","",Reasoning!L40))</f>
        <v/>
      </c>
      <c r="M40" s="6" t="str">
        <f aca="false">IF(COUNTIFS(Tasks!$A$2:$A$13,M$4,Tasks!$F$2:$F$13,"Yes")=0,"",IF(Reasoning!M40="","",Reasoning!M40))</f>
        <v/>
      </c>
      <c r="N40" s="6" t="n">
        <f aca="false">IF(COUNTIFS(Tasks!$A$2:$A$13,N$4,Tasks!$F$2:$F$13,"Yes")=0,"",IF(Reasoning!N40="","",Reasoning!N40))</f>
        <v>1</v>
      </c>
      <c r="O40" s="6" t="n">
        <f aca="false">IF(COUNTIFS(Tasks!$A$2:$A$13,O$4,Tasks!$F$2:$F$13,"Yes")=0,"",IF(Reasoning!O40="","",Reasoning!O40))</f>
        <v>0</v>
      </c>
      <c r="P40" s="6" t="n">
        <f aca="false">IF(COUNTIFS(Tasks!$A$2:$A$13,P$4,Tasks!$F$2:$F$13,"Yes")=0,"",IF(Reasoning!P40="","",Reasoning!P40))</f>
        <v>0</v>
      </c>
      <c r="Q40" s="6" t="n">
        <f aca="false">IF(COUNT(E40:P40)=0,"",SUM(E40:P40))</f>
        <v>4</v>
      </c>
      <c r="R40" s="6" t="n">
        <f aca="false">IF(AND(Scores!Q40="",Q40=""),"",N(Scores!Q40)+N(Q40))</f>
        <v>20</v>
      </c>
    </row>
    <row r="41" customFormat="false" ht="14.25" hidden="false" customHeight="true" outlineLevel="0" collapsed="false">
      <c r="A41" s="6" t="s">
        <v>139</v>
      </c>
      <c r="B41" s="6" t="n">
        <v>2</v>
      </c>
      <c r="C41" s="6" t="str">
        <f aca="false">IFERROR(INDEX(Participants!$B$2:$B$21,MATCH(A41,Participants!$A$2:$A$21,0)),"")</f>
        <v>Paper condition</v>
      </c>
      <c r="D41" s="6" t="str">
        <f aca="false">IFERROR(INDEX(Participants!$C$2:$C$21,MATCH(A41,Participants!$A$2:$A$21,0)),"")</f>
        <v>Paper</v>
      </c>
      <c r="E41" s="6" t="n">
        <f aca="false">IF(COUNTIFS(Tasks!$A$2:$A$13,E$4,Tasks!$F$2:$F$13,"Yes")=0,"",IF(Reasoning!E41="","",Reasoning!E41))</f>
        <v>0</v>
      </c>
      <c r="F41" s="6" t="n">
        <f aca="false">IF(COUNTIFS(Tasks!$A$2:$A$13,F$4,Tasks!$F$2:$F$13,"Yes")=0,"",IF(Reasoning!F41="","",Reasoning!F41))</f>
        <v>1</v>
      </c>
      <c r="G41" s="6" t="str">
        <f aca="false">IF(COUNTIFS(Tasks!$A$2:$A$13,G$4,Tasks!$F$2:$F$13,"Yes")=0,"",IF(Reasoning!G41="","",Reasoning!G41))</f>
        <v/>
      </c>
      <c r="H41" s="6" t="str">
        <f aca="false">IF(COUNTIFS(Tasks!$A$2:$A$13,H$4,Tasks!$F$2:$F$13,"Yes")=0,"",IF(Reasoning!H41="","",Reasoning!H41))</f>
        <v/>
      </c>
      <c r="I41" s="6" t="n">
        <f aca="false">IF(COUNTIFS(Tasks!$A$2:$A$13,I$4,Tasks!$F$2:$F$13,"Yes")=0,"",IF(Reasoning!I41="","",Reasoning!I41))</f>
        <v>0</v>
      </c>
      <c r="J41" s="6" t="n">
        <f aca="false">IF(COUNTIFS(Tasks!$A$2:$A$13,J$4,Tasks!$F$2:$F$13,"Yes")=0,"",IF(Reasoning!J41="","",Reasoning!J41))</f>
        <v>1</v>
      </c>
      <c r="K41" s="6" t="str">
        <f aca="false">IF(COUNTIFS(Tasks!$A$2:$A$13,K$4,Tasks!$F$2:$F$13,"Yes")=0,"",IF(Reasoning!K41="","",Reasoning!K41))</f>
        <v/>
      </c>
      <c r="L41" s="6" t="str">
        <f aca="false">IF(COUNTIFS(Tasks!$A$2:$A$13,L$4,Tasks!$F$2:$F$13,"Yes")=0,"",IF(Reasoning!L41="","",Reasoning!L41))</f>
        <v/>
      </c>
      <c r="M41" s="6" t="str">
        <f aca="false">IF(COUNTIFS(Tasks!$A$2:$A$13,M$4,Tasks!$F$2:$F$13,"Yes")=0,"",IF(Reasoning!M41="","",Reasoning!M41))</f>
        <v/>
      </c>
      <c r="N41" s="6" t="n">
        <f aca="false">IF(COUNTIFS(Tasks!$A$2:$A$13,N$4,Tasks!$F$2:$F$13,"Yes")=0,"",IF(Reasoning!N41="","",Reasoning!N41))</f>
        <v>0</v>
      </c>
      <c r="O41" s="6" t="n">
        <f aca="false">IF(COUNTIFS(Tasks!$A$2:$A$13,O$4,Tasks!$F$2:$F$13,"Yes")=0,"",IF(Reasoning!O41="","",Reasoning!O41))</f>
        <v>1</v>
      </c>
      <c r="P41" s="6" t="n">
        <f aca="false">IF(COUNTIFS(Tasks!$A$2:$A$13,P$4,Tasks!$F$2:$F$13,"Yes")=0,"",IF(Reasoning!P41="","",Reasoning!P41))</f>
        <v>0</v>
      </c>
      <c r="Q41" s="6" t="n">
        <f aca="false">IF(COUNT(E41:P41)=0,"",SUM(E41:P41))</f>
        <v>3</v>
      </c>
      <c r="R41" s="6" t="n">
        <f aca="false">IF(AND(Scores!Q41="",Q41=""),"",N(Scores!Q41)+N(Q41))</f>
        <v>15</v>
      </c>
    </row>
    <row r="42" customFormat="false" ht="14.25" hidden="false" customHeight="true" outlineLevel="0" collapsed="false">
      <c r="A42" s="6" t="s">
        <v>140</v>
      </c>
      <c r="B42" s="6" t="n">
        <v>2</v>
      </c>
      <c r="C42" s="6" t="str">
        <f aca="false">IFERROR(INDEX(Participants!$B$2:$B$21,MATCH(A42,Participants!$A$2:$A$21,0)),"")</f>
        <v>Paper condition</v>
      </c>
      <c r="D42" s="6" t="str">
        <f aca="false">IFERROR(INDEX(Participants!$C$2:$C$21,MATCH(A42,Participants!$A$2:$A$21,0)),"")</f>
        <v>Paper</v>
      </c>
      <c r="E42" s="6" t="n">
        <f aca="false">IF(COUNTIFS(Tasks!$A$2:$A$13,E$4,Tasks!$F$2:$F$13,"Yes")=0,"",IF(Reasoning!E42="","",Reasoning!E42))</f>
        <v>1</v>
      </c>
      <c r="F42" s="6" t="n">
        <f aca="false">IF(COUNTIFS(Tasks!$A$2:$A$13,F$4,Tasks!$F$2:$F$13,"Yes")=0,"",IF(Reasoning!F42="","",Reasoning!F42))</f>
        <v>1</v>
      </c>
      <c r="G42" s="6" t="str">
        <f aca="false">IF(COUNTIFS(Tasks!$A$2:$A$13,G$4,Tasks!$F$2:$F$13,"Yes")=0,"",IF(Reasoning!G42="","",Reasoning!G42))</f>
        <v/>
      </c>
      <c r="H42" s="6" t="str">
        <f aca="false">IF(COUNTIFS(Tasks!$A$2:$A$13,H$4,Tasks!$F$2:$F$13,"Yes")=0,"",IF(Reasoning!H42="","",Reasoning!H42))</f>
        <v/>
      </c>
      <c r="I42" s="6" t="n">
        <f aca="false">IF(COUNTIFS(Tasks!$A$2:$A$13,I$4,Tasks!$F$2:$F$13,"Yes")=0,"",IF(Reasoning!I42="","",Reasoning!I42))</f>
        <v>1</v>
      </c>
      <c r="J42" s="6" t="n">
        <f aca="false">IF(COUNTIFS(Tasks!$A$2:$A$13,J$4,Tasks!$F$2:$F$13,"Yes")=0,"",IF(Reasoning!J42="","",Reasoning!J42))</f>
        <v>1</v>
      </c>
      <c r="K42" s="6" t="str">
        <f aca="false">IF(COUNTIFS(Tasks!$A$2:$A$13,K$4,Tasks!$F$2:$F$13,"Yes")=0,"",IF(Reasoning!K42="","",Reasoning!K42))</f>
        <v/>
      </c>
      <c r="L42" s="6" t="str">
        <f aca="false">IF(COUNTIFS(Tasks!$A$2:$A$13,L$4,Tasks!$F$2:$F$13,"Yes")=0,"",IF(Reasoning!L42="","",Reasoning!L42))</f>
        <v/>
      </c>
      <c r="M42" s="6" t="str">
        <f aca="false">IF(COUNTIFS(Tasks!$A$2:$A$13,M$4,Tasks!$F$2:$F$13,"Yes")=0,"",IF(Reasoning!M42="","",Reasoning!M42))</f>
        <v/>
      </c>
      <c r="N42" s="6" t="n">
        <f aca="false">IF(COUNTIFS(Tasks!$A$2:$A$13,N$4,Tasks!$F$2:$F$13,"Yes")=0,"",IF(Reasoning!N42="","",Reasoning!N42))</f>
        <v>1</v>
      </c>
      <c r="O42" s="6" t="n">
        <f aca="false">IF(COUNTIFS(Tasks!$A$2:$A$13,O$4,Tasks!$F$2:$F$13,"Yes")=0,"",IF(Reasoning!O42="","",Reasoning!O42))</f>
        <v>0</v>
      </c>
      <c r="P42" s="6" t="n">
        <f aca="false">IF(COUNTIFS(Tasks!$A$2:$A$13,P$4,Tasks!$F$2:$F$13,"Yes")=0,"",IF(Reasoning!P42="","",Reasoning!P42))</f>
        <v>0</v>
      </c>
      <c r="Q42" s="6" t="n">
        <f aca="false">IF(COUNT(E42:P42)=0,"",SUM(E42:P42))</f>
        <v>5</v>
      </c>
      <c r="R42" s="6" t="n">
        <f aca="false">IF(AND(Scores!Q42="",Q42=""),"",N(Scores!Q42)+N(Q42))</f>
        <v>23</v>
      </c>
    </row>
    <row r="43" customFormat="false" ht="14.25" hidden="false" customHeight="true" outlineLevel="0" collapsed="false">
      <c r="A43" s="6" t="s">
        <v>141</v>
      </c>
      <c r="B43" s="6" t="n">
        <v>2</v>
      </c>
      <c r="C43" s="6" t="str">
        <f aca="false">IFERROR(INDEX(Participants!$B$2:$B$21,MATCH(A43,Participants!$A$2:$A$21,0)),"")</f>
        <v>Paper condition</v>
      </c>
      <c r="D43" s="6" t="str">
        <f aca="false">IFERROR(INDEX(Participants!$C$2:$C$21,MATCH(A43,Participants!$A$2:$A$21,0)),"")</f>
        <v>Paper</v>
      </c>
      <c r="E43" s="6" t="n">
        <f aca="false">IF(COUNTIFS(Tasks!$A$2:$A$13,E$4,Tasks!$F$2:$F$13,"Yes")=0,"",IF(Reasoning!E43="","",Reasoning!E43))</f>
        <v>0</v>
      </c>
      <c r="F43" s="6" t="n">
        <f aca="false">IF(COUNTIFS(Tasks!$A$2:$A$13,F$4,Tasks!$F$2:$F$13,"Yes")=0,"",IF(Reasoning!F43="","",Reasoning!F43))</f>
        <v>1</v>
      </c>
      <c r="G43" s="6" t="str">
        <f aca="false">IF(COUNTIFS(Tasks!$A$2:$A$13,G$4,Tasks!$F$2:$F$13,"Yes")=0,"",IF(Reasoning!G43="","",Reasoning!G43))</f>
        <v/>
      </c>
      <c r="H43" s="6" t="str">
        <f aca="false">IF(COUNTIFS(Tasks!$A$2:$A$13,H$4,Tasks!$F$2:$F$13,"Yes")=0,"",IF(Reasoning!H43="","",Reasoning!H43))</f>
        <v/>
      </c>
      <c r="I43" s="6" t="n">
        <f aca="false">IF(COUNTIFS(Tasks!$A$2:$A$13,I$4,Tasks!$F$2:$F$13,"Yes")=0,"",IF(Reasoning!I43="","",Reasoning!I43))</f>
        <v>1</v>
      </c>
      <c r="J43" s="6" t="n">
        <f aca="false">IF(COUNTIFS(Tasks!$A$2:$A$13,J$4,Tasks!$F$2:$F$13,"Yes")=0,"",IF(Reasoning!J43="","",Reasoning!J43))</f>
        <v>0</v>
      </c>
      <c r="K43" s="6" t="str">
        <f aca="false">IF(COUNTIFS(Tasks!$A$2:$A$13,K$4,Tasks!$F$2:$F$13,"Yes")=0,"",IF(Reasoning!K43="","",Reasoning!K43))</f>
        <v/>
      </c>
      <c r="L43" s="6" t="str">
        <f aca="false">IF(COUNTIFS(Tasks!$A$2:$A$13,L$4,Tasks!$F$2:$F$13,"Yes")=0,"",IF(Reasoning!L43="","",Reasoning!L43))</f>
        <v/>
      </c>
      <c r="M43" s="6" t="str">
        <f aca="false">IF(COUNTIFS(Tasks!$A$2:$A$13,M$4,Tasks!$F$2:$F$13,"Yes")=0,"",IF(Reasoning!M43="","",Reasoning!M43))</f>
        <v/>
      </c>
      <c r="N43" s="6" t="n">
        <f aca="false">IF(COUNTIFS(Tasks!$A$2:$A$13,N$4,Tasks!$F$2:$F$13,"Yes")=0,"",IF(Reasoning!N43="","",Reasoning!N43))</f>
        <v>0</v>
      </c>
      <c r="O43" s="6" t="n">
        <f aca="false">IF(COUNTIFS(Tasks!$A$2:$A$13,O$4,Tasks!$F$2:$F$13,"Yes")=0,"",IF(Reasoning!O43="","",Reasoning!O43))</f>
        <v>1</v>
      </c>
      <c r="P43" s="6" t="n">
        <f aca="false">IF(COUNTIFS(Tasks!$A$2:$A$13,P$4,Tasks!$F$2:$F$13,"Yes")=0,"",IF(Reasoning!P43="","",Reasoning!P43))</f>
        <v>0</v>
      </c>
      <c r="Q43" s="6" t="n">
        <f aca="false">IF(COUNT(E43:P43)=0,"",SUM(E43:P43))</f>
        <v>3</v>
      </c>
      <c r="R43" s="6" t="n">
        <f aca="false">IF(AND(Scores!Q43="",Q43=""),"",N(Scores!Q43)+N(Q43))</f>
        <v>15</v>
      </c>
    </row>
    <row r="44" customFormat="false" ht="14.25" hidden="false" customHeight="true" outlineLevel="0" collapsed="false">
      <c r="A44" s="6" t="s">
        <v>142</v>
      </c>
      <c r="B44" s="6" t="n">
        <v>2</v>
      </c>
      <c r="C44" s="6" t="str">
        <f aca="false">IFERROR(INDEX(Participants!$B$2:$B$21,MATCH(A44,Participants!$A$2:$A$21,0)),"")</f>
        <v>Paper condition</v>
      </c>
      <c r="D44" s="6" t="str">
        <f aca="false">IFERROR(INDEX(Participants!$C$2:$C$21,MATCH(A44,Participants!$A$2:$A$21,0)),"")</f>
        <v>Paper</v>
      </c>
      <c r="E44" s="6" t="n">
        <f aca="false">IF(COUNTIFS(Tasks!$A$2:$A$13,E$4,Tasks!$F$2:$F$13,"Yes")=0,"",IF(Reasoning!E44="","",Reasoning!E44))</f>
        <v>1</v>
      </c>
      <c r="F44" s="6" t="n">
        <f aca="false">IF(COUNTIFS(Tasks!$A$2:$A$13,F$4,Tasks!$F$2:$F$13,"Yes")=0,"",IF(Reasoning!F44="","",Reasoning!F44))</f>
        <v>1</v>
      </c>
      <c r="G44" s="6" t="str">
        <f aca="false">IF(COUNTIFS(Tasks!$A$2:$A$13,G$4,Tasks!$F$2:$F$13,"Yes")=0,"",IF(Reasoning!G44="","",Reasoning!G44))</f>
        <v/>
      </c>
      <c r="H44" s="6" t="str">
        <f aca="false">IF(COUNTIFS(Tasks!$A$2:$A$13,H$4,Tasks!$F$2:$F$13,"Yes")=0,"",IF(Reasoning!H44="","",Reasoning!H44))</f>
        <v/>
      </c>
      <c r="I44" s="6" t="n">
        <f aca="false">IF(COUNTIFS(Tasks!$A$2:$A$13,I$4,Tasks!$F$2:$F$13,"Yes")=0,"",IF(Reasoning!I44="","",Reasoning!I44))</f>
        <v>1</v>
      </c>
      <c r="J44" s="6" t="n">
        <f aca="false">IF(COUNTIFS(Tasks!$A$2:$A$13,J$4,Tasks!$F$2:$F$13,"Yes")=0,"",IF(Reasoning!J44="","",Reasoning!J44))</f>
        <v>0</v>
      </c>
      <c r="K44" s="6" t="str">
        <f aca="false">IF(COUNTIFS(Tasks!$A$2:$A$13,K$4,Tasks!$F$2:$F$13,"Yes")=0,"",IF(Reasoning!K44="","",Reasoning!K44))</f>
        <v/>
      </c>
      <c r="L44" s="6" t="str">
        <f aca="false">IF(COUNTIFS(Tasks!$A$2:$A$13,L$4,Tasks!$F$2:$F$13,"Yes")=0,"",IF(Reasoning!L44="","",Reasoning!L44))</f>
        <v/>
      </c>
      <c r="M44" s="6" t="str">
        <f aca="false">IF(COUNTIFS(Tasks!$A$2:$A$13,M$4,Tasks!$F$2:$F$13,"Yes")=0,"",IF(Reasoning!M44="","",Reasoning!M44))</f>
        <v/>
      </c>
      <c r="N44" s="6" t="n">
        <f aca="false">IF(COUNTIFS(Tasks!$A$2:$A$13,N$4,Tasks!$F$2:$F$13,"Yes")=0,"",IF(Reasoning!N44="","",Reasoning!N44))</f>
        <v>1</v>
      </c>
      <c r="O44" s="6" t="n">
        <f aca="false">IF(COUNTIFS(Tasks!$A$2:$A$13,O$4,Tasks!$F$2:$F$13,"Yes")=0,"",IF(Reasoning!O44="","",Reasoning!O44))</f>
        <v>0</v>
      </c>
      <c r="P44" s="6" t="n">
        <f aca="false">IF(COUNTIFS(Tasks!$A$2:$A$13,P$4,Tasks!$F$2:$F$13,"Yes")=0,"",IF(Reasoning!P44="","",Reasoning!P44))</f>
        <v>1</v>
      </c>
      <c r="Q44" s="6" t="n">
        <f aca="false">IF(COUNT(E44:P44)=0,"",SUM(E44:P44))</f>
        <v>5</v>
      </c>
      <c r="R44" s="6" t="n">
        <f aca="false">IF(AND(Scores!Q44="",Q44=""),"",N(Scores!Q44)+N(Q44))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sheetData>
    <row r="1" customFormat="false" ht="17.25" hidden="false" customHeight="true" outlineLevel="0" collapsed="false">
      <c r="A1" s="2" t="s">
        <v>157</v>
      </c>
    </row>
    <row r="4" customFormat="false" ht="14.25" hidden="false" customHeight="true" outlineLevel="0" collapsed="false">
      <c r="B4" s="4" t="s">
        <v>158</v>
      </c>
      <c r="C4" s="4" t="s">
        <v>159</v>
      </c>
      <c r="D4" s="4" t="s">
        <v>160</v>
      </c>
      <c r="E4" s="4" t="s">
        <v>161</v>
      </c>
      <c r="F4" s="4" t="s">
        <v>162</v>
      </c>
      <c r="G4" s="4" t="s">
        <v>163</v>
      </c>
      <c r="H4" s="4" t="s">
        <v>164</v>
      </c>
      <c r="I4" s="4" t="s">
        <v>165</v>
      </c>
      <c r="J4" s="4" t="s">
        <v>166</v>
      </c>
      <c r="K4" s="4" t="s">
        <v>167</v>
      </c>
      <c r="L4" s="4" t="s">
        <v>168</v>
      </c>
      <c r="M4" s="4" t="s">
        <v>169</v>
      </c>
      <c r="N4" s="4" t="s">
        <v>170</v>
      </c>
      <c r="O4" s="4" t="s">
        <v>171</v>
      </c>
      <c r="P4" s="4" t="s">
        <v>172</v>
      </c>
      <c r="Q4" s="4" t="s">
        <v>173</v>
      </c>
      <c r="R4" s="4" t="s">
        <v>174</v>
      </c>
      <c r="S4" s="4" t="s">
        <v>175</v>
      </c>
      <c r="T4" s="4" t="s">
        <v>176</v>
      </c>
      <c r="U4" s="4" t="s">
        <v>177</v>
      </c>
      <c r="V4" s="4" t="s">
        <v>178</v>
      </c>
      <c r="W4" s="4" t="s">
        <v>179</v>
      </c>
      <c r="X4" s="4" t="s">
        <v>180</v>
      </c>
      <c r="Y4" s="4" t="s">
        <v>181</v>
      </c>
      <c r="Z4" s="4" t="s">
        <v>182</v>
      </c>
      <c r="AA4" s="4" t="s">
        <v>183</v>
      </c>
      <c r="AB4" s="4" t="s">
        <v>184</v>
      </c>
      <c r="AC4" s="4" t="s">
        <v>185</v>
      </c>
      <c r="AD4" s="4" t="s">
        <v>186</v>
      </c>
      <c r="AE4" s="4" t="s">
        <v>187</v>
      </c>
      <c r="AF4" s="4" t="s">
        <v>188</v>
      </c>
      <c r="AG4" s="4" t="s">
        <v>189</v>
      </c>
      <c r="AH4" s="4" t="s">
        <v>190</v>
      </c>
      <c r="AI4" s="4" t="s">
        <v>191</v>
      </c>
      <c r="AJ4" s="4" t="s">
        <v>192</v>
      </c>
      <c r="AK4" s="4" t="s">
        <v>193</v>
      </c>
      <c r="AL4" s="4" t="s">
        <v>194</v>
      </c>
      <c r="AM4" s="4" t="s">
        <v>195</v>
      </c>
      <c r="AN4" s="4" t="s">
        <v>196</v>
      </c>
      <c r="AO4" s="4" t="s">
        <v>197</v>
      </c>
      <c r="AP4" s="4" t="s">
        <v>198</v>
      </c>
      <c r="AQ4" s="4" t="s">
        <v>199</v>
      </c>
      <c r="AR4" s="4" t="s">
        <v>200</v>
      </c>
      <c r="AS4" s="4" t="s">
        <v>201</v>
      </c>
      <c r="AT4" s="4" t="s">
        <v>202</v>
      </c>
      <c r="AU4" s="4" t="s">
        <v>203</v>
      </c>
      <c r="AV4" s="4" t="s">
        <v>204</v>
      </c>
      <c r="AW4" s="4" t="s">
        <v>205</v>
      </c>
      <c r="AX4" s="4" t="s">
        <v>206</v>
      </c>
      <c r="AY4" s="4" t="s">
        <v>207</v>
      </c>
      <c r="AZ4" s="4" t="s">
        <v>208</v>
      </c>
      <c r="BA4" s="4" t="s">
        <v>209</v>
      </c>
      <c r="BB4" s="4" t="s">
        <v>210</v>
      </c>
      <c r="BC4" s="4" t="s">
        <v>211</v>
      </c>
      <c r="BD4" s="4" t="s">
        <v>212</v>
      </c>
      <c r="BE4" s="4" t="s">
        <v>213</v>
      </c>
      <c r="BF4" s="4" t="s">
        <v>214</v>
      </c>
      <c r="BG4" s="4" t="s">
        <v>215</v>
      </c>
      <c r="BH4" s="4" t="s">
        <v>216</v>
      </c>
      <c r="BI4" s="4" t="s">
        <v>217</v>
      </c>
      <c r="BJ4" s="4" t="s">
        <v>218</v>
      </c>
      <c r="BK4" s="4" t="s">
        <v>219</v>
      </c>
      <c r="BL4" s="4" t="s">
        <v>220</v>
      </c>
      <c r="BM4" s="4" t="s">
        <v>221</v>
      </c>
      <c r="BN4" s="4" t="s">
        <v>222</v>
      </c>
      <c r="BO4" s="4" t="s">
        <v>223</v>
      </c>
      <c r="BP4" s="4" t="s">
        <v>224</v>
      </c>
      <c r="BQ4" s="4" t="s">
        <v>225</v>
      </c>
      <c r="BR4" s="4" t="s">
        <v>226</v>
      </c>
      <c r="BS4" s="4" t="s">
        <v>227</v>
      </c>
      <c r="BT4" s="4" t="s">
        <v>228</v>
      </c>
      <c r="BU4" s="4" t="s">
        <v>229</v>
      </c>
      <c r="BV4" s="4" t="s">
        <v>230</v>
      </c>
      <c r="BW4" s="4" t="s">
        <v>231</v>
      </c>
      <c r="BX4" s="4" t="s">
        <v>232</v>
      </c>
      <c r="BY4" s="4" t="s">
        <v>233</v>
      </c>
      <c r="BZ4" s="4" t="s">
        <v>234</v>
      </c>
      <c r="CA4" s="4" t="s">
        <v>235</v>
      </c>
      <c r="CB4" s="4" t="s">
        <v>236</v>
      </c>
      <c r="CC4" s="4" t="s">
        <v>237</v>
      </c>
      <c r="CD4" s="4" t="s">
        <v>238</v>
      </c>
      <c r="CE4" s="4" t="s">
        <v>239</v>
      </c>
      <c r="CF4" s="4" t="s">
        <v>240</v>
      </c>
      <c r="CG4" s="4" t="s">
        <v>241</v>
      </c>
      <c r="CH4" s="4" t="s">
        <v>242</v>
      </c>
      <c r="CI4" s="4" t="s">
        <v>243</v>
      </c>
      <c r="CJ4" s="4" t="s">
        <v>244</v>
      </c>
      <c r="CK4" s="4" t="s">
        <v>245</v>
      </c>
      <c r="CL4" s="4" t="s">
        <v>246</v>
      </c>
      <c r="CM4" s="4" t="s">
        <v>247</v>
      </c>
      <c r="CN4" s="4" t="s">
        <v>248</v>
      </c>
      <c r="CO4" s="4" t="s">
        <v>249</v>
      </c>
      <c r="CP4" s="4" t="s">
        <v>250</v>
      </c>
      <c r="CQ4" s="4" t="s">
        <v>251</v>
      </c>
      <c r="CR4" s="4" t="s">
        <v>252</v>
      </c>
      <c r="CS4" s="4" t="s">
        <v>253</v>
      </c>
      <c r="CT4" s="4" t="s">
        <v>254</v>
      </c>
      <c r="CU4" s="4" t="s">
        <v>255</v>
      </c>
      <c r="CV4" s="4" t="s">
        <v>256</v>
      </c>
      <c r="CW4" s="4" t="s">
        <v>257</v>
      </c>
      <c r="CX4" s="4" t="s">
        <v>258</v>
      </c>
      <c r="CY4" s="4" t="s">
        <v>259</v>
      </c>
      <c r="CZ4" s="4" t="s">
        <v>260</v>
      </c>
      <c r="DA4" s="4" t="s">
        <v>261</v>
      </c>
      <c r="DB4" s="4" t="s">
        <v>262</v>
      </c>
      <c r="DC4" s="4" t="s">
        <v>263</v>
      </c>
      <c r="DD4" s="4" t="s">
        <v>264</v>
      </c>
      <c r="DE4" s="4" t="s">
        <v>265</v>
      </c>
      <c r="DF4" s="4" t="s">
        <v>266</v>
      </c>
      <c r="DG4" s="4" t="s">
        <v>267</v>
      </c>
      <c r="DH4" s="4" t="s">
        <v>268</v>
      </c>
      <c r="DI4" s="4" t="s">
        <v>269</v>
      </c>
      <c r="DJ4" s="4" t="s">
        <v>270</v>
      </c>
      <c r="DK4" s="4" t="s">
        <v>271</v>
      </c>
      <c r="DL4" s="4" t="s">
        <v>272</v>
      </c>
      <c r="DM4" s="4" t="s">
        <v>273</v>
      </c>
      <c r="DN4" s="4" t="s">
        <v>274</v>
      </c>
      <c r="DO4" s="4" t="s">
        <v>275</v>
      </c>
      <c r="DP4" s="4" t="s">
        <v>276</v>
      </c>
      <c r="DQ4" s="4" t="s">
        <v>277</v>
      </c>
      <c r="DR4" s="4" t="s">
        <v>278</v>
      </c>
      <c r="DS4" s="4" t="s">
        <v>279</v>
      </c>
      <c r="DT4" s="4" t="s">
        <v>280</v>
      </c>
      <c r="DU4" s="4" t="s">
        <v>281</v>
      </c>
      <c r="DV4" s="4" t="s">
        <v>282</v>
      </c>
      <c r="DW4" s="4" t="s">
        <v>283</v>
      </c>
      <c r="DX4" s="4" t="s">
        <v>284</v>
      </c>
      <c r="DY4" s="4" t="s">
        <v>285</v>
      </c>
      <c r="DZ4" s="4" t="s">
        <v>286</v>
      </c>
      <c r="EA4" s="4" t="s">
        <v>287</v>
      </c>
      <c r="EB4" s="4" t="s">
        <v>288</v>
      </c>
      <c r="EC4" s="4" t="s">
        <v>289</v>
      </c>
      <c r="ED4" s="4" t="s">
        <v>290</v>
      </c>
      <c r="EE4" s="4" t="s">
        <v>291</v>
      </c>
      <c r="EF4" s="4" t="s">
        <v>292</v>
      </c>
      <c r="EG4" s="4" t="s">
        <v>293</v>
      </c>
      <c r="EH4" s="4" t="s">
        <v>294</v>
      </c>
      <c r="EI4" s="4" t="s">
        <v>295</v>
      </c>
      <c r="EJ4" s="4" t="s">
        <v>296</v>
      </c>
      <c r="EK4" s="4" t="s">
        <v>297</v>
      </c>
      <c r="EL4" s="4" t="s">
        <v>298</v>
      </c>
      <c r="EM4" s="4" t="s">
        <v>299</v>
      </c>
      <c r="EN4" s="4" t="s">
        <v>300</v>
      </c>
      <c r="EO4" s="4" t="s">
        <v>301</v>
      </c>
      <c r="EP4" s="4" t="s">
        <v>302</v>
      </c>
      <c r="EQ4" s="4" t="s">
        <v>303</v>
      </c>
      <c r="ER4" s="4" t="s">
        <v>304</v>
      </c>
      <c r="ES4" s="4" t="s">
        <v>305</v>
      </c>
      <c r="ET4" s="4" t="s">
        <v>306</v>
      </c>
      <c r="EU4" s="4" t="s">
        <v>307</v>
      </c>
      <c r="EV4" s="4" t="s">
        <v>308</v>
      </c>
      <c r="EW4" s="4" t="s">
        <v>309</v>
      </c>
      <c r="EX4" s="4" t="s">
        <v>310</v>
      </c>
      <c r="EY4" s="4" t="s">
        <v>311</v>
      </c>
      <c r="EZ4" s="4" t="s">
        <v>312</v>
      </c>
      <c r="FA4" s="4" t="s">
        <v>313</v>
      </c>
      <c r="FB4" s="4" t="s">
        <v>314</v>
      </c>
      <c r="FC4" s="4" t="s">
        <v>315</v>
      </c>
      <c r="FD4" s="4" t="s">
        <v>316</v>
      </c>
      <c r="FE4" s="4" t="s">
        <v>317</v>
      </c>
    </row>
    <row r="5" customFormat="false" ht="14.25" hidden="false" customHeight="true" outlineLevel="0" collapsed="false">
      <c r="B5" s="1" t="n">
        <f aca="false">IF(AND(Scores!$B5=1,Scores!$C5="Tool condition",ISNUMBER(Scores!E5)),COUNTIFS(Scores!$B$5:$B$44,1,Scores!$C$5:$C$44,"Paper condition",Scores!E$5:E$44,"&lt;"&amp;Scores!E5)+0.5*COUNTIFS(Scores!$B$5:$B$44,1,Scores!$C$5:$C$44,"Paper condition",Scores!E$5:E$44,Scores!E5),"")</f>
        <v>7</v>
      </c>
      <c r="C5" s="1" t="n">
        <f aca="false">IF(AND(Scores!$B5=1,OR(Scores!$C5="Tool condition",Scores!$C5="Paper condition"),ISNUMBER(Scores!E5)),(COUNTIFS(Scores!$B$5:$B$44,1,Scores!$C$5:$C$44,"Tool condition",Scores!E$5:E$44,Scores!E5)+COUNTIFS(Scores!$B$5:$B$44,1,Scores!$C$5:$C$44,"Paper condition",Scores!E$5:E$44,Scores!E5))^2-1,"")</f>
        <v>255</v>
      </c>
      <c r="D5" s="1" t="str">
        <f aca="false">IF(AND(Scores!$B5=2,Scores!$C5="Tool condition",ISNUMBER(Scores!E5)),COUNTIFS(Scores!$B$5:$B$44,2,Scores!$C$5:$C$44,"Paper condition",Scores!E$5:E$44,"&lt;"&amp;Scores!E5)+0.5*COUNTIFS(Scores!$B$5:$B$44,2,Scores!$C$5:$C$44,"Paper condition",Scores!E$5:E$44,Scores!E5),"")</f>
        <v/>
      </c>
      <c r="E5" s="1" t="str">
        <f aca="false">IF(AND(Scores!$B5=2,OR(Scores!$C5="Tool condition",Scores!$C5="Paper condition"),ISNUMBER(Scores!E5)),(COUNTIFS(Scores!$B$5:$B$44,2,Scores!$C$5:$C$44,"Tool condition",Scores!E$5:E$44,Scores!E5)+COUNTIFS(Scores!$B$5:$B$44,2,Scores!$C$5:$C$44,"Paper condition",Scores!E$5:E$44,Scores!E5))^2-1,"")</f>
        <v/>
      </c>
      <c r="F5" s="1" t="n">
        <f aca="false">IF(ISNUMBER(Scores!E5),Scores!E5^2,"")</f>
        <v>4</v>
      </c>
      <c r="G5" s="1" t="n">
        <f aca="false">IF(AND(Scores!$B5=1,Scores!$C5="Tool condition",ISNUMBER(Scores!F5)),COUNTIFS(Scores!$B$5:$B$44,1,Scores!$C$5:$C$44,"Paper condition",Scores!F$5:F$44,"&lt;"&amp;Scores!F5)+0.5*COUNTIFS(Scores!$B$5:$B$44,1,Scores!$C$5:$C$44,"Paper condition",Scores!F$5:F$44,Scores!F5),"")</f>
        <v>8</v>
      </c>
      <c r="H5" s="1" t="n">
        <f aca="false">IF(AND(Scores!$B5=1,OR(Scores!$C5="Tool condition",Scores!$C5="Paper condition"),ISNUMBER(Scores!F5)),(COUNTIFS(Scores!$B$5:$B$44,1,Scores!$C$5:$C$44,"Tool condition",Scores!F$5:F$44,Scores!F5)+COUNTIFS(Scores!$B$5:$B$44,1,Scores!$C$5:$C$44,"Paper condition",Scores!F$5:F$44,Scores!F5))^2-1,"")</f>
        <v>195</v>
      </c>
      <c r="I5" s="1" t="str">
        <f aca="false">IF(AND(Scores!$B5=2,Scores!$C5="Tool condition",ISNUMBER(Scores!F5)),COUNTIFS(Scores!$B$5:$B$44,2,Scores!$C$5:$C$44,"Paper condition",Scores!F$5:F$44,"&lt;"&amp;Scores!F5)+0.5*COUNTIFS(Scores!$B$5:$B$44,2,Scores!$C$5:$C$44,"Paper condition",Scores!F$5:F$44,Scores!F5),"")</f>
        <v/>
      </c>
      <c r="J5" s="1" t="str">
        <f aca="false">IF(AND(Scores!$B5=2,OR(Scores!$C5="Tool condition",Scores!$C5="Paper condition"),ISNUMBER(Scores!F5)),(COUNTIFS(Scores!$B$5:$B$44,2,Scores!$C$5:$C$44,"Tool condition",Scores!F$5:F$44,Scores!F5)+COUNTIFS(Scores!$B$5:$B$44,2,Scores!$C$5:$C$44,"Paper condition",Scores!F$5:F$44,Scores!F5))^2-1,"")</f>
        <v/>
      </c>
      <c r="K5" s="1" t="n">
        <f aca="false">IF(ISNUMBER(Scores!F5),Scores!F5^2,"")</f>
        <v>4</v>
      </c>
      <c r="L5" s="1" t="n">
        <f aca="false">IF(AND(Scores!$B5=1,Scores!$C5="Tool condition",ISNUMBER(Scores!G5)),COUNTIFS(Scores!$B$5:$B$44,1,Scores!$C$5:$C$44,"Paper condition",Scores!G$5:G$44,"&lt;"&amp;Scores!G5)+0.5*COUNTIFS(Scores!$B$5:$B$44,1,Scores!$C$5:$C$44,"Paper condition",Scores!G$5:G$44,Scores!G5),"")</f>
        <v>6.5</v>
      </c>
      <c r="M5" s="1" t="n">
        <f aca="false">IF(AND(Scores!$B5=1,OR(Scores!$C5="Tool condition",Scores!$C5="Paper condition"),ISNUMBER(Scores!G5)),(COUNTIFS(Scores!$B$5:$B$44,1,Scores!$C$5:$C$44,"Tool condition",Scores!G$5:G$44,Scores!G5)+COUNTIFS(Scores!$B$5:$B$44,1,Scores!$C$5:$C$44,"Paper condition",Scores!G$5:G$44,Scores!G5))^2-1,"")</f>
        <v>288</v>
      </c>
      <c r="N5" s="1" t="str">
        <f aca="false">IF(AND(Scores!$B5=2,Scores!$C5="Tool condition",ISNUMBER(Scores!G5)),COUNTIFS(Scores!$B$5:$B$44,2,Scores!$C$5:$C$44,"Paper condition",Scores!G$5:G$44,"&lt;"&amp;Scores!G5)+0.5*COUNTIFS(Scores!$B$5:$B$44,2,Scores!$C$5:$C$44,"Paper condition",Scores!G$5:G$44,Scores!G5),"")</f>
        <v/>
      </c>
      <c r="O5" s="1" t="str">
        <f aca="false">IF(AND(Scores!$B5=2,OR(Scores!$C5="Tool condition",Scores!$C5="Paper condition"),ISNUMBER(Scores!G5)),(COUNTIFS(Scores!$B$5:$B$44,2,Scores!$C$5:$C$44,"Tool condition",Scores!G$5:G$44,Scores!G5)+COUNTIFS(Scores!$B$5:$B$44,2,Scores!$C$5:$C$44,"Paper condition",Scores!G$5:G$44,Scores!G5))^2-1,"")</f>
        <v/>
      </c>
      <c r="P5" s="1" t="n">
        <f aca="false">IF(ISNUMBER(Scores!G5),Scores!G5^2,"")</f>
        <v>4</v>
      </c>
      <c r="Q5" s="1" t="n">
        <f aca="false">IF(AND(Scores!$B5=1,Scores!$C5="Tool condition",ISNUMBER(Scores!H5)),COUNTIFS(Scores!$B$5:$B$44,1,Scores!$C$5:$C$44,"Paper condition",Scores!H$5:H$44,"&lt;"&amp;Scores!H5)+0.5*COUNTIFS(Scores!$B$5:$B$44,1,Scores!$C$5:$C$44,"Paper condition",Scores!H$5:H$44,Scores!H5),"")</f>
        <v>7</v>
      </c>
      <c r="R5" s="1" t="n">
        <f aca="false">IF(AND(Scores!$B5=1,OR(Scores!$C5="Tool condition",Scores!$C5="Paper condition"),ISNUMBER(Scores!H5)),(COUNTIFS(Scores!$B$5:$B$44,1,Scores!$C$5:$C$44,"Tool condition",Scores!H$5:H$44,Scores!H5)+COUNTIFS(Scores!$B$5:$B$44,1,Scores!$C$5:$C$44,"Paper condition",Scores!H$5:H$44,Scores!H5))^2-1,"")</f>
        <v>255</v>
      </c>
      <c r="S5" s="1" t="str">
        <f aca="false">IF(AND(Scores!$B5=2,Scores!$C5="Tool condition",ISNUMBER(Scores!H5)),COUNTIFS(Scores!$B$5:$B$44,2,Scores!$C$5:$C$44,"Paper condition",Scores!H$5:H$44,"&lt;"&amp;Scores!H5)+0.5*COUNTIFS(Scores!$B$5:$B$44,2,Scores!$C$5:$C$44,"Paper condition",Scores!H$5:H$44,Scores!H5),"")</f>
        <v/>
      </c>
      <c r="T5" s="1" t="str">
        <f aca="false">IF(AND(Scores!$B5=2,OR(Scores!$C5="Tool condition",Scores!$C5="Paper condition"),ISNUMBER(Scores!H5)),(COUNTIFS(Scores!$B$5:$B$44,2,Scores!$C$5:$C$44,"Tool condition",Scores!H$5:H$44,Scores!H5)+COUNTIFS(Scores!$B$5:$B$44,2,Scores!$C$5:$C$44,"Paper condition",Scores!H$5:H$44,Scores!H5))^2-1,"")</f>
        <v/>
      </c>
      <c r="U5" s="1" t="n">
        <f aca="false">IF(ISNUMBER(Scores!H5),Scores!H5^2,"")</f>
        <v>4</v>
      </c>
      <c r="V5" s="1" t="n">
        <f aca="false">IF(AND(Scores!$B5=1,Scores!$C5="Tool condition",ISNUMBER(Scores!I5)),COUNTIFS(Scores!$B$5:$B$44,1,Scores!$C$5:$C$44,"Paper condition",Scores!I$5:I$44,"&lt;"&amp;Scores!I5)+0.5*COUNTIFS(Scores!$B$5:$B$44,1,Scores!$C$5:$C$44,"Paper condition",Scores!I$5:I$44,Scores!I5),"")</f>
        <v>8</v>
      </c>
      <c r="W5" s="1" t="n">
        <f aca="false">IF(AND(Scores!$B5=1,OR(Scores!$C5="Tool condition",Scores!$C5="Paper condition"),ISNUMBER(Scores!I5)),(COUNTIFS(Scores!$B$5:$B$44,1,Scores!$C$5:$C$44,"Tool condition",Scores!I$5:I$44,Scores!I5)+COUNTIFS(Scores!$B$5:$B$44,1,Scores!$C$5:$C$44,"Paper condition",Scores!I$5:I$44,Scores!I5))^2-1,"")</f>
        <v>195</v>
      </c>
      <c r="X5" s="1" t="str">
        <f aca="false">IF(AND(Scores!$B5=2,Scores!$C5="Tool condition",ISNUMBER(Scores!I5)),COUNTIFS(Scores!$B$5:$B$44,2,Scores!$C$5:$C$44,"Paper condition",Scores!I$5:I$44,"&lt;"&amp;Scores!I5)+0.5*COUNTIFS(Scores!$B$5:$B$44,2,Scores!$C$5:$C$44,"Paper condition",Scores!I$5:I$44,Scores!I5),"")</f>
        <v/>
      </c>
      <c r="Y5" s="1" t="str">
        <f aca="false">IF(AND(Scores!$B5=2,OR(Scores!$C5="Tool condition",Scores!$C5="Paper condition"),ISNUMBER(Scores!I5)),(COUNTIFS(Scores!$B$5:$B$44,2,Scores!$C$5:$C$44,"Tool condition",Scores!I$5:I$44,Scores!I5)+COUNTIFS(Scores!$B$5:$B$44,2,Scores!$C$5:$C$44,"Paper condition",Scores!I$5:I$44,Scores!I5))^2-1,"")</f>
        <v/>
      </c>
      <c r="Z5" s="1" t="n">
        <f aca="false">IF(ISNUMBER(Scores!I5),Scores!I5^2,"")</f>
        <v>4</v>
      </c>
      <c r="AA5" s="1" t="n">
        <f aca="false">IF(AND(Scores!$B5=1,Scores!$C5="Tool condition",ISNUMBER(Scores!J5)),COUNTIFS(Scores!$B$5:$B$44,1,Scores!$C$5:$C$44,"Paper condition",Scores!J$5:J$44,"&lt;"&amp;Scores!J5)+0.5*COUNTIFS(Scores!$B$5:$B$44,1,Scores!$C$5:$C$44,"Paper condition",Scores!J$5:J$44,Scores!J5),"")</f>
        <v>7.5</v>
      </c>
      <c r="AB5" s="1" t="n">
        <f aca="false">IF(AND(Scores!$B5=1,OR(Scores!$C5="Tool condition",Scores!$C5="Paper condition"),ISNUMBER(Scores!J5)),(COUNTIFS(Scores!$B$5:$B$44,1,Scores!$C$5:$C$44,"Tool condition",Scores!J$5:J$44,Scores!J5)+COUNTIFS(Scores!$B$5:$B$44,1,Scores!$C$5:$C$44,"Paper condition",Scores!J$5:J$44,Scores!J5))^2-1,"")</f>
        <v>224</v>
      </c>
      <c r="AC5" s="1" t="str">
        <f aca="false">IF(AND(Scores!$B5=2,Scores!$C5="Tool condition",ISNUMBER(Scores!J5)),COUNTIFS(Scores!$B$5:$B$44,2,Scores!$C$5:$C$44,"Paper condition",Scores!J$5:J$44,"&lt;"&amp;Scores!J5)+0.5*COUNTIFS(Scores!$B$5:$B$44,2,Scores!$C$5:$C$44,"Paper condition",Scores!J$5:J$44,Scores!J5),"")</f>
        <v/>
      </c>
      <c r="AD5" s="1" t="str">
        <f aca="false">IF(AND(Scores!$B5=2,OR(Scores!$C5="Tool condition",Scores!$C5="Paper condition"),ISNUMBER(Scores!J5)),(COUNTIFS(Scores!$B$5:$B$44,2,Scores!$C$5:$C$44,"Tool condition",Scores!J$5:J$44,Scores!J5)+COUNTIFS(Scores!$B$5:$B$44,2,Scores!$C$5:$C$44,"Paper condition",Scores!J$5:J$44,Scores!J5))^2-1,"")</f>
        <v/>
      </c>
      <c r="AE5" s="1" t="n">
        <f aca="false">IF(ISNUMBER(Scores!J5),Scores!J5^2,"")</f>
        <v>4</v>
      </c>
      <c r="AF5" s="1" t="n">
        <f aca="false">IF(AND(Scores!$B5=1,Scores!$C5="Tool condition",ISNUMBER(Scores!K5)),COUNTIFS(Scores!$B$5:$B$44,1,Scores!$C$5:$C$44,"Paper condition",Scores!K$5:K$44,"&lt;"&amp;Scores!K5)+0.5*COUNTIFS(Scores!$B$5:$B$44,1,Scores!$C$5:$C$44,"Paper condition",Scores!K$5:K$44,Scores!K5),"")</f>
        <v>7</v>
      </c>
      <c r="AG5" s="1" t="n">
        <f aca="false">IF(AND(Scores!$B5=1,OR(Scores!$C5="Tool condition",Scores!$C5="Paper condition"),ISNUMBER(Scores!K5)),(COUNTIFS(Scores!$B$5:$B$44,1,Scores!$C$5:$C$44,"Tool condition",Scores!K$5:K$44,Scores!K5)+COUNTIFS(Scores!$B$5:$B$44,1,Scores!$C$5:$C$44,"Paper condition",Scores!K$5:K$44,Scores!K5))^2-1,"")</f>
        <v>255</v>
      </c>
      <c r="AH5" s="1" t="str">
        <f aca="false">IF(AND(Scores!$B5=2,Scores!$C5="Tool condition",ISNUMBER(Scores!K5)),COUNTIFS(Scores!$B$5:$B$44,2,Scores!$C$5:$C$44,"Paper condition",Scores!K$5:K$44,"&lt;"&amp;Scores!K5)+0.5*COUNTIFS(Scores!$B$5:$B$44,2,Scores!$C$5:$C$44,"Paper condition",Scores!K$5:K$44,Scores!K5),"")</f>
        <v/>
      </c>
      <c r="AI5" s="1" t="str">
        <f aca="false">IF(AND(Scores!$B5=2,OR(Scores!$C5="Tool condition",Scores!$C5="Paper condition"),ISNUMBER(Scores!K5)),(COUNTIFS(Scores!$B$5:$B$44,2,Scores!$C$5:$C$44,"Tool condition",Scores!K$5:K$44,Scores!K5)+COUNTIFS(Scores!$B$5:$B$44,2,Scores!$C$5:$C$44,"Paper condition",Scores!K$5:K$44,Scores!K5))^2-1,"")</f>
        <v/>
      </c>
      <c r="AJ5" s="1" t="n">
        <f aca="false">IF(ISNUMBER(Scores!K5),Scores!K5^2,"")</f>
        <v>4</v>
      </c>
      <c r="AK5" s="1" t="n">
        <f aca="false">IF(AND(Scores!$B5=1,Scores!$C5="Tool condition",ISNUMBER(Scores!L5)),COUNTIFS(Scores!$B$5:$B$44,1,Scores!$C$5:$C$44,"Paper condition",Scores!L$5:L$44,"&lt;"&amp;Scores!L5)+0.5*COUNTIFS(Scores!$B$5:$B$44,1,Scores!$C$5:$C$44,"Paper condition",Scores!L$5:L$44,Scores!L5),"")</f>
        <v>6.5</v>
      </c>
      <c r="AL5" s="1" t="n">
        <f aca="false">IF(AND(Scores!$B5=1,OR(Scores!$C5="Tool condition",Scores!$C5="Paper condition"),ISNUMBER(Scores!L5)),(COUNTIFS(Scores!$B$5:$B$44,1,Scores!$C$5:$C$44,"Tool condition",Scores!L$5:L$44,Scores!L5)+COUNTIFS(Scores!$B$5:$B$44,1,Scores!$C$5:$C$44,"Paper condition",Scores!L$5:L$44,Scores!L5))^2-1,"")</f>
        <v>288</v>
      </c>
      <c r="AM5" s="1" t="str">
        <f aca="false">IF(AND(Scores!$B5=2,Scores!$C5="Tool condition",ISNUMBER(Scores!L5)),COUNTIFS(Scores!$B$5:$B$44,2,Scores!$C$5:$C$44,"Paper condition",Scores!L$5:L$44,"&lt;"&amp;Scores!L5)+0.5*COUNTIFS(Scores!$B$5:$B$44,2,Scores!$C$5:$C$44,"Paper condition",Scores!L$5:L$44,Scores!L5),"")</f>
        <v/>
      </c>
      <c r="AN5" s="1" t="str">
        <f aca="false">IF(AND(Scores!$B5=2,OR(Scores!$C5="Tool condition",Scores!$C5="Paper condition"),ISNUMBER(Scores!L5)),(COUNTIFS(Scores!$B$5:$B$44,2,Scores!$C$5:$C$44,"Tool condition",Scores!L$5:L$44,Scores!L5)+COUNTIFS(Scores!$B$5:$B$44,2,Scores!$C$5:$C$44,"Paper condition",Scores!L$5:L$44,Scores!L5))^2-1,"")</f>
        <v/>
      </c>
      <c r="AO5" s="1" t="n">
        <f aca="false">IF(ISNUMBER(Scores!L5),Scores!L5^2,"")</f>
        <v>4</v>
      </c>
      <c r="AP5" s="1" t="n">
        <f aca="false">IF(AND(Scores!$B5=1,Scores!$C5="Tool condition",ISNUMBER(Scores!M5)),COUNTIFS(Scores!$B$5:$B$44,1,Scores!$C$5:$C$44,"Paper condition",Scores!M$5:M$44,"&lt;"&amp;Scores!M5)+0.5*COUNTIFS(Scores!$B$5:$B$44,1,Scores!$C$5:$C$44,"Paper condition",Scores!M$5:M$44,Scores!M5),"")</f>
        <v>6.5</v>
      </c>
      <c r="AQ5" s="1" t="n">
        <f aca="false">IF(AND(Scores!$B5=1,OR(Scores!$C5="Tool condition",Scores!$C5="Paper condition"),ISNUMBER(Scores!M5)),(COUNTIFS(Scores!$B$5:$B$44,1,Scores!$C$5:$C$44,"Tool condition",Scores!M$5:M$44,Scores!M5)+COUNTIFS(Scores!$B$5:$B$44,1,Scores!$C$5:$C$44,"Paper condition",Scores!M$5:M$44,Scores!M5))^2-1,"")</f>
        <v>288</v>
      </c>
      <c r="AR5" s="1" t="str">
        <f aca="false">IF(AND(Scores!$B5=2,Scores!$C5="Tool condition",ISNUMBER(Scores!M5)),COUNTIFS(Scores!$B$5:$B$44,2,Scores!$C$5:$C$44,"Paper condition",Scores!M$5:M$44,"&lt;"&amp;Scores!M5)+0.5*COUNTIFS(Scores!$B$5:$B$44,2,Scores!$C$5:$C$44,"Paper condition",Scores!M$5:M$44,Scores!M5),"")</f>
        <v/>
      </c>
      <c r="AS5" s="1" t="str">
        <f aca="false">IF(AND(Scores!$B5=2,OR(Scores!$C5="Tool condition",Scores!$C5="Paper condition"),ISNUMBER(Scores!M5)),(COUNTIFS(Scores!$B$5:$B$44,2,Scores!$C$5:$C$44,"Tool condition",Scores!M$5:M$44,Scores!M5)+COUNTIFS(Scores!$B$5:$B$44,2,Scores!$C$5:$C$44,"Paper condition",Scores!M$5:M$44,Scores!M5))^2-1,"")</f>
        <v/>
      </c>
      <c r="AT5" s="1" t="n">
        <f aca="false">IF(ISNUMBER(Scores!M5),Scores!M5^2,"")</f>
        <v>4</v>
      </c>
      <c r="AU5" s="1" t="n">
        <f aca="false">IF(AND(Scores!$B5=1,Scores!$C5="Tool condition",ISNUMBER(Scores!N5)),COUNTIFS(Scores!$B$5:$B$44,1,Scores!$C$5:$C$44,"Paper condition",Scores!N$5:N$44,"&lt;"&amp;Scores!N5)+0.5*COUNTIFS(Scores!$B$5:$B$44,1,Scores!$C$5:$C$44,"Paper condition",Scores!N$5:N$44,Scores!N5),"")</f>
        <v>8</v>
      </c>
      <c r="AV5" s="1" t="n">
        <f aca="false">IF(AND(Scores!$B5=1,OR(Scores!$C5="Tool condition",Scores!$C5="Paper condition"),ISNUMBER(Scores!N5)),(COUNTIFS(Scores!$B$5:$B$44,1,Scores!$C$5:$C$44,"Tool condition",Scores!N$5:N$44,Scores!N5)+COUNTIFS(Scores!$B$5:$B$44,1,Scores!$C$5:$C$44,"Paper condition",Scores!N$5:N$44,Scores!N5))^2-1,"")</f>
        <v>195</v>
      </c>
      <c r="AW5" s="1" t="str">
        <f aca="false">IF(AND(Scores!$B5=2,Scores!$C5="Tool condition",ISNUMBER(Scores!N5)),COUNTIFS(Scores!$B$5:$B$44,2,Scores!$C$5:$C$44,"Paper condition",Scores!N$5:N$44,"&lt;"&amp;Scores!N5)+0.5*COUNTIFS(Scores!$B$5:$B$44,2,Scores!$C$5:$C$44,"Paper condition",Scores!N$5:N$44,Scores!N5),"")</f>
        <v/>
      </c>
      <c r="AX5" s="1" t="str">
        <f aca="false">IF(AND(Scores!$B5=2,OR(Scores!$C5="Tool condition",Scores!$C5="Paper condition"),ISNUMBER(Scores!N5)),(COUNTIFS(Scores!$B$5:$B$44,2,Scores!$C$5:$C$44,"Tool condition",Scores!N$5:N$44,Scores!N5)+COUNTIFS(Scores!$B$5:$B$44,2,Scores!$C$5:$C$44,"Paper condition",Scores!N$5:N$44,Scores!N5))^2-1,"")</f>
        <v/>
      </c>
      <c r="AY5" s="1" t="n">
        <f aca="false">IF(ISNUMBER(Scores!N5),Scores!N5^2,"")</f>
        <v>4</v>
      </c>
      <c r="AZ5" s="1" t="n">
        <f aca="false">IF(AND(Scores!$B5=1,Scores!$C5="Tool condition",ISNUMBER(Scores!O5)),COUNTIFS(Scores!$B$5:$B$44,1,Scores!$C$5:$C$44,"Paper condition",Scores!O$5:O$44,"&lt;"&amp;Scores!O5)+0.5*COUNTIFS(Scores!$B$5:$B$44,1,Scores!$C$5:$C$44,"Paper condition",Scores!O$5:O$44,Scores!O5),"")</f>
        <v>7.5</v>
      </c>
      <c r="BA5" s="1" t="n">
        <f aca="false">IF(AND(Scores!$B5=1,OR(Scores!$C5="Tool condition",Scores!$C5="Paper condition"),ISNUMBER(Scores!O5)),(COUNTIFS(Scores!$B$5:$B$44,1,Scores!$C$5:$C$44,"Tool condition",Scores!O$5:O$44,Scores!O5)+COUNTIFS(Scores!$B$5:$B$44,1,Scores!$C$5:$C$44,"Paper condition",Scores!O$5:O$44,Scores!O5))^2-1,"")</f>
        <v>224</v>
      </c>
      <c r="BB5" s="1" t="str">
        <f aca="false">IF(AND(Scores!$B5=2,Scores!$C5="Tool condition",ISNUMBER(Scores!O5)),COUNTIFS(Scores!$B$5:$B$44,2,Scores!$C$5:$C$44,"Paper condition",Scores!O$5:O$44,"&lt;"&amp;Scores!O5)+0.5*COUNTIFS(Scores!$B$5:$B$44,2,Scores!$C$5:$C$44,"Paper condition",Scores!O$5:O$44,Scores!O5),"")</f>
        <v/>
      </c>
      <c r="BC5" s="1" t="str">
        <f aca="false">IF(AND(Scores!$B5=2,OR(Scores!$C5="Tool condition",Scores!$C5="Paper condition"),ISNUMBER(Scores!O5)),(COUNTIFS(Scores!$B$5:$B$44,2,Scores!$C$5:$C$44,"Tool condition",Scores!O$5:O$44,Scores!O5)+COUNTIFS(Scores!$B$5:$B$44,2,Scores!$C$5:$C$44,"Paper condition",Scores!O$5:O$44,Scores!O5))^2-1,"")</f>
        <v/>
      </c>
      <c r="BD5" s="1" t="n">
        <f aca="false">IF(ISNUMBER(Scores!O5),Scores!O5^2,"")</f>
        <v>4</v>
      </c>
      <c r="BE5" s="1" t="n">
        <f aca="false">IF(AND(Scores!$B5=1,Scores!$C5="Tool condition",ISNUMBER(Scores!P5)),COUNTIFS(Scores!$B$5:$B$44,1,Scores!$C$5:$C$44,"Paper condition",Scores!P$5:P$44,"&lt;"&amp;Scores!P5)+0.5*COUNTIFS(Scores!$B$5:$B$44,1,Scores!$C$5:$C$44,"Paper condition",Scores!P$5:P$44,Scores!P5),"")</f>
        <v>8.5</v>
      </c>
      <c r="BF5" s="1" t="n">
        <f aca="false">IF(AND(Scores!$B5=1,OR(Scores!$C5="Tool condition",Scores!$C5="Paper condition"),ISNUMBER(Scores!P5)),(COUNTIFS(Scores!$B$5:$B$44,1,Scores!$C$5:$C$44,"Tool condition",Scores!P$5:P$44,Scores!P5)+COUNTIFS(Scores!$B$5:$B$44,1,Scores!$C$5:$C$44,"Paper condition",Scores!P$5:P$44,Scores!P5))^2-1,"")</f>
        <v>168</v>
      </c>
      <c r="BG5" s="1" t="str">
        <f aca="false">IF(AND(Scores!$B5=2,Scores!$C5="Tool condition",ISNUMBER(Scores!P5)),COUNTIFS(Scores!$B$5:$B$44,2,Scores!$C$5:$C$44,"Paper condition",Scores!P$5:P$44,"&lt;"&amp;Scores!P5)+0.5*COUNTIFS(Scores!$B$5:$B$44,2,Scores!$C$5:$C$44,"Paper condition",Scores!P$5:P$44,Scores!P5),"")</f>
        <v/>
      </c>
      <c r="BH5" s="1" t="str">
        <f aca="false">IF(AND(Scores!$B5=2,OR(Scores!$C5="Tool condition",Scores!$C5="Paper condition"),ISNUMBER(Scores!P5)),(COUNTIFS(Scores!$B$5:$B$44,2,Scores!$C$5:$C$44,"Tool condition",Scores!P$5:P$44,Scores!P5)+COUNTIFS(Scores!$B$5:$B$44,2,Scores!$C$5:$C$44,"Paper condition",Scores!P$5:P$44,Scores!P5))^2-1,"")</f>
        <v/>
      </c>
      <c r="BI5" s="1" t="n">
        <f aca="false">IF(ISNUMBER(Scores!P5),Scores!P5^2,"")</f>
        <v>4</v>
      </c>
      <c r="BJ5" s="1" t="n">
        <f aca="false">IF(AND(R_Scores!$B5=1,R_Scores!$C5="Tool condition",ISNUMBER(R_Scores!E5)),COUNTIFS(R_Scores!$B$5:$B$44,1,R_Scores!$C$5:$C$44,"Paper condition",R_Scores!E$5:E$44,"&lt;"&amp;R_Scores!E5)+0.5*COUNTIFS(R_Scores!$B$5:$B$44,1,R_Scores!$C$5:$C$44,"Paper condition",R_Scores!E$5:E$44,R_Scores!E5),"")</f>
        <v>7</v>
      </c>
      <c r="BK5" s="1" t="n">
        <f aca="false">IF(AND(R_Scores!$B5=1,OR(R_Scores!$C5="Tool condition",R_Scores!$C5="Paper condition"),ISNUMBER(R_Scores!E5)),(COUNTIFS(R_Scores!$B$5:$B$44,1,R_Scores!$C$5:$C$44,"Tool condition",R_Scores!E$5:E$44,R_Scores!E5)+COUNTIFS(R_Scores!$B$5:$B$44,1,R_Scores!$C$5:$C$44,"Paper condition",R_Scores!E$5:E$44,R_Scores!E5))^2-1,"")</f>
        <v>224</v>
      </c>
      <c r="BL5" s="1" t="str">
        <f aca="false">IF(AND(R_Scores!$B5=2,R_Scores!$C5="Tool condition",ISNUMBER(R_Scores!E5)),COUNTIFS(R_Scores!$B$5:$B$44,2,R_Scores!$C$5:$C$44,"Paper condition",R_Scores!E$5:E$44,"&lt;"&amp;R_Scores!E5)+0.5*COUNTIFS(R_Scores!$B$5:$B$44,2,R_Scores!$C$5:$C$44,"Paper condition",R_Scores!E$5:E$44,R_Scores!E5),"")</f>
        <v/>
      </c>
      <c r="BM5" s="1" t="str">
        <f aca="false">IF(AND(R_Scores!$B5=2,OR(R_Scores!$C5="Tool condition",R_Scores!$C5="Paper condition"),ISNUMBER(R_Scores!E5)),(COUNTIFS(R_Scores!$B$5:$B$44,2,R_Scores!$C$5:$C$44,"Tool condition",R_Scores!E$5:E$44,R_Scores!E5)+COUNTIFS(R_Scores!$B$5:$B$44,2,R_Scores!$C$5:$C$44,"Paper condition",R_Scores!E$5:E$44,R_Scores!E5))^2-1,"")</f>
        <v/>
      </c>
      <c r="BN5" s="1" t="n">
        <f aca="false">IF(ISNUMBER(R_Scores!E5),R_Scores!E5^2,"")</f>
        <v>1</v>
      </c>
      <c r="BO5" s="1" t="n">
        <f aca="false">IF(AND(R_Scores!$B5=1,R_Scores!$C5="Tool condition",ISNUMBER(R_Scores!F5)),COUNTIFS(R_Scores!$B$5:$B$44,1,R_Scores!$C$5:$C$44,"Paper condition",R_Scores!F$5:F$44,"&lt;"&amp;R_Scores!F5)+0.5*COUNTIFS(R_Scores!$B$5:$B$44,1,R_Scores!$C$5:$C$44,"Paper condition",R_Scores!F$5:F$44,R_Scores!F5),"")</f>
        <v>7</v>
      </c>
      <c r="BP5" s="1" t="n">
        <f aca="false">IF(AND(R_Scores!$B5=1,OR(R_Scores!$C5="Tool condition",R_Scores!$C5="Paper condition"),ISNUMBER(R_Scores!F5)),(COUNTIFS(R_Scores!$B$5:$B$44,1,R_Scores!$C$5:$C$44,"Tool condition",R_Scores!F$5:F$44,R_Scores!F5)+COUNTIFS(R_Scores!$B$5:$B$44,1,R_Scores!$C$5:$C$44,"Paper condition",R_Scores!F$5:F$44,R_Scores!F5))^2-1,"")</f>
        <v>195</v>
      </c>
      <c r="BQ5" s="1" t="str">
        <f aca="false">IF(AND(R_Scores!$B5=2,R_Scores!$C5="Tool condition",ISNUMBER(R_Scores!F5)),COUNTIFS(R_Scores!$B$5:$B$44,2,R_Scores!$C$5:$C$44,"Paper condition",R_Scores!F$5:F$44,"&lt;"&amp;R_Scores!F5)+0.5*COUNTIFS(R_Scores!$B$5:$B$44,2,R_Scores!$C$5:$C$44,"Paper condition",R_Scores!F$5:F$44,R_Scores!F5),"")</f>
        <v/>
      </c>
      <c r="BR5" s="1" t="str">
        <f aca="false">IF(AND(R_Scores!$B5=2,OR(R_Scores!$C5="Tool condition",R_Scores!$C5="Paper condition"),ISNUMBER(R_Scores!F5)),(COUNTIFS(R_Scores!$B$5:$B$44,2,R_Scores!$C$5:$C$44,"Tool condition",R_Scores!F$5:F$44,R_Scores!F5)+COUNTIFS(R_Scores!$B$5:$B$44,2,R_Scores!$C$5:$C$44,"Paper condition",R_Scores!F$5:F$44,R_Scores!F5))^2-1,"")</f>
        <v/>
      </c>
      <c r="BS5" s="1" t="n">
        <f aca="false">IF(ISNUMBER(R_Scores!F5),R_Scores!F5^2,"")</f>
        <v>1</v>
      </c>
      <c r="BT5" s="1" t="str">
        <f aca="false">IF(AND(R_Scores!$B5=1,R_Scores!$C5="Tool condition",ISNUMBER(R_Scores!G5)),COUNTIFS(R_Scores!$B$5:$B$44,1,R_Scores!$C$5:$C$44,"Paper condition",R_Scores!G$5:G$44,"&lt;"&amp;R_Scores!G5)+0.5*COUNTIFS(R_Scores!$B$5:$B$44,1,R_Scores!$C$5:$C$44,"Paper condition",R_Scores!G$5:G$44,R_Scores!G5),"")</f>
        <v/>
      </c>
      <c r="BU5" s="1" t="str">
        <f aca="false">IF(AND(R_Scores!$B5=1,OR(R_Scores!$C5="Tool condition",R_Scores!$C5="Paper condition"),ISNUMBER(R_Scores!G5)),(COUNTIFS(R_Scores!$B$5:$B$44,1,R_Scores!$C$5:$C$44,"Tool condition",R_Scores!G$5:G$44,R_Scores!G5)+COUNTIFS(R_Scores!$B$5:$B$44,1,R_Scores!$C$5:$C$44,"Paper condition",R_Scores!G$5:G$44,R_Scores!G5))^2-1,"")</f>
        <v/>
      </c>
      <c r="BV5" s="1" t="str">
        <f aca="false">IF(AND(R_Scores!$B5=2,R_Scores!$C5="Tool condition",ISNUMBER(R_Scores!G5)),COUNTIFS(R_Scores!$B$5:$B$44,2,R_Scores!$C$5:$C$44,"Paper condition",R_Scores!G$5:G$44,"&lt;"&amp;R_Scores!G5)+0.5*COUNTIFS(R_Scores!$B$5:$B$44,2,R_Scores!$C$5:$C$44,"Paper condition",R_Scores!G$5:G$44,R_Scores!G5),"")</f>
        <v/>
      </c>
      <c r="BW5" s="1" t="str">
        <f aca="false">IF(AND(R_Scores!$B5=2,OR(R_Scores!$C5="Tool condition",R_Scores!$C5="Paper condition"),ISNUMBER(R_Scores!G5)),(COUNTIFS(R_Scores!$B$5:$B$44,2,R_Scores!$C$5:$C$44,"Tool condition",R_Scores!G$5:G$44,R_Scores!G5)+COUNTIFS(R_Scores!$B$5:$B$44,2,R_Scores!$C$5:$C$44,"Paper condition",R_Scores!G$5:G$44,R_Scores!G5))^2-1,"")</f>
        <v/>
      </c>
      <c r="BX5" s="1" t="str">
        <f aca="false">IF(ISNUMBER(R_Scores!G5),R_Scores!G5^2,"")</f>
        <v/>
      </c>
      <c r="BY5" s="1" t="str">
        <f aca="false">IF(AND(R_Scores!$B5=1,R_Scores!$C5="Tool condition",ISNUMBER(R_Scores!H5)),COUNTIFS(R_Scores!$B$5:$B$44,1,R_Scores!$C$5:$C$44,"Paper condition",R_Scores!H$5:H$44,"&lt;"&amp;R_Scores!H5)+0.5*COUNTIFS(R_Scores!$B$5:$B$44,1,R_Scores!$C$5:$C$44,"Paper condition",R_Scores!H$5:H$44,R_Scores!H5),"")</f>
        <v/>
      </c>
      <c r="BZ5" s="1" t="str">
        <f aca="false">IF(AND(R_Scores!$B5=1,OR(R_Scores!$C5="Tool condition",R_Scores!$C5="Paper condition"),ISNUMBER(R_Scores!H5)),(COUNTIFS(R_Scores!$B$5:$B$44,1,R_Scores!$C$5:$C$44,"Tool condition",R_Scores!H$5:H$44,R_Scores!H5)+COUNTIFS(R_Scores!$B$5:$B$44,1,R_Scores!$C$5:$C$44,"Paper condition",R_Scores!H$5:H$44,R_Scores!H5))^2-1,"")</f>
        <v/>
      </c>
      <c r="CA5" s="1" t="str">
        <f aca="false">IF(AND(R_Scores!$B5=2,R_Scores!$C5="Tool condition",ISNUMBER(R_Scores!H5)),COUNTIFS(R_Scores!$B$5:$B$44,2,R_Scores!$C$5:$C$44,"Paper condition",R_Scores!H$5:H$44,"&lt;"&amp;R_Scores!H5)+0.5*COUNTIFS(R_Scores!$B$5:$B$44,2,R_Scores!$C$5:$C$44,"Paper condition",R_Scores!H$5:H$44,R_Scores!H5),"")</f>
        <v/>
      </c>
      <c r="CB5" s="1" t="str">
        <f aca="false">IF(AND(R_Scores!$B5=2,OR(R_Scores!$C5="Tool condition",R_Scores!$C5="Paper condition"),ISNUMBER(R_Scores!H5)),(COUNTIFS(R_Scores!$B$5:$B$44,2,R_Scores!$C$5:$C$44,"Tool condition",R_Scores!H$5:H$44,R_Scores!H5)+COUNTIFS(R_Scores!$B$5:$B$44,2,R_Scores!$C$5:$C$44,"Paper condition",R_Scores!H$5:H$44,R_Scores!H5))^2-1,"")</f>
        <v/>
      </c>
      <c r="CC5" s="1" t="str">
        <f aca="false">IF(ISNUMBER(R_Scores!H5),R_Scores!H5^2,"")</f>
        <v/>
      </c>
      <c r="CD5" s="1" t="n">
        <f aca="false">IF(AND(R_Scores!$B5=1,R_Scores!$C5="Tool condition",ISNUMBER(R_Scores!I5)),COUNTIFS(R_Scores!$B$5:$B$44,1,R_Scores!$C$5:$C$44,"Paper condition",R_Scores!I$5:I$44,"&lt;"&amp;R_Scores!I5)+0.5*COUNTIFS(R_Scores!$B$5:$B$44,1,R_Scores!$C$5:$C$44,"Paper condition",R_Scores!I$5:I$44,R_Scores!I5),"")</f>
        <v>7.5</v>
      </c>
      <c r="CE5" s="1" t="n">
        <f aca="false">IF(AND(R_Scores!$B5=1,OR(R_Scores!$C5="Tool condition",R_Scores!$C5="Paper condition"),ISNUMBER(R_Scores!I5)),(COUNTIFS(R_Scores!$B$5:$B$44,1,R_Scores!$C$5:$C$44,"Tool condition",R_Scores!I$5:I$44,R_Scores!I5)+COUNTIFS(R_Scores!$B$5:$B$44,1,R_Scores!$C$5:$C$44,"Paper condition",R_Scores!I$5:I$44,R_Scores!I5))^2-1,"")</f>
        <v>168</v>
      </c>
      <c r="CF5" s="1" t="str">
        <f aca="false">IF(AND(R_Scores!$B5=2,R_Scores!$C5="Tool condition",ISNUMBER(R_Scores!I5)),COUNTIFS(R_Scores!$B$5:$B$44,2,R_Scores!$C$5:$C$44,"Paper condition",R_Scores!I$5:I$44,"&lt;"&amp;R_Scores!I5)+0.5*COUNTIFS(R_Scores!$B$5:$B$44,2,R_Scores!$C$5:$C$44,"Paper condition",R_Scores!I$5:I$44,R_Scores!I5),"")</f>
        <v/>
      </c>
      <c r="CG5" s="1" t="str">
        <f aca="false">IF(AND(R_Scores!$B5=2,OR(R_Scores!$C5="Tool condition",R_Scores!$C5="Paper condition"),ISNUMBER(R_Scores!I5)),(COUNTIFS(R_Scores!$B$5:$B$44,2,R_Scores!$C$5:$C$44,"Tool condition",R_Scores!I$5:I$44,R_Scores!I5)+COUNTIFS(R_Scores!$B$5:$B$44,2,R_Scores!$C$5:$C$44,"Paper condition",R_Scores!I$5:I$44,R_Scores!I5))^2-1,"")</f>
        <v/>
      </c>
      <c r="CH5" s="1" t="n">
        <f aca="false">IF(ISNUMBER(R_Scores!I5),R_Scores!I5^2,"")</f>
        <v>1</v>
      </c>
      <c r="CI5" s="1" t="n">
        <f aca="false">IF(AND(R_Scores!$B5=1,R_Scores!$C5="Tool condition",ISNUMBER(R_Scores!J5)),COUNTIFS(R_Scores!$B$5:$B$44,1,R_Scores!$C$5:$C$44,"Paper condition",R_Scores!J$5:J$44,"&lt;"&amp;R_Scores!J5)+0.5*COUNTIFS(R_Scores!$B$5:$B$44,1,R_Scores!$C$5:$C$44,"Paper condition",R_Scores!J$5:J$44,R_Scores!J5),"")</f>
        <v>7</v>
      </c>
      <c r="CJ5" s="1" t="n">
        <f aca="false">IF(AND(R_Scores!$B5=1,OR(R_Scores!$C5="Tool condition",R_Scores!$C5="Paper condition"),ISNUMBER(R_Scores!J5)),(COUNTIFS(R_Scores!$B$5:$B$44,1,R_Scores!$C$5:$C$44,"Tool condition",R_Scores!J$5:J$44,R_Scores!J5)+COUNTIFS(R_Scores!$B$5:$B$44,1,R_Scores!$C$5:$C$44,"Paper condition",R_Scores!J$5:J$44,R_Scores!J5))^2-1,"")</f>
        <v>224</v>
      </c>
      <c r="CK5" s="1" t="str">
        <f aca="false">IF(AND(R_Scores!$B5=2,R_Scores!$C5="Tool condition",ISNUMBER(R_Scores!J5)),COUNTIFS(R_Scores!$B$5:$B$44,2,R_Scores!$C$5:$C$44,"Paper condition",R_Scores!J$5:J$44,"&lt;"&amp;R_Scores!J5)+0.5*COUNTIFS(R_Scores!$B$5:$B$44,2,R_Scores!$C$5:$C$44,"Paper condition",R_Scores!J$5:J$44,R_Scores!J5),"")</f>
        <v/>
      </c>
      <c r="CL5" s="1" t="str">
        <f aca="false">IF(AND(R_Scores!$B5=2,OR(R_Scores!$C5="Tool condition",R_Scores!$C5="Paper condition"),ISNUMBER(R_Scores!J5)),(COUNTIFS(R_Scores!$B$5:$B$44,2,R_Scores!$C$5:$C$44,"Tool condition",R_Scores!J$5:J$44,R_Scores!J5)+COUNTIFS(R_Scores!$B$5:$B$44,2,R_Scores!$C$5:$C$44,"Paper condition",R_Scores!J$5:J$44,R_Scores!J5))^2-1,"")</f>
        <v/>
      </c>
      <c r="CM5" s="1" t="n">
        <f aca="false">IF(ISNUMBER(R_Scores!J5),R_Scores!J5^2,"")</f>
        <v>1</v>
      </c>
      <c r="CN5" s="1" t="str">
        <f aca="false">IF(AND(R_Scores!$B5=1,R_Scores!$C5="Tool condition",ISNUMBER(R_Scores!K5)),COUNTIFS(R_Scores!$B$5:$B$44,1,R_Scores!$C$5:$C$44,"Paper condition",R_Scores!K$5:K$44,"&lt;"&amp;R_Scores!K5)+0.5*COUNTIFS(R_Scores!$B$5:$B$44,1,R_Scores!$C$5:$C$44,"Paper condition",R_Scores!K$5:K$44,R_Scores!K5),"")</f>
        <v/>
      </c>
      <c r="CO5" s="1" t="str">
        <f aca="false">IF(AND(R_Scores!$B5=1,OR(R_Scores!$C5="Tool condition",R_Scores!$C5="Paper condition"),ISNUMBER(R_Scores!K5)),(COUNTIFS(R_Scores!$B$5:$B$44,1,R_Scores!$C$5:$C$44,"Tool condition",R_Scores!K$5:K$44,R_Scores!K5)+COUNTIFS(R_Scores!$B$5:$B$44,1,R_Scores!$C$5:$C$44,"Paper condition",R_Scores!K$5:K$44,R_Scores!K5))^2-1,"")</f>
        <v/>
      </c>
      <c r="CP5" s="1" t="str">
        <f aca="false">IF(AND(R_Scores!$B5=2,R_Scores!$C5="Tool condition",ISNUMBER(R_Scores!K5)),COUNTIFS(R_Scores!$B$5:$B$44,2,R_Scores!$C$5:$C$44,"Paper condition",R_Scores!K$5:K$44,"&lt;"&amp;R_Scores!K5)+0.5*COUNTIFS(R_Scores!$B$5:$B$44,2,R_Scores!$C$5:$C$44,"Paper condition",R_Scores!K$5:K$44,R_Scores!K5),"")</f>
        <v/>
      </c>
      <c r="CQ5" s="1" t="str">
        <f aca="false">IF(AND(R_Scores!$B5=2,OR(R_Scores!$C5="Tool condition",R_Scores!$C5="Paper condition"),ISNUMBER(R_Scores!K5)),(COUNTIFS(R_Scores!$B$5:$B$44,2,R_Scores!$C$5:$C$44,"Tool condition",R_Scores!K$5:K$44,R_Scores!K5)+COUNTIFS(R_Scores!$B$5:$B$44,2,R_Scores!$C$5:$C$44,"Paper condition",R_Scores!K$5:K$44,R_Scores!K5))^2-1,"")</f>
        <v/>
      </c>
      <c r="CR5" s="1" t="str">
        <f aca="false">IF(ISNUMBER(R_Scores!K5),R_Scores!K5^2,"")</f>
        <v/>
      </c>
      <c r="CS5" s="1" t="str">
        <f aca="false">IF(AND(R_Scores!$B5=1,R_Scores!$C5="Tool condition",ISNUMBER(R_Scores!L5)),COUNTIFS(R_Scores!$B$5:$B$44,1,R_Scores!$C$5:$C$44,"Paper condition",R_Scores!L$5:L$44,"&lt;"&amp;R_Scores!L5)+0.5*COUNTIFS(R_Scores!$B$5:$B$44,1,R_Scores!$C$5:$C$44,"Paper condition",R_Scores!L$5:L$44,R_Scores!L5),"")</f>
        <v/>
      </c>
      <c r="CT5" s="1" t="str">
        <f aca="false">IF(AND(R_Scores!$B5=1,OR(R_Scores!$C5="Tool condition",R_Scores!$C5="Paper condition"),ISNUMBER(R_Scores!L5)),(COUNTIFS(R_Scores!$B$5:$B$44,1,R_Scores!$C$5:$C$44,"Tool condition",R_Scores!L$5:L$44,R_Scores!L5)+COUNTIFS(R_Scores!$B$5:$B$44,1,R_Scores!$C$5:$C$44,"Paper condition",R_Scores!L$5:L$44,R_Scores!L5))^2-1,"")</f>
        <v/>
      </c>
      <c r="CU5" s="1" t="str">
        <f aca="false">IF(AND(R_Scores!$B5=2,R_Scores!$C5="Tool condition",ISNUMBER(R_Scores!L5)),COUNTIFS(R_Scores!$B$5:$B$44,2,R_Scores!$C$5:$C$44,"Paper condition",R_Scores!L$5:L$44,"&lt;"&amp;R_Scores!L5)+0.5*COUNTIFS(R_Scores!$B$5:$B$44,2,R_Scores!$C$5:$C$44,"Paper condition",R_Scores!L$5:L$44,R_Scores!L5),"")</f>
        <v/>
      </c>
      <c r="CV5" s="1" t="str">
        <f aca="false">IF(AND(R_Scores!$B5=2,OR(R_Scores!$C5="Tool condition",R_Scores!$C5="Paper condition"),ISNUMBER(R_Scores!L5)),(COUNTIFS(R_Scores!$B$5:$B$44,2,R_Scores!$C$5:$C$44,"Tool condition",R_Scores!L$5:L$44,R_Scores!L5)+COUNTIFS(R_Scores!$B$5:$B$44,2,R_Scores!$C$5:$C$44,"Paper condition",R_Scores!L$5:L$44,R_Scores!L5))^2-1,"")</f>
        <v/>
      </c>
      <c r="CW5" s="1" t="str">
        <f aca="false">IF(ISNUMBER(R_Scores!L5),R_Scores!L5^2,"")</f>
        <v/>
      </c>
      <c r="CX5" s="1" t="str">
        <f aca="false">IF(AND(R_Scores!$B5=1,R_Scores!$C5="Tool condition",ISNUMBER(R_Scores!M5)),COUNTIFS(R_Scores!$B$5:$B$44,1,R_Scores!$C$5:$C$44,"Paper condition",R_Scores!M$5:M$44,"&lt;"&amp;R_Scores!M5)+0.5*COUNTIFS(R_Scores!$B$5:$B$44,1,R_Scores!$C$5:$C$44,"Paper condition",R_Scores!M$5:M$44,R_Scores!M5),"")</f>
        <v/>
      </c>
      <c r="CY5" s="1" t="str">
        <f aca="false">IF(AND(R_Scores!$B5=1,OR(R_Scores!$C5="Tool condition",R_Scores!$C5="Paper condition"),ISNUMBER(R_Scores!M5)),(COUNTIFS(R_Scores!$B$5:$B$44,1,R_Scores!$C$5:$C$44,"Tool condition",R_Scores!M$5:M$44,R_Scores!M5)+COUNTIFS(R_Scores!$B$5:$B$44,1,R_Scores!$C$5:$C$44,"Paper condition",R_Scores!M$5:M$44,R_Scores!M5))^2-1,"")</f>
        <v/>
      </c>
      <c r="CZ5" s="1" t="str">
        <f aca="false">IF(AND(R_Scores!$B5=2,R_Scores!$C5="Tool condition",ISNUMBER(R_Scores!M5)),COUNTIFS(R_Scores!$B$5:$B$44,2,R_Scores!$C$5:$C$44,"Paper condition",R_Scores!M$5:M$44,"&lt;"&amp;R_Scores!M5)+0.5*COUNTIFS(R_Scores!$B$5:$B$44,2,R_Scores!$C$5:$C$44,"Paper condition",R_Scores!M$5:M$44,R_Scores!M5),"")</f>
        <v/>
      </c>
      <c r="DA5" s="1" t="str">
        <f aca="false">IF(AND(R_Scores!$B5=2,OR(R_Scores!$C5="Tool condition",R_Scores!$C5="Paper condition"),ISNUMBER(R_Scores!M5)),(COUNTIFS(R_Scores!$B$5:$B$44,2,R_Scores!$C$5:$C$44,"Tool condition",R_Scores!M$5:M$44,R_Scores!M5)+COUNTIFS(R_Scores!$B$5:$B$44,2,R_Scores!$C$5:$C$44,"Paper condition",R_Scores!M$5:M$44,R_Scores!M5))^2-1,"")</f>
        <v/>
      </c>
      <c r="DB5" s="1" t="str">
        <f aca="false">IF(ISNUMBER(R_Scores!M5),R_Scores!M5^2,"")</f>
        <v/>
      </c>
      <c r="DC5" s="1" t="n">
        <f aca="false">IF(AND(R_Scores!$B5=1,R_Scores!$C5="Tool condition",ISNUMBER(R_Scores!N5)),COUNTIFS(R_Scores!$B$5:$B$44,1,R_Scores!$C$5:$C$44,"Paper condition",R_Scores!N$5:N$44,"&lt;"&amp;R_Scores!N5)+0.5*COUNTIFS(R_Scores!$B$5:$B$44,1,R_Scores!$C$5:$C$44,"Paper condition",R_Scores!N$5:N$44,R_Scores!N5),"")</f>
        <v>8</v>
      </c>
      <c r="DD5" s="1" t="n">
        <f aca="false">IF(AND(R_Scores!$B5=1,OR(R_Scores!$C5="Tool condition",R_Scores!$C5="Paper condition"),ISNUMBER(R_Scores!N5)),(COUNTIFS(R_Scores!$B$5:$B$44,1,R_Scores!$C$5:$C$44,"Tool condition",R_Scores!N$5:N$44,R_Scores!N5)+COUNTIFS(R_Scores!$B$5:$B$44,1,R_Scores!$C$5:$C$44,"Paper condition",R_Scores!N$5:N$44,R_Scores!N5))^2-1,"")</f>
        <v>143</v>
      </c>
      <c r="DE5" s="1" t="str">
        <f aca="false">IF(AND(R_Scores!$B5=2,R_Scores!$C5="Tool condition",ISNUMBER(R_Scores!N5)),COUNTIFS(R_Scores!$B$5:$B$44,2,R_Scores!$C$5:$C$44,"Paper condition",R_Scores!N$5:N$44,"&lt;"&amp;R_Scores!N5)+0.5*COUNTIFS(R_Scores!$B$5:$B$44,2,R_Scores!$C$5:$C$44,"Paper condition",R_Scores!N$5:N$44,R_Scores!N5),"")</f>
        <v/>
      </c>
      <c r="DF5" s="1" t="str">
        <f aca="false">IF(AND(R_Scores!$B5=2,OR(R_Scores!$C5="Tool condition",R_Scores!$C5="Paper condition"),ISNUMBER(R_Scores!N5)),(COUNTIFS(R_Scores!$B$5:$B$44,2,R_Scores!$C$5:$C$44,"Tool condition",R_Scores!N$5:N$44,R_Scores!N5)+COUNTIFS(R_Scores!$B$5:$B$44,2,R_Scores!$C$5:$C$44,"Paper condition",R_Scores!N$5:N$44,R_Scores!N5))^2-1,"")</f>
        <v/>
      </c>
      <c r="DG5" s="1" t="n">
        <f aca="false">IF(ISNUMBER(R_Scores!N5),R_Scores!N5^2,"")</f>
        <v>1</v>
      </c>
      <c r="DH5" s="1" t="n">
        <f aca="false">IF(AND(R_Scores!$B5=1,R_Scores!$C5="Tool condition",ISNUMBER(R_Scores!O5)),COUNTIFS(R_Scores!$B$5:$B$44,1,R_Scores!$C$5:$C$44,"Paper condition",R_Scores!O$5:O$44,"&lt;"&amp;R_Scores!O5)+0.5*COUNTIFS(R_Scores!$B$5:$B$44,1,R_Scores!$C$5:$C$44,"Paper condition",R_Scores!O$5:O$44,R_Scores!O5),"")</f>
        <v>7.5</v>
      </c>
      <c r="DI5" s="1" t="n">
        <f aca="false">IF(AND(R_Scores!$B5=1,OR(R_Scores!$C5="Tool condition",R_Scores!$C5="Paper condition"),ISNUMBER(R_Scores!O5)),(COUNTIFS(R_Scores!$B$5:$B$44,1,R_Scores!$C$5:$C$44,"Tool condition",R_Scores!O$5:O$44,R_Scores!O5)+COUNTIFS(R_Scores!$B$5:$B$44,1,R_Scores!$C$5:$C$44,"Paper condition",R_Scores!O$5:O$44,R_Scores!O5))^2-1,"")</f>
        <v>168</v>
      </c>
      <c r="DJ5" s="1" t="str">
        <f aca="false">IF(AND(R_Scores!$B5=2,R_Scores!$C5="Tool condition",ISNUMBER(R_Scores!O5)),COUNTIFS(R_Scores!$B$5:$B$44,2,R_Scores!$C$5:$C$44,"Paper condition",R_Scores!O$5:O$44,"&lt;"&amp;R_Scores!O5)+0.5*COUNTIFS(R_Scores!$B$5:$B$44,2,R_Scores!$C$5:$C$44,"Paper condition",R_Scores!O$5:O$44,R_Scores!O5),"")</f>
        <v/>
      </c>
      <c r="DK5" s="1" t="str">
        <f aca="false">IF(AND(R_Scores!$B5=2,OR(R_Scores!$C5="Tool condition",R_Scores!$C5="Paper condition"),ISNUMBER(R_Scores!O5)),(COUNTIFS(R_Scores!$B$5:$B$44,2,R_Scores!$C$5:$C$44,"Tool condition",R_Scores!O$5:O$44,R_Scores!O5)+COUNTIFS(R_Scores!$B$5:$B$44,2,R_Scores!$C$5:$C$44,"Paper condition",R_Scores!O$5:O$44,R_Scores!O5))^2-1,"")</f>
        <v/>
      </c>
      <c r="DL5" s="1" t="n">
        <f aca="false">IF(ISNUMBER(R_Scores!O5),R_Scores!O5^2,"")</f>
        <v>1</v>
      </c>
      <c r="DM5" s="1" t="n">
        <f aca="false">IF(AND(R_Scores!$B5=1,R_Scores!$C5="Tool condition",ISNUMBER(R_Scores!P5)),COUNTIFS(R_Scores!$B$5:$B$44,1,R_Scores!$C$5:$C$44,"Paper condition",R_Scores!P$5:P$44,"&lt;"&amp;R_Scores!P5)+0.5*COUNTIFS(R_Scores!$B$5:$B$44,1,R_Scores!$C$5:$C$44,"Paper condition",R_Scores!P$5:P$44,R_Scores!P5),"")</f>
        <v>8.5</v>
      </c>
      <c r="DN5" s="1" t="n">
        <f aca="false">IF(AND(R_Scores!$B5=1,OR(R_Scores!$C5="Tool condition",R_Scores!$C5="Paper condition"),ISNUMBER(R_Scores!P5)),(COUNTIFS(R_Scores!$B$5:$B$44,1,R_Scores!$C$5:$C$44,"Tool condition",R_Scores!P$5:P$44,R_Scores!P5)+COUNTIFS(R_Scores!$B$5:$B$44,1,R_Scores!$C$5:$C$44,"Paper condition",R_Scores!P$5:P$44,R_Scores!P5))^2-1,"")</f>
        <v>120</v>
      </c>
      <c r="DO5" s="1" t="str">
        <f aca="false">IF(AND(R_Scores!$B5=2,R_Scores!$C5="Tool condition",ISNUMBER(R_Scores!P5)),COUNTIFS(R_Scores!$B$5:$B$44,2,R_Scores!$C$5:$C$44,"Paper condition",R_Scores!P$5:P$44,"&lt;"&amp;R_Scores!P5)+0.5*COUNTIFS(R_Scores!$B$5:$B$44,2,R_Scores!$C$5:$C$44,"Paper condition",R_Scores!P$5:P$44,R_Scores!P5),"")</f>
        <v/>
      </c>
      <c r="DP5" s="1" t="str">
        <f aca="false">IF(AND(R_Scores!$B5=2,OR(R_Scores!$C5="Tool condition",R_Scores!$C5="Paper condition"),ISNUMBER(R_Scores!P5)),(COUNTIFS(R_Scores!$B$5:$B$44,2,R_Scores!$C$5:$C$44,"Tool condition",R_Scores!P$5:P$44,R_Scores!P5)+COUNTIFS(R_Scores!$B$5:$B$44,2,R_Scores!$C$5:$C$44,"Paper condition",R_Scores!P$5:P$44,R_Scores!P5))^2-1,"")</f>
        <v/>
      </c>
      <c r="DQ5" s="1" t="n">
        <f aca="false">IF(ISNUMBER(R_Scores!P5),R_Scores!P5^2,"")</f>
        <v>1</v>
      </c>
      <c r="DR5" s="1" t="n">
        <f aca="false">IF(AND(Scores!$B5=1,Scores!$C5="Tool condition",ISNUMBER(Scores!Q5)),COUNTIFS(Scores!$B$5:$B$44,1,Scores!$C$5:$C$44,"Paper condition",Scores!Q$5:Q$44,"&lt;"&amp;Scores!Q5)+0.5*COUNTIFS(Scores!$B$5:$B$44,1,Scores!$C$5:$C$44,"Paper condition",Scores!Q$5:Q$44,Scores!Q5),"")</f>
        <v>10</v>
      </c>
      <c r="DS5" s="1" t="n">
        <f aca="false">IF(AND(Scores!$B5=1,OR(Scores!$C5="Tool condition",Scores!$C5="Paper condition"),ISNUMBER(Scores!Q5)),(COUNTIFS(Scores!$B$5:$B$44,1,Scores!$C$5:$C$44,"Tool condition",Scores!Q$5:Q$44,Scores!Q5)+COUNTIFS(Scores!$B$5:$B$44,1,Scores!$C$5:$C$44,"Paper condition",Scores!Q$5:Q$44,Scores!Q5))^2-1,"")</f>
        <v>99</v>
      </c>
      <c r="DT5" s="1" t="str">
        <f aca="false">IF(AND(Scores!$B5=2,Scores!$C5="Tool condition",ISNUMBER(Scores!Q5)),COUNTIFS(Scores!$B$5:$B$44,2,Scores!$C$5:$C$44,"Paper condition",Scores!Q$5:Q$44,"&lt;"&amp;Scores!Q5)+0.5*COUNTIFS(Scores!$B$5:$B$44,2,Scores!$C$5:$C$44,"Paper condition",Scores!Q$5:Q$44,Scores!Q5),"")</f>
        <v/>
      </c>
      <c r="DU5" s="1" t="str">
        <f aca="false">IF(AND(Scores!$B5=2,OR(Scores!$C5="Tool condition",Scores!$C5="Paper condition"),ISNUMBER(Scores!Q5)),(COUNTIFS(Scores!$B$5:$B$44,2,Scores!$C$5:$C$44,"Tool condition",Scores!Q$5:Q$44,Scores!Q5)+COUNTIFS(Scores!$B$5:$B$44,2,Scores!$C$5:$C$44,"Paper condition",Scores!Q$5:Q$44,Scores!Q5))^2-1,"")</f>
        <v/>
      </c>
      <c r="DV5" s="1" t="n">
        <f aca="false">IF(ISNUMBER(Scores!Q5),Scores!Q5^2,"")</f>
        <v>576</v>
      </c>
      <c r="DW5" s="1" t="n">
        <f aca="false">IF(AND(Scores!$B5=1,Scores!$C5="Tool condition",ISNUMBER(Scores!R5)),COUNTIFS(Scores!$B$5:$B$44,1,Scores!$C$5:$C$44,"Paper condition",Scores!R$5:R$44,"&lt;"&amp;Scores!R5)+0.5*COUNTIFS(Scores!$B$5:$B$44,1,Scores!$C$5:$C$44,"Paper condition",Scores!R$5:R$44,Scores!R5),"")</f>
        <v>9.5</v>
      </c>
      <c r="DX5" s="1" t="n">
        <f aca="false">IF(AND(Scores!$B5=1,OR(Scores!$C5="Tool condition",Scores!$C5="Paper condition"),ISNUMBER(Scores!R5)),(COUNTIFS(Scores!$B$5:$B$44,1,Scores!$C$5:$C$44,"Tool condition",Scores!R$5:R$44,Scores!R5)+COUNTIFS(Scores!$B$5:$B$44,1,Scores!$C$5:$C$44,"Paper condition",Scores!R$5:R$44,Scores!R5))^2-1,"")</f>
        <v>120</v>
      </c>
      <c r="DY5" s="1" t="str">
        <f aca="false">IF(AND(Scores!$B5=2,Scores!$C5="Tool condition",ISNUMBER(Scores!R5)),COUNTIFS(Scores!$B$5:$B$44,2,Scores!$C$5:$C$44,"Paper condition",Scores!R$5:R$44,"&lt;"&amp;Scores!R5)+0.5*COUNTIFS(Scores!$B$5:$B$44,2,Scores!$C$5:$C$44,"Paper condition",Scores!R$5:R$44,Scores!R5),"")</f>
        <v/>
      </c>
      <c r="DZ5" s="1" t="str">
        <f aca="false">IF(AND(Scores!$B5=2,OR(Scores!$C5="Tool condition",Scores!$C5="Paper condition"),ISNUMBER(Scores!R5)),(COUNTIFS(Scores!$B$5:$B$44,2,Scores!$C$5:$C$44,"Tool condition",Scores!R$5:R$44,Scores!R5)+COUNTIFS(Scores!$B$5:$B$44,2,Scores!$C$5:$C$44,"Paper condition",Scores!R$5:R$44,Scores!R5))^2-1,"")</f>
        <v/>
      </c>
      <c r="EA5" s="1" t="n">
        <f aca="false">IF(ISNUMBER(Scores!R5),Scores!R5^2,"")</f>
        <v>196</v>
      </c>
      <c r="EB5" s="1" t="n">
        <f aca="false">IF(AND(Scores!$B5=1,Scores!$C5="Tool condition",ISNUMBER(Scores!S5)),COUNTIFS(Scores!$B$5:$B$44,1,Scores!$C$5:$C$44,"Paper condition",Scores!S$5:S$44,"&lt;"&amp;Scores!S5)+0.5*COUNTIFS(Scores!$B$5:$B$44,1,Scores!$C$5:$C$44,"Paper condition",Scores!S$5:S$44,Scores!S5),"")</f>
        <v>9</v>
      </c>
      <c r="EC5" s="1" t="n">
        <f aca="false">IF(AND(Scores!$B5=1,OR(Scores!$C5="Tool condition",Scores!$C5="Paper condition"),ISNUMBER(Scores!S5)),(COUNTIFS(Scores!$B$5:$B$44,1,Scores!$C$5:$C$44,"Tool condition",Scores!S$5:S$44,Scores!S5)+COUNTIFS(Scores!$B$5:$B$44,1,Scores!$C$5:$C$44,"Paper condition",Scores!S$5:S$44,Scores!S5))^2-1,"")</f>
        <v>143</v>
      </c>
      <c r="ED5" s="1" t="str">
        <f aca="false">IF(AND(Scores!$B5=2,Scores!$C5="Tool condition",ISNUMBER(Scores!S5)),COUNTIFS(Scores!$B$5:$B$44,2,Scores!$C$5:$C$44,"Paper condition",Scores!S$5:S$44,"&lt;"&amp;Scores!S5)+0.5*COUNTIFS(Scores!$B$5:$B$44,2,Scores!$C$5:$C$44,"Paper condition",Scores!S$5:S$44,Scores!S5),"")</f>
        <v/>
      </c>
      <c r="EE5" s="1" t="str">
        <f aca="false">IF(AND(Scores!$B5=2,OR(Scores!$C5="Tool condition",Scores!$C5="Paper condition"),ISNUMBER(Scores!S5)),(COUNTIFS(Scores!$B$5:$B$44,2,Scores!$C$5:$C$44,"Tool condition",Scores!S$5:S$44,Scores!S5)+COUNTIFS(Scores!$B$5:$B$44,2,Scores!$C$5:$C$44,"Paper condition",Scores!S$5:S$44,Scores!S5))^2-1,"")</f>
        <v/>
      </c>
      <c r="EF5" s="1" t="n">
        <f aca="false">IF(ISNUMBER(Scores!S5),Scores!S5^2,"")</f>
        <v>100</v>
      </c>
      <c r="EG5" s="1" t="n">
        <f aca="false">IF(AND(Scores!$B5=1,Scores!$C5="Tool condition",ISNUMBER(Scores!T5)),COUNTIFS(Scores!$B$5:$B$44,1,Scores!$C$5:$C$44,"Paper condition",Scores!T$5:T$44,"&lt;"&amp;Scores!T5)+0.5*COUNTIFS(Scores!$B$5:$B$44,1,Scores!$C$5:$C$44,"Paper condition",Scores!T$5:T$44,Scores!T5),"")</f>
        <v>8.5</v>
      </c>
      <c r="EH5" s="1" t="n">
        <f aca="false">IF(AND(Scores!$B5=1,OR(Scores!$C5="Tool condition",Scores!$C5="Paper condition"),ISNUMBER(Scores!T5)),(COUNTIFS(Scores!$B$5:$B$44,1,Scores!$C$5:$C$44,"Tool condition",Scores!T$5:T$44,Scores!T5)+COUNTIFS(Scores!$B$5:$B$44,1,Scores!$C$5:$C$44,"Paper condition",Scores!T$5:T$44,Scores!T5))^2-1,"")</f>
        <v>168</v>
      </c>
      <c r="EI5" s="1" t="str">
        <f aca="false">IF(AND(Scores!$B5=2,Scores!$C5="Tool condition",ISNUMBER(Scores!T5)),COUNTIFS(Scores!$B$5:$B$44,2,Scores!$C$5:$C$44,"Paper condition",Scores!T$5:T$44,"&lt;"&amp;Scores!T5)+0.5*COUNTIFS(Scores!$B$5:$B$44,2,Scores!$C$5:$C$44,"Paper condition",Scores!T$5:T$44,Scores!T5),"")</f>
        <v/>
      </c>
      <c r="EJ5" s="1" t="str">
        <f aca="false">IF(AND(Scores!$B5=2,OR(Scores!$C5="Tool condition",Scores!$C5="Paper condition"),ISNUMBER(Scores!T5)),(COUNTIFS(Scores!$B$5:$B$44,2,Scores!$C$5:$C$44,"Tool condition",Scores!T$5:T$44,Scores!T5)+COUNTIFS(Scores!$B$5:$B$44,2,Scores!$C$5:$C$44,"Paper condition",Scores!T$5:T$44,Scores!T5))^2-1,"")</f>
        <v/>
      </c>
      <c r="EK5" s="1" t="n">
        <f aca="false">IF(ISNUMBER(Scores!T5),Scores!T5^2,"")</f>
        <v>64</v>
      </c>
      <c r="EL5" s="1" t="n">
        <f aca="false">IF(AND(Scores!$B5=1,Scores!$C5="Tool condition",ISNUMBER(Scores!U5)),COUNTIFS(Scores!$B$5:$B$44,1,Scores!$C$5:$C$44,"Paper condition",Scores!U$5:U$44,"&lt;"&amp;Scores!U5)+0.5*COUNTIFS(Scores!$B$5:$B$44,1,Scores!$C$5:$C$44,"Paper condition",Scores!U$5:U$44,Scores!U5),"")</f>
        <v>8.5</v>
      </c>
      <c r="EM5" s="1" t="n">
        <f aca="false">IF(AND(Scores!$B5=1,OR(Scores!$C5="Tool condition",Scores!$C5="Paper condition"),ISNUMBER(Scores!U5)),(COUNTIFS(Scores!$B$5:$B$44,1,Scores!$C$5:$C$44,"Tool condition",Scores!U$5:U$44,Scores!U5)+COUNTIFS(Scores!$B$5:$B$44,1,Scores!$C$5:$C$44,"Paper condition",Scores!U$5:U$44,Scores!U5))^2-1,"")</f>
        <v>168</v>
      </c>
      <c r="EN5" s="1" t="str">
        <f aca="false">IF(AND(Scores!$B5=2,Scores!$C5="Tool condition",ISNUMBER(Scores!U5)),COUNTIFS(Scores!$B$5:$B$44,2,Scores!$C$5:$C$44,"Paper condition",Scores!U$5:U$44,"&lt;"&amp;Scores!U5)+0.5*COUNTIFS(Scores!$B$5:$B$44,2,Scores!$C$5:$C$44,"Paper condition",Scores!U$5:U$44,Scores!U5),"")</f>
        <v/>
      </c>
      <c r="EO5" s="1" t="str">
        <f aca="false">IF(AND(Scores!$B5=2,OR(Scores!$C5="Tool condition",Scores!$C5="Paper condition"),ISNUMBER(Scores!U5)),(COUNTIFS(Scores!$B$5:$B$44,2,Scores!$C$5:$C$44,"Tool condition",Scores!U$5:U$44,Scores!U5)+COUNTIFS(Scores!$B$5:$B$44,2,Scores!$C$5:$C$44,"Paper condition",Scores!U$5:U$44,Scores!U5))^2-1,"")</f>
        <v/>
      </c>
      <c r="EP5" s="1" t="n">
        <f aca="false">IF(ISNUMBER(Scores!U5),Scores!U5^2,"")</f>
        <v>36</v>
      </c>
      <c r="EQ5" s="1" t="n">
        <f aca="false">IF(AND(Scores!$B5=1,Scores!$C5="Tool condition",ISNUMBER(Scores!V5)),COUNTIFS(Scores!$B$5:$B$44,1,Scores!$C$5:$C$44,"Paper condition",Scores!V$5:V$44,"&lt;"&amp;Scores!V5)+0.5*COUNTIFS(Scores!$B$5:$B$44,1,Scores!$C$5:$C$44,"Paper condition",Scores!V$5:V$44,Scores!V5),"")</f>
        <v>10</v>
      </c>
      <c r="ER5" s="1" t="n">
        <f aca="false">IF(AND(Scores!$B5=1,OR(Scores!$C5="Tool condition",Scores!$C5="Paper condition"),ISNUMBER(Scores!V5)),(COUNTIFS(Scores!$B$5:$B$44,1,Scores!$C$5:$C$44,"Tool condition",Scores!V$5:V$44,Scores!V5)+COUNTIFS(Scores!$B$5:$B$44,1,Scores!$C$5:$C$44,"Paper condition",Scores!V$5:V$44,Scores!V5))^2-1,"")</f>
        <v>99</v>
      </c>
      <c r="ES5" s="1" t="str">
        <f aca="false">IF(AND(Scores!$B5=2,Scores!$C5="Tool condition",ISNUMBER(Scores!V5)),COUNTIFS(Scores!$B$5:$B$44,2,Scores!$C$5:$C$44,"Paper condition",Scores!V$5:V$44,"&lt;"&amp;Scores!V5)+0.5*COUNTIFS(Scores!$B$5:$B$44,2,Scores!$C$5:$C$44,"Paper condition",Scores!V$5:V$44,Scores!V5),"")</f>
        <v/>
      </c>
      <c r="ET5" s="1" t="str">
        <f aca="false">IF(AND(Scores!$B5=2,OR(Scores!$C5="Tool condition",Scores!$C5="Paper condition"),ISNUMBER(Scores!V5)),(COUNTIFS(Scores!$B$5:$B$44,2,Scores!$C$5:$C$44,"Tool condition",Scores!V$5:V$44,Scores!V5)+COUNTIFS(Scores!$B$5:$B$44,2,Scores!$C$5:$C$44,"Paper condition",Scores!V$5:V$44,Scores!V5))^2-1,"")</f>
        <v/>
      </c>
      <c r="EU5" s="1" t="n">
        <f aca="false">IF(ISNUMBER(Scores!V5),Scores!V5^2,"")</f>
        <v>100</v>
      </c>
      <c r="EV5" s="1" t="n">
        <f aca="false">IF(AND(R_Scores!$B5=1,R_Scores!$C5="Tool condition",ISNUMBER(R_Scores!Q5)),COUNTIFS(R_Scores!$B$5:$B$44,1,R_Scores!$C$5:$C$44,"Paper condition",R_Scores!Q$5:Q$44,"&lt;"&amp;R_Scores!Q5)+0.5*COUNTIFS(R_Scores!$B$5:$B$44,1,R_Scores!$C$5:$C$44,"Paper condition",R_Scores!Q$5:Q$44,R_Scores!Q5),"")</f>
        <v>9.5</v>
      </c>
      <c r="EW5" s="1" t="n">
        <f aca="false">IF(AND(R_Scores!$B5=1,OR(R_Scores!$C5="Tool condition",R_Scores!$C5="Paper condition"),ISNUMBER(R_Scores!Q5)),(COUNTIFS(R_Scores!$B$5:$B$44,1,R_Scores!$C$5:$C$44,"Tool condition",R_Scores!Q$5:Q$44,R_Scores!Q5)+COUNTIFS(R_Scores!$B$5:$B$44,1,R_Scores!$C$5:$C$44,"Paper condition",R_Scores!Q$5:Q$44,R_Scores!Q5))^2-1,"")</f>
        <v>3</v>
      </c>
      <c r="EX5" s="1" t="str">
        <f aca="false">IF(AND(R_Scores!$B5=2,R_Scores!$C5="Tool condition",ISNUMBER(R_Scores!Q5)),COUNTIFS(R_Scores!$B$5:$B$44,2,R_Scores!$C$5:$C$44,"Paper condition",R_Scores!Q$5:Q$44,"&lt;"&amp;R_Scores!Q5)+0.5*COUNTIFS(R_Scores!$B$5:$B$44,2,R_Scores!$C$5:$C$44,"Paper condition",R_Scores!Q$5:Q$44,R_Scores!Q5),"")</f>
        <v/>
      </c>
      <c r="EY5" s="1" t="str">
        <f aca="false">IF(AND(R_Scores!$B5=2,OR(R_Scores!$C5="Tool condition",R_Scores!$C5="Paper condition"),ISNUMBER(R_Scores!Q5)),(COUNTIFS(R_Scores!$B$5:$B$44,2,R_Scores!$C$5:$C$44,"Tool condition",R_Scores!Q$5:Q$44,R_Scores!Q5)+COUNTIFS(R_Scores!$B$5:$B$44,2,R_Scores!$C$5:$C$44,"Paper condition",R_Scores!Q$5:Q$44,R_Scores!Q5))^2-1,"")</f>
        <v/>
      </c>
      <c r="EZ5" s="1" t="n">
        <f aca="false">IF(ISNUMBER(R_Scores!Q5),R_Scores!Q5^2,"")</f>
        <v>49</v>
      </c>
      <c r="FA5" s="1" t="n">
        <f aca="false">IF(AND(R_Scores!$B5=1,R_Scores!$C5="Tool condition",ISNUMBER(R_Scores!R5)),COUNTIFS(R_Scores!$B$5:$B$44,1,R_Scores!$C$5:$C$44,"Paper condition",R_Scores!R$5:R$44,"&lt;"&amp;R_Scores!R5)+0.5*COUNTIFS(R_Scores!$B$5:$B$44,1,R_Scores!$C$5:$C$44,"Paper condition",R_Scores!R$5:R$44,R_Scores!R5),"")</f>
        <v>10</v>
      </c>
      <c r="FB5" s="1" t="n">
        <f aca="false">IF(AND(R_Scores!$B5=1,OR(R_Scores!$C5="Tool condition",R_Scores!$C5="Paper condition"),ISNUMBER(R_Scores!R5)),(COUNTIFS(R_Scores!$B$5:$B$44,1,R_Scores!$C$5:$C$44,"Tool condition",R_Scores!R$5:R$44,R_Scores!R5)+COUNTIFS(R_Scores!$B$5:$B$44,1,R_Scores!$C$5:$C$44,"Paper condition",R_Scores!R$5:R$44,R_Scores!R5))^2-1,"")</f>
        <v>0</v>
      </c>
      <c r="FC5" s="1" t="str">
        <f aca="false">IF(AND(R_Scores!$B5=2,R_Scores!$C5="Tool condition",ISNUMBER(R_Scores!R5)),COUNTIFS(R_Scores!$B$5:$B$44,2,R_Scores!$C$5:$C$44,"Paper condition",R_Scores!R$5:R$44,"&lt;"&amp;R_Scores!R5)+0.5*COUNTIFS(R_Scores!$B$5:$B$44,2,R_Scores!$C$5:$C$44,"Paper condition",R_Scores!R$5:R$44,R_Scores!R5),"")</f>
        <v/>
      </c>
      <c r="FD5" s="1" t="str">
        <f aca="false">IF(AND(R_Scores!$B5=2,OR(R_Scores!$C5="Tool condition",R_Scores!$C5="Paper condition"),ISNUMBER(R_Scores!R5)),(COUNTIFS(R_Scores!$B$5:$B$44,2,R_Scores!$C$5:$C$44,"Tool condition",R_Scores!R$5:R$44,R_Scores!R5)+COUNTIFS(R_Scores!$B$5:$B$44,2,R_Scores!$C$5:$C$44,"Paper condition",R_Scores!R$5:R$44,R_Scores!R5))^2-1,"")</f>
        <v/>
      </c>
      <c r="FE5" s="1" t="n">
        <f aca="false">IF(ISNUMBER(R_Scores!R5),R_Scores!R5^2,"")</f>
        <v>961</v>
      </c>
    </row>
    <row r="6" customFormat="false" ht="14.25" hidden="false" customHeight="true" outlineLevel="0" collapsed="false">
      <c r="B6" s="1" t="n">
        <f aca="false">IF(AND(Scores!$B6=1,Scores!$C6="Tool condition",ISNUMBER(Scores!E6)),COUNTIFS(Scores!$B$5:$B$44,1,Scores!$C$5:$C$44,"Paper condition",Scores!E$5:E$44,"&lt;"&amp;Scores!E6)+0.5*COUNTIFS(Scores!$B$5:$B$44,1,Scores!$C$5:$C$44,"Paper condition",Scores!E$5:E$44,Scores!E6),"")</f>
        <v>7</v>
      </c>
      <c r="C6" s="1" t="n">
        <f aca="false">IF(AND(Scores!$B6=1,OR(Scores!$C6="Tool condition",Scores!$C6="Paper condition"),ISNUMBER(Scores!E6)),(COUNTIFS(Scores!$B$5:$B$44,1,Scores!$C$5:$C$44,"Tool condition",Scores!E$5:E$44,Scores!E6)+COUNTIFS(Scores!$B$5:$B$44,1,Scores!$C$5:$C$44,"Paper condition",Scores!E$5:E$44,Scores!E6))^2-1,"")</f>
        <v>255</v>
      </c>
      <c r="D6" s="1" t="str">
        <f aca="false">IF(AND(Scores!$B6=2,Scores!$C6="Tool condition",ISNUMBER(Scores!E6)),COUNTIFS(Scores!$B$5:$B$44,2,Scores!$C$5:$C$44,"Paper condition",Scores!E$5:E$44,"&lt;"&amp;Scores!E6)+0.5*COUNTIFS(Scores!$B$5:$B$44,2,Scores!$C$5:$C$44,"Paper condition",Scores!E$5:E$44,Scores!E6),"")</f>
        <v/>
      </c>
      <c r="E6" s="1" t="str">
        <f aca="false">IF(AND(Scores!$B6=2,OR(Scores!$C6="Tool condition",Scores!$C6="Paper condition"),ISNUMBER(Scores!E6)),(COUNTIFS(Scores!$B$5:$B$44,2,Scores!$C$5:$C$44,"Tool condition",Scores!E$5:E$44,Scores!E6)+COUNTIFS(Scores!$B$5:$B$44,2,Scores!$C$5:$C$44,"Paper condition",Scores!E$5:E$44,Scores!E6))^2-1,"")</f>
        <v/>
      </c>
      <c r="F6" s="1" t="n">
        <f aca="false">IF(ISNUMBER(Scores!E6),Scores!E6^2,"")</f>
        <v>4</v>
      </c>
      <c r="G6" s="1" t="n">
        <f aca="false">IF(AND(Scores!$B6=1,Scores!$C6="Tool condition",ISNUMBER(Scores!F6)),COUNTIFS(Scores!$B$5:$B$44,1,Scores!$C$5:$C$44,"Paper condition",Scores!F$5:F$44,"&lt;"&amp;Scores!F6)+0.5*COUNTIFS(Scores!$B$5:$B$44,1,Scores!$C$5:$C$44,"Paper condition",Scores!F$5:F$44,Scores!F6),"")</f>
        <v>8</v>
      </c>
      <c r="H6" s="1" t="n">
        <f aca="false">IF(AND(Scores!$B6=1,OR(Scores!$C6="Tool condition",Scores!$C6="Paper condition"),ISNUMBER(Scores!F6)),(COUNTIFS(Scores!$B$5:$B$44,1,Scores!$C$5:$C$44,"Tool condition",Scores!F$5:F$44,Scores!F6)+COUNTIFS(Scores!$B$5:$B$44,1,Scores!$C$5:$C$44,"Paper condition",Scores!F$5:F$44,Scores!F6))^2-1,"")</f>
        <v>195</v>
      </c>
      <c r="I6" s="1" t="str">
        <f aca="false">IF(AND(Scores!$B6=2,Scores!$C6="Tool condition",ISNUMBER(Scores!F6)),COUNTIFS(Scores!$B$5:$B$44,2,Scores!$C$5:$C$44,"Paper condition",Scores!F$5:F$44,"&lt;"&amp;Scores!F6)+0.5*COUNTIFS(Scores!$B$5:$B$44,2,Scores!$C$5:$C$44,"Paper condition",Scores!F$5:F$44,Scores!F6),"")</f>
        <v/>
      </c>
      <c r="J6" s="1" t="str">
        <f aca="false">IF(AND(Scores!$B6=2,OR(Scores!$C6="Tool condition",Scores!$C6="Paper condition"),ISNUMBER(Scores!F6)),(COUNTIFS(Scores!$B$5:$B$44,2,Scores!$C$5:$C$44,"Tool condition",Scores!F$5:F$44,Scores!F6)+COUNTIFS(Scores!$B$5:$B$44,2,Scores!$C$5:$C$44,"Paper condition",Scores!F$5:F$44,Scores!F6))^2-1,"")</f>
        <v/>
      </c>
      <c r="K6" s="1" t="n">
        <f aca="false">IF(ISNUMBER(Scores!F6),Scores!F6^2,"")</f>
        <v>4</v>
      </c>
      <c r="L6" s="1" t="n">
        <f aca="false">IF(AND(Scores!$B6=1,Scores!$C6="Tool condition",ISNUMBER(Scores!G6)),COUNTIFS(Scores!$B$5:$B$44,1,Scores!$C$5:$C$44,"Paper condition",Scores!G$5:G$44,"&lt;"&amp;Scores!G6)+0.5*COUNTIFS(Scores!$B$5:$B$44,1,Scores!$C$5:$C$44,"Paper condition",Scores!G$5:G$44,Scores!G6),"")</f>
        <v>6.5</v>
      </c>
      <c r="M6" s="1" t="n">
        <f aca="false">IF(AND(Scores!$B6=1,OR(Scores!$C6="Tool condition",Scores!$C6="Paper condition"),ISNUMBER(Scores!G6)),(COUNTIFS(Scores!$B$5:$B$44,1,Scores!$C$5:$C$44,"Tool condition",Scores!G$5:G$44,Scores!G6)+COUNTIFS(Scores!$B$5:$B$44,1,Scores!$C$5:$C$44,"Paper condition",Scores!G$5:G$44,Scores!G6))^2-1,"")</f>
        <v>288</v>
      </c>
      <c r="N6" s="1" t="str">
        <f aca="false">IF(AND(Scores!$B6=2,Scores!$C6="Tool condition",ISNUMBER(Scores!G6)),COUNTIFS(Scores!$B$5:$B$44,2,Scores!$C$5:$C$44,"Paper condition",Scores!G$5:G$44,"&lt;"&amp;Scores!G6)+0.5*COUNTIFS(Scores!$B$5:$B$44,2,Scores!$C$5:$C$44,"Paper condition",Scores!G$5:G$44,Scores!G6),"")</f>
        <v/>
      </c>
      <c r="O6" s="1" t="str">
        <f aca="false">IF(AND(Scores!$B6=2,OR(Scores!$C6="Tool condition",Scores!$C6="Paper condition"),ISNUMBER(Scores!G6)),(COUNTIFS(Scores!$B$5:$B$44,2,Scores!$C$5:$C$44,"Tool condition",Scores!G$5:G$44,Scores!G6)+COUNTIFS(Scores!$B$5:$B$44,2,Scores!$C$5:$C$44,"Paper condition",Scores!G$5:G$44,Scores!G6))^2-1,"")</f>
        <v/>
      </c>
      <c r="P6" s="1" t="n">
        <f aca="false">IF(ISNUMBER(Scores!G6),Scores!G6^2,"")</f>
        <v>4</v>
      </c>
      <c r="Q6" s="1" t="n">
        <f aca="false">IF(AND(Scores!$B6=1,Scores!$C6="Tool condition",ISNUMBER(Scores!H6)),COUNTIFS(Scores!$B$5:$B$44,1,Scores!$C$5:$C$44,"Paper condition",Scores!H$5:H$44,"&lt;"&amp;Scores!H6)+0.5*COUNTIFS(Scores!$B$5:$B$44,1,Scores!$C$5:$C$44,"Paper condition",Scores!H$5:H$44,Scores!H6),"")</f>
        <v>7</v>
      </c>
      <c r="R6" s="1" t="n">
        <f aca="false">IF(AND(Scores!$B6=1,OR(Scores!$C6="Tool condition",Scores!$C6="Paper condition"),ISNUMBER(Scores!H6)),(COUNTIFS(Scores!$B$5:$B$44,1,Scores!$C$5:$C$44,"Tool condition",Scores!H$5:H$44,Scores!H6)+COUNTIFS(Scores!$B$5:$B$44,1,Scores!$C$5:$C$44,"Paper condition",Scores!H$5:H$44,Scores!H6))^2-1,"")</f>
        <v>255</v>
      </c>
      <c r="S6" s="1" t="str">
        <f aca="false">IF(AND(Scores!$B6=2,Scores!$C6="Tool condition",ISNUMBER(Scores!H6)),COUNTIFS(Scores!$B$5:$B$44,2,Scores!$C$5:$C$44,"Paper condition",Scores!H$5:H$44,"&lt;"&amp;Scores!H6)+0.5*COUNTIFS(Scores!$B$5:$B$44,2,Scores!$C$5:$C$44,"Paper condition",Scores!H$5:H$44,Scores!H6),"")</f>
        <v/>
      </c>
      <c r="T6" s="1" t="str">
        <f aca="false">IF(AND(Scores!$B6=2,OR(Scores!$C6="Tool condition",Scores!$C6="Paper condition"),ISNUMBER(Scores!H6)),(COUNTIFS(Scores!$B$5:$B$44,2,Scores!$C$5:$C$44,"Tool condition",Scores!H$5:H$44,Scores!H6)+COUNTIFS(Scores!$B$5:$B$44,2,Scores!$C$5:$C$44,"Paper condition",Scores!H$5:H$44,Scores!H6))^2-1,"")</f>
        <v/>
      </c>
      <c r="U6" s="1" t="n">
        <f aca="false">IF(ISNUMBER(Scores!H6),Scores!H6^2,"")</f>
        <v>4</v>
      </c>
      <c r="V6" s="1" t="n">
        <f aca="false">IF(AND(Scores!$B6=1,Scores!$C6="Tool condition",ISNUMBER(Scores!I6)),COUNTIFS(Scores!$B$5:$B$44,1,Scores!$C$5:$C$44,"Paper condition",Scores!I$5:I$44,"&lt;"&amp;Scores!I6)+0.5*COUNTIFS(Scores!$B$5:$B$44,1,Scores!$C$5:$C$44,"Paper condition",Scores!I$5:I$44,Scores!I6),"")</f>
        <v>8</v>
      </c>
      <c r="W6" s="1" t="n">
        <f aca="false">IF(AND(Scores!$B6=1,OR(Scores!$C6="Tool condition",Scores!$C6="Paper condition"),ISNUMBER(Scores!I6)),(COUNTIFS(Scores!$B$5:$B$44,1,Scores!$C$5:$C$44,"Tool condition",Scores!I$5:I$44,Scores!I6)+COUNTIFS(Scores!$B$5:$B$44,1,Scores!$C$5:$C$44,"Paper condition",Scores!I$5:I$44,Scores!I6))^2-1,"")</f>
        <v>195</v>
      </c>
      <c r="X6" s="1" t="str">
        <f aca="false">IF(AND(Scores!$B6=2,Scores!$C6="Tool condition",ISNUMBER(Scores!I6)),COUNTIFS(Scores!$B$5:$B$44,2,Scores!$C$5:$C$44,"Paper condition",Scores!I$5:I$44,"&lt;"&amp;Scores!I6)+0.5*COUNTIFS(Scores!$B$5:$B$44,2,Scores!$C$5:$C$44,"Paper condition",Scores!I$5:I$44,Scores!I6),"")</f>
        <v/>
      </c>
      <c r="Y6" s="1" t="str">
        <f aca="false">IF(AND(Scores!$B6=2,OR(Scores!$C6="Tool condition",Scores!$C6="Paper condition"),ISNUMBER(Scores!I6)),(COUNTIFS(Scores!$B$5:$B$44,2,Scores!$C$5:$C$44,"Tool condition",Scores!I$5:I$44,Scores!I6)+COUNTIFS(Scores!$B$5:$B$44,2,Scores!$C$5:$C$44,"Paper condition",Scores!I$5:I$44,Scores!I6))^2-1,"")</f>
        <v/>
      </c>
      <c r="Z6" s="1" t="n">
        <f aca="false">IF(ISNUMBER(Scores!I6),Scores!I6^2,"")</f>
        <v>4</v>
      </c>
      <c r="AA6" s="1" t="n">
        <f aca="false">IF(AND(Scores!$B6=1,Scores!$C6="Tool condition",ISNUMBER(Scores!J6)),COUNTIFS(Scores!$B$5:$B$44,1,Scores!$C$5:$C$44,"Paper condition",Scores!J$5:J$44,"&lt;"&amp;Scores!J6)+0.5*COUNTIFS(Scores!$B$5:$B$44,1,Scores!$C$5:$C$44,"Paper condition",Scores!J$5:J$44,Scores!J6),"")</f>
        <v>7.5</v>
      </c>
      <c r="AB6" s="1" t="n">
        <f aca="false">IF(AND(Scores!$B6=1,OR(Scores!$C6="Tool condition",Scores!$C6="Paper condition"),ISNUMBER(Scores!J6)),(COUNTIFS(Scores!$B$5:$B$44,1,Scores!$C$5:$C$44,"Tool condition",Scores!J$5:J$44,Scores!J6)+COUNTIFS(Scores!$B$5:$B$44,1,Scores!$C$5:$C$44,"Paper condition",Scores!J$5:J$44,Scores!J6))^2-1,"")</f>
        <v>224</v>
      </c>
      <c r="AC6" s="1" t="str">
        <f aca="false">IF(AND(Scores!$B6=2,Scores!$C6="Tool condition",ISNUMBER(Scores!J6)),COUNTIFS(Scores!$B$5:$B$44,2,Scores!$C$5:$C$44,"Paper condition",Scores!J$5:J$44,"&lt;"&amp;Scores!J6)+0.5*COUNTIFS(Scores!$B$5:$B$44,2,Scores!$C$5:$C$44,"Paper condition",Scores!J$5:J$44,Scores!J6),"")</f>
        <v/>
      </c>
      <c r="AD6" s="1" t="str">
        <f aca="false">IF(AND(Scores!$B6=2,OR(Scores!$C6="Tool condition",Scores!$C6="Paper condition"),ISNUMBER(Scores!J6)),(COUNTIFS(Scores!$B$5:$B$44,2,Scores!$C$5:$C$44,"Tool condition",Scores!J$5:J$44,Scores!J6)+COUNTIFS(Scores!$B$5:$B$44,2,Scores!$C$5:$C$44,"Paper condition",Scores!J$5:J$44,Scores!J6))^2-1,"")</f>
        <v/>
      </c>
      <c r="AE6" s="1" t="n">
        <f aca="false">IF(ISNUMBER(Scores!J6),Scores!J6^2,"")</f>
        <v>4</v>
      </c>
      <c r="AF6" s="1" t="n">
        <f aca="false">IF(AND(Scores!$B6=1,Scores!$C6="Tool condition",ISNUMBER(Scores!K6)),COUNTIFS(Scores!$B$5:$B$44,1,Scores!$C$5:$C$44,"Paper condition",Scores!K$5:K$44,"&lt;"&amp;Scores!K6)+0.5*COUNTIFS(Scores!$B$5:$B$44,1,Scores!$C$5:$C$44,"Paper condition",Scores!K$5:K$44,Scores!K6),"")</f>
        <v>7</v>
      </c>
      <c r="AG6" s="1" t="n">
        <f aca="false">IF(AND(Scores!$B6=1,OR(Scores!$C6="Tool condition",Scores!$C6="Paper condition"),ISNUMBER(Scores!K6)),(COUNTIFS(Scores!$B$5:$B$44,1,Scores!$C$5:$C$44,"Tool condition",Scores!K$5:K$44,Scores!K6)+COUNTIFS(Scores!$B$5:$B$44,1,Scores!$C$5:$C$44,"Paper condition",Scores!K$5:K$44,Scores!K6))^2-1,"")</f>
        <v>255</v>
      </c>
      <c r="AH6" s="1" t="str">
        <f aca="false">IF(AND(Scores!$B6=2,Scores!$C6="Tool condition",ISNUMBER(Scores!K6)),COUNTIFS(Scores!$B$5:$B$44,2,Scores!$C$5:$C$44,"Paper condition",Scores!K$5:K$44,"&lt;"&amp;Scores!K6)+0.5*COUNTIFS(Scores!$B$5:$B$44,2,Scores!$C$5:$C$44,"Paper condition",Scores!K$5:K$44,Scores!K6),"")</f>
        <v/>
      </c>
      <c r="AI6" s="1" t="str">
        <f aca="false">IF(AND(Scores!$B6=2,OR(Scores!$C6="Tool condition",Scores!$C6="Paper condition"),ISNUMBER(Scores!K6)),(COUNTIFS(Scores!$B$5:$B$44,2,Scores!$C$5:$C$44,"Tool condition",Scores!K$5:K$44,Scores!K6)+COUNTIFS(Scores!$B$5:$B$44,2,Scores!$C$5:$C$44,"Paper condition",Scores!K$5:K$44,Scores!K6))^2-1,"")</f>
        <v/>
      </c>
      <c r="AJ6" s="1" t="n">
        <f aca="false">IF(ISNUMBER(Scores!K6),Scores!K6^2,"")</f>
        <v>4</v>
      </c>
      <c r="AK6" s="1" t="n">
        <f aca="false">IF(AND(Scores!$B6=1,Scores!$C6="Tool condition",ISNUMBER(Scores!L6)),COUNTIFS(Scores!$B$5:$B$44,1,Scores!$C$5:$C$44,"Paper condition",Scores!L$5:L$44,"&lt;"&amp;Scores!L6)+0.5*COUNTIFS(Scores!$B$5:$B$44,1,Scores!$C$5:$C$44,"Paper condition",Scores!L$5:L$44,Scores!L6),"")</f>
        <v>6.5</v>
      </c>
      <c r="AL6" s="1" t="n">
        <f aca="false">IF(AND(Scores!$B6=1,OR(Scores!$C6="Tool condition",Scores!$C6="Paper condition"),ISNUMBER(Scores!L6)),(COUNTIFS(Scores!$B$5:$B$44,1,Scores!$C$5:$C$44,"Tool condition",Scores!L$5:L$44,Scores!L6)+COUNTIFS(Scores!$B$5:$B$44,1,Scores!$C$5:$C$44,"Paper condition",Scores!L$5:L$44,Scores!L6))^2-1,"")</f>
        <v>288</v>
      </c>
      <c r="AM6" s="1" t="str">
        <f aca="false">IF(AND(Scores!$B6=2,Scores!$C6="Tool condition",ISNUMBER(Scores!L6)),COUNTIFS(Scores!$B$5:$B$44,2,Scores!$C$5:$C$44,"Paper condition",Scores!L$5:L$44,"&lt;"&amp;Scores!L6)+0.5*COUNTIFS(Scores!$B$5:$B$44,2,Scores!$C$5:$C$44,"Paper condition",Scores!L$5:L$44,Scores!L6),"")</f>
        <v/>
      </c>
      <c r="AN6" s="1" t="str">
        <f aca="false">IF(AND(Scores!$B6=2,OR(Scores!$C6="Tool condition",Scores!$C6="Paper condition"),ISNUMBER(Scores!L6)),(COUNTIFS(Scores!$B$5:$B$44,2,Scores!$C$5:$C$44,"Tool condition",Scores!L$5:L$44,Scores!L6)+COUNTIFS(Scores!$B$5:$B$44,2,Scores!$C$5:$C$44,"Paper condition",Scores!L$5:L$44,Scores!L6))^2-1,"")</f>
        <v/>
      </c>
      <c r="AO6" s="1" t="n">
        <f aca="false">IF(ISNUMBER(Scores!L6),Scores!L6^2,"")</f>
        <v>4</v>
      </c>
      <c r="AP6" s="1" t="n">
        <f aca="false">IF(AND(Scores!$B6=1,Scores!$C6="Tool condition",ISNUMBER(Scores!M6)),COUNTIFS(Scores!$B$5:$B$44,1,Scores!$C$5:$C$44,"Paper condition",Scores!M$5:M$44,"&lt;"&amp;Scores!M6)+0.5*COUNTIFS(Scores!$B$5:$B$44,1,Scores!$C$5:$C$44,"Paper condition",Scores!M$5:M$44,Scores!M6),"")</f>
        <v>6.5</v>
      </c>
      <c r="AQ6" s="1" t="n">
        <f aca="false">IF(AND(Scores!$B6=1,OR(Scores!$C6="Tool condition",Scores!$C6="Paper condition"),ISNUMBER(Scores!M6)),(COUNTIFS(Scores!$B$5:$B$44,1,Scores!$C$5:$C$44,"Tool condition",Scores!M$5:M$44,Scores!M6)+COUNTIFS(Scores!$B$5:$B$44,1,Scores!$C$5:$C$44,"Paper condition",Scores!M$5:M$44,Scores!M6))^2-1,"")</f>
        <v>288</v>
      </c>
      <c r="AR6" s="1" t="str">
        <f aca="false">IF(AND(Scores!$B6=2,Scores!$C6="Tool condition",ISNUMBER(Scores!M6)),COUNTIFS(Scores!$B$5:$B$44,2,Scores!$C$5:$C$44,"Paper condition",Scores!M$5:M$44,"&lt;"&amp;Scores!M6)+0.5*COUNTIFS(Scores!$B$5:$B$44,2,Scores!$C$5:$C$44,"Paper condition",Scores!M$5:M$44,Scores!M6),"")</f>
        <v/>
      </c>
      <c r="AS6" s="1" t="str">
        <f aca="false">IF(AND(Scores!$B6=2,OR(Scores!$C6="Tool condition",Scores!$C6="Paper condition"),ISNUMBER(Scores!M6)),(COUNTIFS(Scores!$B$5:$B$44,2,Scores!$C$5:$C$44,"Tool condition",Scores!M$5:M$44,Scores!M6)+COUNTIFS(Scores!$B$5:$B$44,2,Scores!$C$5:$C$44,"Paper condition",Scores!M$5:M$44,Scores!M6))^2-1,"")</f>
        <v/>
      </c>
      <c r="AT6" s="1" t="n">
        <f aca="false">IF(ISNUMBER(Scores!M6),Scores!M6^2,"")</f>
        <v>4</v>
      </c>
      <c r="AU6" s="1" t="n">
        <f aca="false">IF(AND(Scores!$B6=1,Scores!$C6="Tool condition",ISNUMBER(Scores!N6)),COUNTIFS(Scores!$B$5:$B$44,1,Scores!$C$5:$C$44,"Paper condition",Scores!N$5:N$44,"&lt;"&amp;Scores!N6)+0.5*COUNTIFS(Scores!$B$5:$B$44,1,Scores!$C$5:$C$44,"Paper condition",Scores!N$5:N$44,Scores!N6),"")</f>
        <v>8</v>
      </c>
      <c r="AV6" s="1" t="n">
        <f aca="false">IF(AND(Scores!$B6=1,OR(Scores!$C6="Tool condition",Scores!$C6="Paper condition"),ISNUMBER(Scores!N6)),(COUNTIFS(Scores!$B$5:$B$44,1,Scores!$C$5:$C$44,"Tool condition",Scores!N$5:N$44,Scores!N6)+COUNTIFS(Scores!$B$5:$B$44,1,Scores!$C$5:$C$44,"Paper condition",Scores!N$5:N$44,Scores!N6))^2-1,"")</f>
        <v>195</v>
      </c>
      <c r="AW6" s="1" t="str">
        <f aca="false">IF(AND(Scores!$B6=2,Scores!$C6="Tool condition",ISNUMBER(Scores!N6)),COUNTIFS(Scores!$B$5:$B$44,2,Scores!$C$5:$C$44,"Paper condition",Scores!N$5:N$44,"&lt;"&amp;Scores!N6)+0.5*COUNTIFS(Scores!$B$5:$B$44,2,Scores!$C$5:$C$44,"Paper condition",Scores!N$5:N$44,Scores!N6),"")</f>
        <v/>
      </c>
      <c r="AX6" s="1" t="str">
        <f aca="false">IF(AND(Scores!$B6=2,OR(Scores!$C6="Tool condition",Scores!$C6="Paper condition"),ISNUMBER(Scores!N6)),(COUNTIFS(Scores!$B$5:$B$44,2,Scores!$C$5:$C$44,"Tool condition",Scores!N$5:N$44,Scores!N6)+COUNTIFS(Scores!$B$5:$B$44,2,Scores!$C$5:$C$44,"Paper condition",Scores!N$5:N$44,Scores!N6))^2-1,"")</f>
        <v/>
      </c>
      <c r="AY6" s="1" t="n">
        <f aca="false">IF(ISNUMBER(Scores!N6),Scores!N6^2,"")</f>
        <v>4</v>
      </c>
      <c r="AZ6" s="1" t="n">
        <f aca="false">IF(AND(Scores!$B6=1,Scores!$C6="Tool condition",ISNUMBER(Scores!O6)),COUNTIFS(Scores!$B$5:$B$44,1,Scores!$C$5:$C$44,"Paper condition",Scores!O$5:O$44,"&lt;"&amp;Scores!O6)+0.5*COUNTIFS(Scores!$B$5:$B$44,1,Scores!$C$5:$C$44,"Paper condition",Scores!O$5:O$44,Scores!O6),"")</f>
        <v>7.5</v>
      </c>
      <c r="BA6" s="1" t="n">
        <f aca="false">IF(AND(Scores!$B6=1,OR(Scores!$C6="Tool condition",Scores!$C6="Paper condition"),ISNUMBER(Scores!O6)),(COUNTIFS(Scores!$B$5:$B$44,1,Scores!$C$5:$C$44,"Tool condition",Scores!O$5:O$44,Scores!O6)+COUNTIFS(Scores!$B$5:$B$44,1,Scores!$C$5:$C$44,"Paper condition",Scores!O$5:O$44,Scores!O6))^2-1,"")</f>
        <v>224</v>
      </c>
      <c r="BB6" s="1" t="str">
        <f aca="false">IF(AND(Scores!$B6=2,Scores!$C6="Tool condition",ISNUMBER(Scores!O6)),COUNTIFS(Scores!$B$5:$B$44,2,Scores!$C$5:$C$44,"Paper condition",Scores!O$5:O$44,"&lt;"&amp;Scores!O6)+0.5*COUNTIFS(Scores!$B$5:$B$44,2,Scores!$C$5:$C$44,"Paper condition",Scores!O$5:O$44,Scores!O6),"")</f>
        <v/>
      </c>
      <c r="BC6" s="1" t="str">
        <f aca="false">IF(AND(Scores!$B6=2,OR(Scores!$C6="Tool condition",Scores!$C6="Paper condition"),ISNUMBER(Scores!O6)),(COUNTIFS(Scores!$B$5:$B$44,2,Scores!$C$5:$C$44,"Tool condition",Scores!O$5:O$44,Scores!O6)+COUNTIFS(Scores!$B$5:$B$44,2,Scores!$C$5:$C$44,"Paper condition",Scores!O$5:O$44,Scores!O6))^2-1,"")</f>
        <v/>
      </c>
      <c r="BD6" s="1" t="n">
        <f aca="false">IF(ISNUMBER(Scores!O6),Scores!O6^2,"")</f>
        <v>4</v>
      </c>
      <c r="BE6" s="1" t="n">
        <f aca="false">IF(AND(Scores!$B6=1,Scores!$C6="Tool condition",ISNUMBER(Scores!P6)),COUNTIFS(Scores!$B$5:$B$44,1,Scores!$C$5:$C$44,"Paper condition",Scores!P$5:P$44,"&lt;"&amp;Scores!P6)+0.5*COUNTIFS(Scores!$B$5:$B$44,1,Scores!$C$5:$C$44,"Paper condition",Scores!P$5:P$44,Scores!P6),"")</f>
        <v>8.5</v>
      </c>
      <c r="BF6" s="1" t="n">
        <f aca="false">IF(AND(Scores!$B6=1,OR(Scores!$C6="Tool condition",Scores!$C6="Paper condition"),ISNUMBER(Scores!P6)),(COUNTIFS(Scores!$B$5:$B$44,1,Scores!$C$5:$C$44,"Tool condition",Scores!P$5:P$44,Scores!P6)+COUNTIFS(Scores!$B$5:$B$44,1,Scores!$C$5:$C$44,"Paper condition",Scores!P$5:P$44,Scores!P6))^2-1,"")</f>
        <v>168</v>
      </c>
      <c r="BG6" s="1" t="str">
        <f aca="false">IF(AND(Scores!$B6=2,Scores!$C6="Tool condition",ISNUMBER(Scores!P6)),COUNTIFS(Scores!$B$5:$B$44,2,Scores!$C$5:$C$44,"Paper condition",Scores!P$5:P$44,"&lt;"&amp;Scores!P6)+0.5*COUNTIFS(Scores!$B$5:$B$44,2,Scores!$C$5:$C$44,"Paper condition",Scores!P$5:P$44,Scores!P6),"")</f>
        <v/>
      </c>
      <c r="BH6" s="1" t="str">
        <f aca="false">IF(AND(Scores!$B6=2,OR(Scores!$C6="Tool condition",Scores!$C6="Paper condition"),ISNUMBER(Scores!P6)),(COUNTIFS(Scores!$B$5:$B$44,2,Scores!$C$5:$C$44,"Tool condition",Scores!P$5:P$44,Scores!P6)+COUNTIFS(Scores!$B$5:$B$44,2,Scores!$C$5:$C$44,"Paper condition",Scores!P$5:P$44,Scores!P6))^2-1,"")</f>
        <v/>
      </c>
      <c r="BI6" s="1" t="n">
        <f aca="false">IF(ISNUMBER(Scores!P6),Scores!P6^2,"")</f>
        <v>4</v>
      </c>
      <c r="BJ6" s="1" t="n">
        <f aca="false">IF(AND(R_Scores!$B6=1,R_Scores!$C6="Tool condition",ISNUMBER(R_Scores!E6)),COUNTIFS(R_Scores!$B$5:$B$44,1,R_Scores!$C$5:$C$44,"Paper condition",R_Scores!E$5:E$44,"&lt;"&amp;R_Scores!E6)+0.5*COUNTIFS(R_Scores!$B$5:$B$44,1,R_Scores!$C$5:$C$44,"Paper condition",R_Scores!E$5:E$44,R_Scores!E6),"")</f>
        <v>7</v>
      </c>
      <c r="BK6" s="1" t="n">
        <f aca="false">IF(AND(R_Scores!$B6=1,OR(R_Scores!$C6="Tool condition",R_Scores!$C6="Paper condition"),ISNUMBER(R_Scores!E6)),(COUNTIFS(R_Scores!$B$5:$B$44,1,R_Scores!$C$5:$C$44,"Tool condition",R_Scores!E$5:E$44,R_Scores!E6)+COUNTIFS(R_Scores!$B$5:$B$44,1,R_Scores!$C$5:$C$44,"Paper condition",R_Scores!E$5:E$44,R_Scores!E6))^2-1,"")</f>
        <v>224</v>
      </c>
      <c r="BL6" s="1" t="str">
        <f aca="false">IF(AND(R_Scores!$B6=2,R_Scores!$C6="Tool condition",ISNUMBER(R_Scores!E6)),COUNTIFS(R_Scores!$B$5:$B$44,2,R_Scores!$C$5:$C$44,"Paper condition",R_Scores!E$5:E$44,"&lt;"&amp;R_Scores!E6)+0.5*COUNTIFS(R_Scores!$B$5:$B$44,2,R_Scores!$C$5:$C$44,"Paper condition",R_Scores!E$5:E$44,R_Scores!E6),"")</f>
        <v/>
      </c>
      <c r="BM6" s="1" t="str">
        <f aca="false">IF(AND(R_Scores!$B6=2,OR(R_Scores!$C6="Tool condition",R_Scores!$C6="Paper condition"),ISNUMBER(R_Scores!E6)),(COUNTIFS(R_Scores!$B$5:$B$44,2,R_Scores!$C$5:$C$44,"Tool condition",R_Scores!E$5:E$44,R_Scores!E6)+COUNTIFS(R_Scores!$B$5:$B$44,2,R_Scores!$C$5:$C$44,"Paper condition",R_Scores!E$5:E$44,R_Scores!E6))^2-1,"")</f>
        <v/>
      </c>
      <c r="BN6" s="1" t="n">
        <f aca="false">IF(ISNUMBER(R_Scores!E6),R_Scores!E6^2,"")</f>
        <v>1</v>
      </c>
      <c r="BO6" s="1" t="n">
        <f aca="false">IF(AND(R_Scores!$B6=1,R_Scores!$C6="Tool condition",ISNUMBER(R_Scores!F6)),COUNTIFS(R_Scores!$B$5:$B$44,1,R_Scores!$C$5:$C$44,"Paper condition",R_Scores!F$5:F$44,"&lt;"&amp;R_Scores!F6)+0.5*COUNTIFS(R_Scores!$B$5:$B$44,1,R_Scores!$C$5:$C$44,"Paper condition",R_Scores!F$5:F$44,R_Scores!F6),"")</f>
        <v>7</v>
      </c>
      <c r="BP6" s="1" t="n">
        <f aca="false">IF(AND(R_Scores!$B6=1,OR(R_Scores!$C6="Tool condition",R_Scores!$C6="Paper condition"),ISNUMBER(R_Scores!F6)),(COUNTIFS(R_Scores!$B$5:$B$44,1,R_Scores!$C$5:$C$44,"Tool condition",R_Scores!F$5:F$44,R_Scores!F6)+COUNTIFS(R_Scores!$B$5:$B$44,1,R_Scores!$C$5:$C$44,"Paper condition",R_Scores!F$5:F$44,R_Scores!F6))^2-1,"")</f>
        <v>195</v>
      </c>
      <c r="BQ6" s="1" t="str">
        <f aca="false">IF(AND(R_Scores!$B6=2,R_Scores!$C6="Tool condition",ISNUMBER(R_Scores!F6)),COUNTIFS(R_Scores!$B$5:$B$44,2,R_Scores!$C$5:$C$44,"Paper condition",R_Scores!F$5:F$44,"&lt;"&amp;R_Scores!F6)+0.5*COUNTIFS(R_Scores!$B$5:$B$44,2,R_Scores!$C$5:$C$44,"Paper condition",R_Scores!F$5:F$44,R_Scores!F6),"")</f>
        <v/>
      </c>
      <c r="BR6" s="1" t="str">
        <f aca="false">IF(AND(R_Scores!$B6=2,OR(R_Scores!$C6="Tool condition",R_Scores!$C6="Paper condition"),ISNUMBER(R_Scores!F6)),(COUNTIFS(R_Scores!$B$5:$B$44,2,R_Scores!$C$5:$C$44,"Tool condition",R_Scores!F$5:F$44,R_Scores!F6)+COUNTIFS(R_Scores!$B$5:$B$44,2,R_Scores!$C$5:$C$44,"Paper condition",R_Scores!F$5:F$44,R_Scores!F6))^2-1,"")</f>
        <v/>
      </c>
      <c r="BS6" s="1" t="n">
        <f aca="false">IF(ISNUMBER(R_Scores!F6),R_Scores!F6^2,"")</f>
        <v>1</v>
      </c>
      <c r="BT6" s="1" t="str">
        <f aca="false">IF(AND(R_Scores!$B6=1,R_Scores!$C6="Tool condition",ISNUMBER(R_Scores!G6)),COUNTIFS(R_Scores!$B$5:$B$44,1,R_Scores!$C$5:$C$44,"Paper condition",R_Scores!G$5:G$44,"&lt;"&amp;R_Scores!G6)+0.5*COUNTIFS(R_Scores!$B$5:$B$44,1,R_Scores!$C$5:$C$44,"Paper condition",R_Scores!G$5:G$44,R_Scores!G6),"")</f>
        <v/>
      </c>
      <c r="BU6" s="1" t="str">
        <f aca="false">IF(AND(R_Scores!$B6=1,OR(R_Scores!$C6="Tool condition",R_Scores!$C6="Paper condition"),ISNUMBER(R_Scores!G6)),(COUNTIFS(R_Scores!$B$5:$B$44,1,R_Scores!$C$5:$C$44,"Tool condition",R_Scores!G$5:G$44,R_Scores!G6)+COUNTIFS(R_Scores!$B$5:$B$44,1,R_Scores!$C$5:$C$44,"Paper condition",R_Scores!G$5:G$44,R_Scores!G6))^2-1,"")</f>
        <v/>
      </c>
      <c r="BV6" s="1" t="str">
        <f aca="false">IF(AND(R_Scores!$B6=2,R_Scores!$C6="Tool condition",ISNUMBER(R_Scores!G6)),COUNTIFS(R_Scores!$B$5:$B$44,2,R_Scores!$C$5:$C$44,"Paper condition",R_Scores!G$5:G$44,"&lt;"&amp;R_Scores!G6)+0.5*COUNTIFS(R_Scores!$B$5:$B$44,2,R_Scores!$C$5:$C$44,"Paper condition",R_Scores!G$5:G$44,R_Scores!G6),"")</f>
        <v/>
      </c>
      <c r="BW6" s="1" t="str">
        <f aca="false">IF(AND(R_Scores!$B6=2,OR(R_Scores!$C6="Tool condition",R_Scores!$C6="Paper condition"),ISNUMBER(R_Scores!G6)),(COUNTIFS(R_Scores!$B$5:$B$44,2,R_Scores!$C$5:$C$44,"Tool condition",R_Scores!G$5:G$44,R_Scores!G6)+COUNTIFS(R_Scores!$B$5:$B$44,2,R_Scores!$C$5:$C$44,"Paper condition",R_Scores!G$5:G$44,R_Scores!G6))^2-1,"")</f>
        <v/>
      </c>
      <c r="BX6" s="1" t="str">
        <f aca="false">IF(ISNUMBER(R_Scores!G6),R_Scores!G6^2,"")</f>
        <v/>
      </c>
      <c r="BY6" s="1" t="str">
        <f aca="false">IF(AND(R_Scores!$B6=1,R_Scores!$C6="Tool condition",ISNUMBER(R_Scores!H6)),COUNTIFS(R_Scores!$B$5:$B$44,1,R_Scores!$C$5:$C$44,"Paper condition",R_Scores!H$5:H$44,"&lt;"&amp;R_Scores!H6)+0.5*COUNTIFS(R_Scores!$B$5:$B$44,1,R_Scores!$C$5:$C$44,"Paper condition",R_Scores!H$5:H$44,R_Scores!H6),"")</f>
        <v/>
      </c>
      <c r="BZ6" s="1" t="str">
        <f aca="false">IF(AND(R_Scores!$B6=1,OR(R_Scores!$C6="Tool condition",R_Scores!$C6="Paper condition"),ISNUMBER(R_Scores!H6)),(COUNTIFS(R_Scores!$B$5:$B$44,1,R_Scores!$C$5:$C$44,"Tool condition",R_Scores!H$5:H$44,R_Scores!H6)+COUNTIFS(R_Scores!$B$5:$B$44,1,R_Scores!$C$5:$C$44,"Paper condition",R_Scores!H$5:H$44,R_Scores!H6))^2-1,"")</f>
        <v/>
      </c>
      <c r="CA6" s="1" t="str">
        <f aca="false">IF(AND(R_Scores!$B6=2,R_Scores!$C6="Tool condition",ISNUMBER(R_Scores!H6)),COUNTIFS(R_Scores!$B$5:$B$44,2,R_Scores!$C$5:$C$44,"Paper condition",R_Scores!H$5:H$44,"&lt;"&amp;R_Scores!H6)+0.5*COUNTIFS(R_Scores!$B$5:$B$44,2,R_Scores!$C$5:$C$44,"Paper condition",R_Scores!H$5:H$44,R_Scores!H6),"")</f>
        <v/>
      </c>
      <c r="CB6" s="1" t="str">
        <f aca="false">IF(AND(R_Scores!$B6=2,OR(R_Scores!$C6="Tool condition",R_Scores!$C6="Paper condition"),ISNUMBER(R_Scores!H6)),(COUNTIFS(R_Scores!$B$5:$B$44,2,R_Scores!$C$5:$C$44,"Tool condition",R_Scores!H$5:H$44,R_Scores!H6)+COUNTIFS(R_Scores!$B$5:$B$44,2,R_Scores!$C$5:$C$44,"Paper condition",R_Scores!H$5:H$44,R_Scores!H6))^2-1,"")</f>
        <v/>
      </c>
      <c r="CC6" s="1" t="str">
        <f aca="false">IF(ISNUMBER(R_Scores!H6),R_Scores!H6^2,"")</f>
        <v/>
      </c>
      <c r="CD6" s="1" t="n">
        <f aca="false">IF(AND(R_Scores!$B6=1,R_Scores!$C6="Tool condition",ISNUMBER(R_Scores!I6)),COUNTIFS(R_Scores!$B$5:$B$44,1,R_Scores!$C$5:$C$44,"Paper condition",R_Scores!I$5:I$44,"&lt;"&amp;R_Scores!I6)+0.5*COUNTIFS(R_Scores!$B$5:$B$44,1,R_Scores!$C$5:$C$44,"Paper condition",R_Scores!I$5:I$44,R_Scores!I6),"")</f>
        <v>7.5</v>
      </c>
      <c r="CE6" s="1" t="n">
        <f aca="false">IF(AND(R_Scores!$B6=1,OR(R_Scores!$C6="Tool condition",R_Scores!$C6="Paper condition"),ISNUMBER(R_Scores!I6)),(COUNTIFS(R_Scores!$B$5:$B$44,1,R_Scores!$C$5:$C$44,"Tool condition",R_Scores!I$5:I$44,R_Scores!I6)+COUNTIFS(R_Scores!$B$5:$B$44,1,R_Scores!$C$5:$C$44,"Paper condition",R_Scores!I$5:I$44,R_Scores!I6))^2-1,"")</f>
        <v>168</v>
      </c>
      <c r="CF6" s="1" t="str">
        <f aca="false">IF(AND(R_Scores!$B6=2,R_Scores!$C6="Tool condition",ISNUMBER(R_Scores!I6)),COUNTIFS(R_Scores!$B$5:$B$44,2,R_Scores!$C$5:$C$44,"Paper condition",R_Scores!I$5:I$44,"&lt;"&amp;R_Scores!I6)+0.5*COUNTIFS(R_Scores!$B$5:$B$44,2,R_Scores!$C$5:$C$44,"Paper condition",R_Scores!I$5:I$44,R_Scores!I6),"")</f>
        <v/>
      </c>
      <c r="CG6" s="1" t="str">
        <f aca="false">IF(AND(R_Scores!$B6=2,OR(R_Scores!$C6="Tool condition",R_Scores!$C6="Paper condition"),ISNUMBER(R_Scores!I6)),(COUNTIFS(R_Scores!$B$5:$B$44,2,R_Scores!$C$5:$C$44,"Tool condition",R_Scores!I$5:I$44,R_Scores!I6)+COUNTIFS(R_Scores!$B$5:$B$44,2,R_Scores!$C$5:$C$44,"Paper condition",R_Scores!I$5:I$44,R_Scores!I6))^2-1,"")</f>
        <v/>
      </c>
      <c r="CH6" s="1" t="n">
        <f aca="false">IF(ISNUMBER(R_Scores!I6),R_Scores!I6^2,"")</f>
        <v>1</v>
      </c>
      <c r="CI6" s="1" t="n">
        <f aca="false">IF(AND(R_Scores!$B6=1,R_Scores!$C6="Tool condition",ISNUMBER(R_Scores!J6)),COUNTIFS(R_Scores!$B$5:$B$44,1,R_Scores!$C$5:$C$44,"Paper condition",R_Scores!J$5:J$44,"&lt;"&amp;R_Scores!J6)+0.5*COUNTIFS(R_Scores!$B$5:$B$44,1,R_Scores!$C$5:$C$44,"Paper condition",R_Scores!J$5:J$44,R_Scores!J6),"")</f>
        <v>7</v>
      </c>
      <c r="CJ6" s="1" t="n">
        <f aca="false">IF(AND(R_Scores!$B6=1,OR(R_Scores!$C6="Tool condition",R_Scores!$C6="Paper condition"),ISNUMBER(R_Scores!J6)),(COUNTIFS(R_Scores!$B$5:$B$44,1,R_Scores!$C$5:$C$44,"Tool condition",R_Scores!J$5:J$44,R_Scores!J6)+COUNTIFS(R_Scores!$B$5:$B$44,1,R_Scores!$C$5:$C$44,"Paper condition",R_Scores!J$5:J$44,R_Scores!J6))^2-1,"")</f>
        <v>224</v>
      </c>
      <c r="CK6" s="1" t="str">
        <f aca="false">IF(AND(R_Scores!$B6=2,R_Scores!$C6="Tool condition",ISNUMBER(R_Scores!J6)),COUNTIFS(R_Scores!$B$5:$B$44,2,R_Scores!$C$5:$C$44,"Paper condition",R_Scores!J$5:J$44,"&lt;"&amp;R_Scores!J6)+0.5*COUNTIFS(R_Scores!$B$5:$B$44,2,R_Scores!$C$5:$C$44,"Paper condition",R_Scores!J$5:J$44,R_Scores!J6),"")</f>
        <v/>
      </c>
      <c r="CL6" s="1" t="str">
        <f aca="false">IF(AND(R_Scores!$B6=2,OR(R_Scores!$C6="Tool condition",R_Scores!$C6="Paper condition"),ISNUMBER(R_Scores!J6)),(COUNTIFS(R_Scores!$B$5:$B$44,2,R_Scores!$C$5:$C$44,"Tool condition",R_Scores!J$5:J$44,R_Scores!J6)+COUNTIFS(R_Scores!$B$5:$B$44,2,R_Scores!$C$5:$C$44,"Paper condition",R_Scores!J$5:J$44,R_Scores!J6))^2-1,"")</f>
        <v/>
      </c>
      <c r="CM6" s="1" t="n">
        <f aca="false">IF(ISNUMBER(R_Scores!J6),R_Scores!J6^2,"")</f>
        <v>1</v>
      </c>
      <c r="CN6" s="1" t="str">
        <f aca="false">IF(AND(R_Scores!$B6=1,R_Scores!$C6="Tool condition",ISNUMBER(R_Scores!K6)),COUNTIFS(R_Scores!$B$5:$B$44,1,R_Scores!$C$5:$C$44,"Paper condition",R_Scores!K$5:K$44,"&lt;"&amp;R_Scores!K6)+0.5*COUNTIFS(R_Scores!$B$5:$B$44,1,R_Scores!$C$5:$C$44,"Paper condition",R_Scores!K$5:K$44,R_Scores!K6),"")</f>
        <v/>
      </c>
      <c r="CO6" s="1" t="str">
        <f aca="false">IF(AND(R_Scores!$B6=1,OR(R_Scores!$C6="Tool condition",R_Scores!$C6="Paper condition"),ISNUMBER(R_Scores!K6)),(COUNTIFS(R_Scores!$B$5:$B$44,1,R_Scores!$C$5:$C$44,"Tool condition",R_Scores!K$5:K$44,R_Scores!K6)+COUNTIFS(R_Scores!$B$5:$B$44,1,R_Scores!$C$5:$C$44,"Paper condition",R_Scores!K$5:K$44,R_Scores!K6))^2-1,"")</f>
        <v/>
      </c>
      <c r="CP6" s="1" t="str">
        <f aca="false">IF(AND(R_Scores!$B6=2,R_Scores!$C6="Tool condition",ISNUMBER(R_Scores!K6)),COUNTIFS(R_Scores!$B$5:$B$44,2,R_Scores!$C$5:$C$44,"Paper condition",R_Scores!K$5:K$44,"&lt;"&amp;R_Scores!K6)+0.5*COUNTIFS(R_Scores!$B$5:$B$44,2,R_Scores!$C$5:$C$44,"Paper condition",R_Scores!K$5:K$44,R_Scores!K6),"")</f>
        <v/>
      </c>
      <c r="CQ6" s="1" t="str">
        <f aca="false">IF(AND(R_Scores!$B6=2,OR(R_Scores!$C6="Tool condition",R_Scores!$C6="Paper condition"),ISNUMBER(R_Scores!K6)),(COUNTIFS(R_Scores!$B$5:$B$44,2,R_Scores!$C$5:$C$44,"Tool condition",R_Scores!K$5:K$44,R_Scores!K6)+COUNTIFS(R_Scores!$B$5:$B$44,2,R_Scores!$C$5:$C$44,"Paper condition",R_Scores!K$5:K$44,R_Scores!K6))^2-1,"")</f>
        <v/>
      </c>
      <c r="CR6" s="1" t="str">
        <f aca="false">IF(ISNUMBER(R_Scores!K6),R_Scores!K6^2,"")</f>
        <v/>
      </c>
      <c r="CS6" s="1" t="str">
        <f aca="false">IF(AND(R_Scores!$B6=1,R_Scores!$C6="Tool condition",ISNUMBER(R_Scores!L6)),COUNTIFS(R_Scores!$B$5:$B$44,1,R_Scores!$C$5:$C$44,"Paper condition",R_Scores!L$5:L$44,"&lt;"&amp;R_Scores!L6)+0.5*COUNTIFS(R_Scores!$B$5:$B$44,1,R_Scores!$C$5:$C$44,"Paper condition",R_Scores!L$5:L$44,R_Scores!L6),"")</f>
        <v/>
      </c>
      <c r="CT6" s="1" t="str">
        <f aca="false">IF(AND(R_Scores!$B6=1,OR(R_Scores!$C6="Tool condition",R_Scores!$C6="Paper condition"),ISNUMBER(R_Scores!L6)),(COUNTIFS(R_Scores!$B$5:$B$44,1,R_Scores!$C$5:$C$44,"Tool condition",R_Scores!L$5:L$44,R_Scores!L6)+COUNTIFS(R_Scores!$B$5:$B$44,1,R_Scores!$C$5:$C$44,"Paper condition",R_Scores!L$5:L$44,R_Scores!L6))^2-1,"")</f>
        <v/>
      </c>
      <c r="CU6" s="1" t="str">
        <f aca="false">IF(AND(R_Scores!$B6=2,R_Scores!$C6="Tool condition",ISNUMBER(R_Scores!L6)),COUNTIFS(R_Scores!$B$5:$B$44,2,R_Scores!$C$5:$C$44,"Paper condition",R_Scores!L$5:L$44,"&lt;"&amp;R_Scores!L6)+0.5*COUNTIFS(R_Scores!$B$5:$B$44,2,R_Scores!$C$5:$C$44,"Paper condition",R_Scores!L$5:L$44,R_Scores!L6),"")</f>
        <v/>
      </c>
      <c r="CV6" s="1" t="str">
        <f aca="false">IF(AND(R_Scores!$B6=2,OR(R_Scores!$C6="Tool condition",R_Scores!$C6="Paper condition"),ISNUMBER(R_Scores!L6)),(COUNTIFS(R_Scores!$B$5:$B$44,2,R_Scores!$C$5:$C$44,"Tool condition",R_Scores!L$5:L$44,R_Scores!L6)+COUNTIFS(R_Scores!$B$5:$B$44,2,R_Scores!$C$5:$C$44,"Paper condition",R_Scores!L$5:L$44,R_Scores!L6))^2-1,"")</f>
        <v/>
      </c>
      <c r="CW6" s="1" t="str">
        <f aca="false">IF(ISNUMBER(R_Scores!L6),R_Scores!L6^2,"")</f>
        <v/>
      </c>
      <c r="CX6" s="1" t="str">
        <f aca="false">IF(AND(R_Scores!$B6=1,R_Scores!$C6="Tool condition",ISNUMBER(R_Scores!M6)),COUNTIFS(R_Scores!$B$5:$B$44,1,R_Scores!$C$5:$C$44,"Paper condition",R_Scores!M$5:M$44,"&lt;"&amp;R_Scores!M6)+0.5*COUNTIFS(R_Scores!$B$5:$B$44,1,R_Scores!$C$5:$C$44,"Paper condition",R_Scores!M$5:M$44,R_Scores!M6),"")</f>
        <v/>
      </c>
      <c r="CY6" s="1" t="str">
        <f aca="false">IF(AND(R_Scores!$B6=1,OR(R_Scores!$C6="Tool condition",R_Scores!$C6="Paper condition"),ISNUMBER(R_Scores!M6)),(COUNTIFS(R_Scores!$B$5:$B$44,1,R_Scores!$C$5:$C$44,"Tool condition",R_Scores!M$5:M$44,R_Scores!M6)+COUNTIFS(R_Scores!$B$5:$B$44,1,R_Scores!$C$5:$C$44,"Paper condition",R_Scores!M$5:M$44,R_Scores!M6))^2-1,"")</f>
        <v/>
      </c>
      <c r="CZ6" s="1" t="str">
        <f aca="false">IF(AND(R_Scores!$B6=2,R_Scores!$C6="Tool condition",ISNUMBER(R_Scores!M6)),COUNTIFS(R_Scores!$B$5:$B$44,2,R_Scores!$C$5:$C$44,"Paper condition",R_Scores!M$5:M$44,"&lt;"&amp;R_Scores!M6)+0.5*COUNTIFS(R_Scores!$B$5:$B$44,2,R_Scores!$C$5:$C$44,"Paper condition",R_Scores!M$5:M$44,R_Scores!M6),"")</f>
        <v/>
      </c>
      <c r="DA6" s="1" t="str">
        <f aca="false">IF(AND(R_Scores!$B6=2,OR(R_Scores!$C6="Tool condition",R_Scores!$C6="Paper condition"),ISNUMBER(R_Scores!M6)),(COUNTIFS(R_Scores!$B$5:$B$44,2,R_Scores!$C$5:$C$44,"Tool condition",R_Scores!M$5:M$44,R_Scores!M6)+COUNTIFS(R_Scores!$B$5:$B$44,2,R_Scores!$C$5:$C$44,"Paper condition",R_Scores!M$5:M$44,R_Scores!M6))^2-1,"")</f>
        <v/>
      </c>
      <c r="DB6" s="1" t="str">
        <f aca="false">IF(ISNUMBER(R_Scores!M6),R_Scores!M6^2,"")</f>
        <v/>
      </c>
      <c r="DC6" s="1" t="n">
        <f aca="false">IF(AND(R_Scores!$B6=1,R_Scores!$C6="Tool condition",ISNUMBER(R_Scores!N6)),COUNTIFS(R_Scores!$B$5:$B$44,1,R_Scores!$C$5:$C$44,"Paper condition",R_Scores!N$5:N$44,"&lt;"&amp;R_Scores!N6)+0.5*COUNTIFS(R_Scores!$B$5:$B$44,1,R_Scores!$C$5:$C$44,"Paper condition",R_Scores!N$5:N$44,R_Scores!N6),"")</f>
        <v>8</v>
      </c>
      <c r="DD6" s="1" t="n">
        <f aca="false">IF(AND(R_Scores!$B6=1,OR(R_Scores!$C6="Tool condition",R_Scores!$C6="Paper condition"),ISNUMBER(R_Scores!N6)),(COUNTIFS(R_Scores!$B$5:$B$44,1,R_Scores!$C$5:$C$44,"Tool condition",R_Scores!N$5:N$44,R_Scores!N6)+COUNTIFS(R_Scores!$B$5:$B$44,1,R_Scores!$C$5:$C$44,"Paper condition",R_Scores!N$5:N$44,R_Scores!N6))^2-1,"")</f>
        <v>143</v>
      </c>
      <c r="DE6" s="1" t="str">
        <f aca="false">IF(AND(R_Scores!$B6=2,R_Scores!$C6="Tool condition",ISNUMBER(R_Scores!N6)),COUNTIFS(R_Scores!$B$5:$B$44,2,R_Scores!$C$5:$C$44,"Paper condition",R_Scores!N$5:N$44,"&lt;"&amp;R_Scores!N6)+0.5*COUNTIFS(R_Scores!$B$5:$B$44,2,R_Scores!$C$5:$C$44,"Paper condition",R_Scores!N$5:N$44,R_Scores!N6),"")</f>
        <v/>
      </c>
      <c r="DF6" s="1" t="str">
        <f aca="false">IF(AND(R_Scores!$B6=2,OR(R_Scores!$C6="Tool condition",R_Scores!$C6="Paper condition"),ISNUMBER(R_Scores!N6)),(COUNTIFS(R_Scores!$B$5:$B$44,2,R_Scores!$C$5:$C$44,"Tool condition",R_Scores!N$5:N$44,R_Scores!N6)+COUNTIFS(R_Scores!$B$5:$B$44,2,R_Scores!$C$5:$C$44,"Paper condition",R_Scores!N$5:N$44,R_Scores!N6))^2-1,"")</f>
        <v/>
      </c>
      <c r="DG6" s="1" t="n">
        <f aca="false">IF(ISNUMBER(R_Scores!N6),R_Scores!N6^2,"")</f>
        <v>1</v>
      </c>
      <c r="DH6" s="1" t="n">
        <f aca="false">IF(AND(R_Scores!$B6=1,R_Scores!$C6="Tool condition",ISNUMBER(R_Scores!O6)),COUNTIFS(R_Scores!$B$5:$B$44,1,R_Scores!$C$5:$C$44,"Paper condition",R_Scores!O$5:O$44,"&lt;"&amp;R_Scores!O6)+0.5*COUNTIFS(R_Scores!$B$5:$B$44,1,R_Scores!$C$5:$C$44,"Paper condition",R_Scores!O$5:O$44,R_Scores!O6),"")</f>
        <v>7.5</v>
      </c>
      <c r="DI6" s="1" t="n">
        <f aca="false">IF(AND(R_Scores!$B6=1,OR(R_Scores!$C6="Tool condition",R_Scores!$C6="Paper condition"),ISNUMBER(R_Scores!O6)),(COUNTIFS(R_Scores!$B$5:$B$44,1,R_Scores!$C$5:$C$44,"Tool condition",R_Scores!O$5:O$44,R_Scores!O6)+COUNTIFS(R_Scores!$B$5:$B$44,1,R_Scores!$C$5:$C$44,"Paper condition",R_Scores!O$5:O$44,R_Scores!O6))^2-1,"")</f>
        <v>168</v>
      </c>
      <c r="DJ6" s="1" t="str">
        <f aca="false">IF(AND(R_Scores!$B6=2,R_Scores!$C6="Tool condition",ISNUMBER(R_Scores!O6)),COUNTIFS(R_Scores!$B$5:$B$44,2,R_Scores!$C$5:$C$44,"Paper condition",R_Scores!O$5:O$44,"&lt;"&amp;R_Scores!O6)+0.5*COUNTIFS(R_Scores!$B$5:$B$44,2,R_Scores!$C$5:$C$44,"Paper condition",R_Scores!O$5:O$44,R_Scores!O6),"")</f>
        <v/>
      </c>
      <c r="DK6" s="1" t="str">
        <f aca="false">IF(AND(R_Scores!$B6=2,OR(R_Scores!$C6="Tool condition",R_Scores!$C6="Paper condition"),ISNUMBER(R_Scores!O6)),(COUNTIFS(R_Scores!$B$5:$B$44,2,R_Scores!$C$5:$C$44,"Tool condition",R_Scores!O$5:O$44,R_Scores!O6)+COUNTIFS(R_Scores!$B$5:$B$44,2,R_Scores!$C$5:$C$44,"Paper condition",R_Scores!O$5:O$44,R_Scores!O6))^2-1,"")</f>
        <v/>
      </c>
      <c r="DL6" s="1" t="n">
        <f aca="false">IF(ISNUMBER(R_Scores!O6),R_Scores!O6^2,"")</f>
        <v>1</v>
      </c>
      <c r="DM6" s="1" t="n">
        <f aca="false">IF(AND(R_Scores!$B6=1,R_Scores!$C6="Tool condition",ISNUMBER(R_Scores!P6)),COUNTIFS(R_Scores!$B$5:$B$44,1,R_Scores!$C$5:$C$44,"Paper condition",R_Scores!P$5:P$44,"&lt;"&amp;R_Scores!P6)+0.5*COUNTIFS(R_Scores!$B$5:$B$44,1,R_Scores!$C$5:$C$44,"Paper condition",R_Scores!P$5:P$44,R_Scores!P6),"")</f>
        <v>3.5</v>
      </c>
      <c r="DN6" s="1" t="n">
        <f aca="false">IF(AND(R_Scores!$B6=1,OR(R_Scores!$C6="Tool condition",R_Scores!$C6="Paper condition"),ISNUMBER(R_Scores!P6)),(COUNTIFS(R_Scores!$B$5:$B$44,1,R_Scores!$C$5:$C$44,"Tool condition",R_Scores!P$5:P$44,R_Scores!P6)+COUNTIFS(R_Scores!$B$5:$B$44,1,R_Scores!$C$5:$C$44,"Paper condition",R_Scores!P$5:P$44,R_Scores!P6))^2-1,"")</f>
        <v>80</v>
      </c>
      <c r="DO6" s="1" t="str">
        <f aca="false">IF(AND(R_Scores!$B6=2,R_Scores!$C6="Tool condition",ISNUMBER(R_Scores!P6)),COUNTIFS(R_Scores!$B$5:$B$44,2,R_Scores!$C$5:$C$44,"Paper condition",R_Scores!P$5:P$44,"&lt;"&amp;R_Scores!P6)+0.5*COUNTIFS(R_Scores!$B$5:$B$44,2,R_Scores!$C$5:$C$44,"Paper condition",R_Scores!P$5:P$44,R_Scores!P6),"")</f>
        <v/>
      </c>
      <c r="DP6" s="1" t="str">
        <f aca="false">IF(AND(R_Scores!$B6=2,OR(R_Scores!$C6="Tool condition",R_Scores!$C6="Paper condition"),ISNUMBER(R_Scores!P6)),(COUNTIFS(R_Scores!$B$5:$B$44,2,R_Scores!$C$5:$C$44,"Tool condition",R_Scores!P$5:P$44,R_Scores!P6)+COUNTIFS(R_Scores!$B$5:$B$44,2,R_Scores!$C$5:$C$44,"Paper condition",R_Scores!P$5:P$44,R_Scores!P6))^2-1,"")</f>
        <v/>
      </c>
      <c r="DQ6" s="1" t="n">
        <f aca="false">IF(ISNUMBER(R_Scores!P6),R_Scores!P6^2,"")</f>
        <v>0</v>
      </c>
      <c r="DR6" s="1" t="n">
        <f aca="false">IF(AND(Scores!$B6=1,Scores!$C6="Tool condition",ISNUMBER(Scores!Q6)),COUNTIFS(Scores!$B$5:$B$44,1,Scores!$C$5:$C$44,"Paper condition",Scores!Q$5:Q$44,"&lt;"&amp;Scores!Q6)+0.5*COUNTIFS(Scores!$B$5:$B$44,1,Scores!$C$5:$C$44,"Paper condition",Scores!Q$5:Q$44,Scores!Q6),"")</f>
        <v>10</v>
      </c>
      <c r="DS6" s="1" t="n">
        <f aca="false">IF(AND(Scores!$B6=1,OR(Scores!$C6="Tool condition",Scores!$C6="Paper condition"),ISNUMBER(Scores!Q6)),(COUNTIFS(Scores!$B$5:$B$44,1,Scores!$C$5:$C$44,"Tool condition",Scores!Q$5:Q$44,Scores!Q6)+COUNTIFS(Scores!$B$5:$B$44,1,Scores!$C$5:$C$44,"Paper condition",Scores!Q$5:Q$44,Scores!Q6))^2-1,"")</f>
        <v>99</v>
      </c>
      <c r="DT6" s="1" t="str">
        <f aca="false">IF(AND(Scores!$B6=2,Scores!$C6="Tool condition",ISNUMBER(Scores!Q6)),COUNTIFS(Scores!$B$5:$B$44,2,Scores!$C$5:$C$44,"Paper condition",Scores!Q$5:Q$44,"&lt;"&amp;Scores!Q6)+0.5*COUNTIFS(Scores!$B$5:$B$44,2,Scores!$C$5:$C$44,"Paper condition",Scores!Q$5:Q$44,Scores!Q6),"")</f>
        <v/>
      </c>
      <c r="DU6" s="1" t="str">
        <f aca="false">IF(AND(Scores!$B6=2,OR(Scores!$C6="Tool condition",Scores!$C6="Paper condition"),ISNUMBER(Scores!Q6)),(COUNTIFS(Scores!$B$5:$B$44,2,Scores!$C$5:$C$44,"Tool condition",Scores!Q$5:Q$44,Scores!Q6)+COUNTIFS(Scores!$B$5:$B$44,2,Scores!$C$5:$C$44,"Paper condition",Scores!Q$5:Q$44,Scores!Q6))^2-1,"")</f>
        <v/>
      </c>
      <c r="DV6" s="1" t="n">
        <f aca="false">IF(ISNUMBER(Scores!Q6),Scores!Q6^2,"")</f>
        <v>576</v>
      </c>
      <c r="DW6" s="1" t="n">
        <f aca="false">IF(AND(Scores!$B6=1,Scores!$C6="Tool condition",ISNUMBER(Scores!R6)),COUNTIFS(Scores!$B$5:$B$44,1,Scores!$C$5:$C$44,"Paper condition",Scores!R$5:R$44,"&lt;"&amp;Scores!R6)+0.5*COUNTIFS(Scores!$B$5:$B$44,1,Scores!$C$5:$C$44,"Paper condition",Scores!R$5:R$44,Scores!R6),"")</f>
        <v>9.5</v>
      </c>
      <c r="DX6" s="1" t="n">
        <f aca="false">IF(AND(Scores!$B6=1,OR(Scores!$C6="Tool condition",Scores!$C6="Paper condition"),ISNUMBER(Scores!R6)),(COUNTIFS(Scores!$B$5:$B$44,1,Scores!$C$5:$C$44,"Tool condition",Scores!R$5:R$44,Scores!R6)+COUNTIFS(Scores!$B$5:$B$44,1,Scores!$C$5:$C$44,"Paper condition",Scores!R$5:R$44,Scores!R6))^2-1,"")</f>
        <v>120</v>
      </c>
      <c r="DY6" s="1" t="str">
        <f aca="false">IF(AND(Scores!$B6=2,Scores!$C6="Tool condition",ISNUMBER(Scores!R6)),COUNTIFS(Scores!$B$5:$B$44,2,Scores!$C$5:$C$44,"Paper condition",Scores!R$5:R$44,"&lt;"&amp;Scores!R6)+0.5*COUNTIFS(Scores!$B$5:$B$44,2,Scores!$C$5:$C$44,"Paper condition",Scores!R$5:R$44,Scores!R6),"")</f>
        <v/>
      </c>
      <c r="DZ6" s="1" t="str">
        <f aca="false">IF(AND(Scores!$B6=2,OR(Scores!$C6="Tool condition",Scores!$C6="Paper condition"),ISNUMBER(Scores!R6)),(COUNTIFS(Scores!$B$5:$B$44,2,Scores!$C$5:$C$44,"Tool condition",Scores!R$5:R$44,Scores!R6)+COUNTIFS(Scores!$B$5:$B$44,2,Scores!$C$5:$C$44,"Paper condition",Scores!R$5:R$44,Scores!R6))^2-1,"")</f>
        <v/>
      </c>
      <c r="EA6" s="1" t="n">
        <f aca="false">IF(ISNUMBER(Scores!R6),Scores!R6^2,"")</f>
        <v>196</v>
      </c>
      <c r="EB6" s="1" t="n">
        <f aca="false">IF(AND(Scores!$B6=1,Scores!$C6="Tool condition",ISNUMBER(Scores!S6)),COUNTIFS(Scores!$B$5:$B$44,1,Scores!$C$5:$C$44,"Paper condition",Scores!S$5:S$44,"&lt;"&amp;Scores!S6)+0.5*COUNTIFS(Scores!$B$5:$B$44,1,Scores!$C$5:$C$44,"Paper condition",Scores!S$5:S$44,Scores!S6),"")</f>
        <v>9</v>
      </c>
      <c r="EC6" s="1" t="n">
        <f aca="false">IF(AND(Scores!$B6=1,OR(Scores!$C6="Tool condition",Scores!$C6="Paper condition"),ISNUMBER(Scores!S6)),(COUNTIFS(Scores!$B$5:$B$44,1,Scores!$C$5:$C$44,"Tool condition",Scores!S$5:S$44,Scores!S6)+COUNTIFS(Scores!$B$5:$B$44,1,Scores!$C$5:$C$44,"Paper condition",Scores!S$5:S$44,Scores!S6))^2-1,"")</f>
        <v>143</v>
      </c>
      <c r="ED6" s="1" t="str">
        <f aca="false">IF(AND(Scores!$B6=2,Scores!$C6="Tool condition",ISNUMBER(Scores!S6)),COUNTIFS(Scores!$B$5:$B$44,2,Scores!$C$5:$C$44,"Paper condition",Scores!S$5:S$44,"&lt;"&amp;Scores!S6)+0.5*COUNTIFS(Scores!$B$5:$B$44,2,Scores!$C$5:$C$44,"Paper condition",Scores!S$5:S$44,Scores!S6),"")</f>
        <v/>
      </c>
      <c r="EE6" s="1" t="str">
        <f aca="false">IF(AND(Scores!$B6=2,OR(Scores!$C6="Tool condition",Scores!$C6="Paper condition"),ISNUMBER(Scores!S6)),(COUNTIFS(Scores!$B$5:$B$44,2,Scores!$C$5:$C$44,"Tool condition",Scores!S$5:S$44,Scores!S6)+COUNTIFS(Scores!$B$5:$B$44,2,Scores!$C$5:$C$44,"Paper condition",Scores!S$5:S$44,Scores!S6))^2-1,"")</f>
        <v/>
      </c>
      <c r="EF6" s="1" t="n">
        <f aca="false">IF(ISNUMBER(Scores!S6),Scores!S6^2,"")</f>
        <v>100</v>
      </c>
      <c r="EG6" s="1" t="n">
        <f aca="false">IF(AND(Scores!$B6=1,Scores!$C6="Tool condition",ISNUMBER(Scores!T6)),COUNTIFS(Scores!$B$5:$B$44,1,Scores!$C$5:$C$44,"Paper condition",Scores!T$5:T$44,"&lt;"&amp;Scores!T6)+0.5*COUNTIFS(Scores!$B$5:$B$44,1,Scores!$C$5:$C$44,"Paper condition",Scores!T$5:T$44,Scores!T6),"")</f>
        <v>8.5</v>
      </c>
      <c r="EH6" s="1" t="n">
        <f aca="false">IF(AND(Scores!$B6=1,OR(Scores!$C6="Tool condition",Scores!$C6="Paper condition"),ISNUMBER(Scores!T6)),(COUNTIFS(Scores!$B$5:$B$44,1,Scores!$C$5:$C$44,"Tool condition",Scores!T$5:T$44,Scores!T6)+COUNTIFS(Scores!$B$5:$B$44,1,Scores!$C$5:$C$44,"Paper condition",Scores!T$5:T$44,Scores!T6))^2-1,"")</f>
        <v>168</v>
      </c>
      <c r="EI6" s="1" t="str">
        <f aca="false">IF(AND(Scores!$B6=2,Scores!$C6="Tool condition",ISNUMBER(Scores!T6)),COUNTIFS(Scores!$B$5:$B$44,2,Scores!$C$5:$C$44,"Paper condition",Scores!T$5:T$44,"&lt;"&amp;Scores!T6)+0.5*COUNTIFS(Scores!$B$5:$B$44,2,Scores!$C$5:$C$44,"Paper condition",Scores!T$5:T$44,Scores!T6),"")</f>
        <v/>
      </c>
      <c r="EJ6" s="1" t="str">
        <f aca="false">IF(AND(Scores!$B6=2,OR(Scores!$C6="Tool condition",Scores!$C6="Paper condition"),ISNUMBER(Scores!T6)),(COUNTIFS(Scores!$B$5:$B$44,2,Scores!$C$5:$C$44,"Tool condition",Scores!T$5:T$44,Scores!T6)+COUNTIFS(Scores!$B$5:$B$44,2,Scores!$C$5:$C$44,"Paper condition",Scores!T$5:T$44,Scores!T6))^2-1,"")</f>
        <v/>
      </c>
      <c r="EK6" s="1" t="n">
        <f aca="false">IF(ISNUMBER(Scores!T6),Scores!T6^2,"")</f>
        <v>64</v>
      </c>
      <c r="EL6" s="1" t="n">
        <f aca="false">IF(AND(Scores!$B6=1,Scores!$C6="Tool condition",ISNUMBER(Scores!U6)),COUNTIFS(Scores!$B$5:$B$44,1,Scores!$C$5:$C$44,"Paper condition",Scores!U$5:U$44,"&lt;"&amp;Scores!U6)+0.5*COUNTIFS(Scores!$B$5:$B$44,1,Scores!$C$5:$C$44,"Paper condition",Scores!U$5:U$44,Scores!U6),"")</f>
        <v>8.5</v>
      </c>
      <c r="EM6" s="1" t="n">
        <f aca="false">IF(AND(Scores!$B6=1,OR(Scores!$C6="Tool condition",Scores!$C6="Paper condition"),ISNUMBER(Scores!U6)),(COUNTIFS(Scores!$B$5:$B$44,1,Scores!$C$5:$C$44,"Tool condition",Scores!U$5:U$44,Scores!U6)+COUNTIFS(Scores!$B$5:$B$44,1,Scores!$C$5:$C$44,"Paper condition",Scores!U$5:U$44,Scores!U6))^2-1,"")</f>
        <v>168</v>
      </c>
      <c r="EN6" s="1" t="str">
        <f aca="false">IF(AND(Scores!$B6=2,Scores!$C6="Tool condition",ISNUMBER(Scores!U6)),COUNTIFS(Scores!$B$5:$B$44,2,Scores!$C$5:$C$44,"Paper condition",Scores!U$5:U$44,"&lt;"&amp;Scores!U6)+0.5*COUNTIFS(Scores!$B$5:$B$44,2,Scores!$C$5:$C$44,"Paper condition",Scores!U$5:U$44,Scores!U6),"")</f>
        <v/>
      </c>
      <c r="EO6" s="1" t="str">
        <f aca="false">IF(AND(Scores!$B6=2,OR(Scores!$C6="Tool condition",Scores!$C6="Paper condition"),ISNUMBER(Scores!U6)),(COUNTIFS(Scores!$B$5:$B$44,2,Scores!$C$5:$C$44,"Tool condition",Scores!U$5:U$44,Scores!U6)+COUNTIFS(Scores!$B$5:$B$44,2,Scores!$C$5:$C$44,"Paper condition",Scores!U$5:U$44,Scores!U6))^2-1,"")</f>
        <v/>
      </c>
      <c r="EP6" s="1" t="n">
        <f aca="false">IF(ISNUMBER(Scores!U6),Scores!U6^2,"")</f>
        <v>36</v>
      </c>
      <c r="EQ6" s="1" t="n">
        <f aca="false">IF(AND(Scores!$B6=1,Scores!$C6="Tool condition",ISNUMBER(Scores!V6)),COUNTIFS(Scores!$B$5:$B$44,1,Scores!$C$5:$C$44,"Paper condition",Scores!V$5:V$44,"&lt;"&amp;Scores!V6)+0.5*COUNTIFS(Scores!$B$5:$B$44,1,Scores!$C$5:$C$44,"Paper condition",Scores!V$5:V$44,Scores!V6),"")</f>
        <v>10</v>
      </c>
      <c r="ER6" s="1" t="n">
        <f aca="false">IF(AND(Scores!$B6=1,OR(Scores!$C6="Tool condition",Scores!$C6="Paper condition"),ISNUMBER(Scores!V6)),(COUNTIFS(Scores!$B$5:$B$44,1,Scores!$C$5:$C$44,"Tool condition",Scores!V$5:V$44,Scores!V6)+COUNTIFS(Scores!$B$5:$B$44,1,Scores!$C$5:$C$44,"Paper condition",Scores!V$5:V$44,Scores!V6))^2-1,"")</f>
        <v>99</v>
      </c>
      <c r="ES6" s="1" t="str">
        <f aca="false">IF(AND(Scores!$B6=2,Scores!$C6="Tool condition",ISNUMBER(Scores!V6)),COUNTIFS(Scores!$B$5:$B$44,2,Scores!$C$5:$C$44,"Paper condition",Scores!V$5:V$44,"&lt;"&amp;Scores!V6)+0.5*COUNTIFS(Scores!$B$5:$B$44,2,Scores!$C$5:$C$44,"Paper condition",Scores!V$5:V$44,Scores!V6),"")</f>
        <v/>
      </c>
      <c r="ET6" s="1" t="str">
        <f aca="false">IF(AND(Scores!$B6=2,OR(Scores!$C6="Tool condition",Scores!$C6="Paper condition"),ISNUMBER(Scores!V6)),(COUNTIFS(Scores!$B$5:$B$44,2,Scores!$C$5:$C$44,"Tool condition",Scores!V$5:V$44,Scores!V6)+COUNTIFS(Scores!$B$5:$B$44,2,Scores!$C$5:$C$44,"Paper condition",Scores!V$5:V$44,Scores!V6))^2-1,"")</f>
        <v/>
      </c>
      <c r="EU6" s="1" t="n">
        <f aca="false">IF(ISNUMBER(Scores!V6),Scores!V6^2,"")</f>
        <v>100</v>
      </c>
      <c r="EV6" s="1" t="n">
        <f aca="false">IF(AND(R_Scores!$B6=1,R_Scores!$C6="Tool condition",ISNUMBER(R_Scores!Q6)),COUNTIFS(R_Scores!$B$5:$B$44,1,R_Scores!$C$5:$C$44,"Paper condition",R_Scores!Q$5:Q$44,"&lt;"&amp;R_Scores!Q6)+0.5*COUNTIFS(R_Scores!$B$5:$B$44,1,R_Scores!$C$5:$C$44,"Paper condition",R_Scores!Q$5:Q$44,R_Scores!Q6),"")</f>
        <v>7.5</v>
      </c>
      <c r="EW6" s="1" t="n">
        <f aca="false">IF(AND(R_Scores!$B6=1,OR(R_Scores!$C6="Tool condition",R_Scores!$C6="Paper condition"),ISNUMBER(R_Scores!Q6)),(COUNTIFS(R_Scores!$B$5:$B$44,1,R_Scores!$C$5:$C$44,"Tool condition",R_Scores!Q$5:Q$44,R_Scores!Q6)+COUNTIFS(R_Scores!$B$5:$B$44,1,R_Scores!$C$5:$C$44,"Paper condition",R_Scores!Q$5:Q$44,R_Scores!Q6))^2-1,"")</f>
        <v>80</v>
      </c>
      <c r="EX6" s="1" t="str">
        <f aca="false">IF(AND(R_Scores!$B6=2,R_Scores!$C6="Tool condition",ISNUMBER(R_Scores!Q6)),COUNTIFS(R_Scores!$B$5:$B$44,2,R_Scores!$C$5:$C$44,"Paper condition",R_Scores!Q$5:Q$44,"&lt;"&amp;R_Scores!Q6)+0.5*COUNTIFS(R_Scores!$B$5:$B$44,2,R_Scores!$C$5:$C$44,"Paper condition",R_Scores!Q$5:Q$44,R_Scores!Q6),"")</f>
        <v/>
      </c>
      <c r="EY6" s="1" t="str">
        <f aca="false">IF(AND(R_Scores!$B6=2,OR(R_Scores!$C6="Tool condition",R_Scores!$C6="Paper condition"),ISNUMBER(R_Scores!Q6)),(COUNTIFS(R_Scores!$B$5:$B$44,2,R_Scores!$C$5:$C$44,"Tool condition",R_Scores!Q$5:Q$44,R_Scores!Q6)+COUNTIFS(R_Scores!$B$5:$B$44,2,R_Scores!$C$5:$C$44,"Paper condition",R_Scores!Q$5:Q$44,R_Scores!Q6))^2-1,"")</f>
        <v/>
      </c>
      <c r="EZ6" s="1" t="n">
        <f aca="false">IF(ISNUMBER(R_Scores!Q6),R_Scores!Q6^2,"")</f>
        <v>36</v>
      </c>
      <c r="FA6" s="1" t="n">
        <f aca="false">IF(AND(R_Scores!$B6=1,R_Scores!$C6="Tool condition",ISNUMBER(R_Scores!R6)),COUNTIFS(R_Scores!$B$5:$B$44,1,R_Scores!$C$5:$C$44,"Paper condition",R_Scores!R$5:R$44,"&lt;"&amp;R_Scores!R6)+0.5*COUNTIFS(R_Scores!$B$5:$B$44,1,R_Scores!$C$5:$C$44,"Paper condition",R_Scores!R$5:R$44,R_Scores!R6),"")</f>
        <v>10</v>
      </c>
      <c r="FB6" s="1" t="n">
        <f aca="false">IF(AND(R_Scores!$B6=1,OR(R_Scores!$C6="Tool condition",R_Scores!$C6="Paper condition"),ISNUMBER(R_Scores!R6)),(COUNTIFS(R_Scores!$B$5:$B$44,1,R_Scores!$C$5:$C$44,"Tool condition",R_Scores!R$5:R$44,R_Scores!R6)+COUNTIFS(R_Scores!$B$5:$B$44,1,R_Scores!$C$5:$C$44,"Paper condition",R_Scores!R$5:R$44,R_Scores!R6))^2-1,"")</f>
        <v>35</v>
      </c>
      <c r="FC6" s="1" t="str">
        <f aca="false">IF(AND(R_Scores!$B6=2,R_Scores!$C6="Tool condition",ISNUMBER(R_Scores!R6)),COUNTIFS(R_Scores!$B$5:$B$44,2,R_Scores!$C$5:$C$44,"Paper condition",R_Scores!R$5:R$44,"&lt;"&amp;R_Scores!R6)+0.5*COUNTIFS(R_Scores!$B$5:$B$44,2,R_Scores!$C$5:$C$44,"Paper condition",R_Scores!R$5:R$44,R_Scores!R6),"")</f>
        <v/>
      </c>
      <c r="FD6" s="1" t="str">
        <f aca="false">IF(AND(R_Scores!$B6=2,OR(R_Scores!$C6="Tool condition",R_Scores!$C6="Paper condition"),ISNUMBER(R_Scores!R6)),(COUNTIFS(R_Scores!$B$5:$B$44,2,R_Scores!$C$5:$C$44,"Tool condition",R_Scores!R$5:R$44,R_Scores!R6)+COUNTIFS(R_Scores!$B$5:$B$44,2,R_Scores!$C$5:$C$44,"Paper condition",R_Scores!R$5:R$44,R_Scores!R6))^2-1,"")</f>
        <v/>
      </c>
      <c r="FE6" s="1" t="n">
        <f aca="false">IF(ISNUMBER(R_Scores!R6),R_Scores!R6^2,"")</f>
        <v>900</v>
      </c>
    </row>
    <row r="7" customFormat="false" ht="14.25" hidden="false" customHeight="true" outlineLevel="0" collapsed="false">
      <c r="B7" s="1" t="n">
        <f aca="false">IF(AND(Scores!$B7=1,Scores!$C7="Tool condition",ISNUMBER(Scores!E7)),COUNTIFS(Scores!$B$5:$B$44,1,Scores!$C$5:$C$44,"Paper condition",Scores!E$5:E$44,"&lt;"&amp;Scores!E7)+0.5*COUNTIFS(Scores!$B$5:$B$44,1,Scores!$C$5:$C$44,"Paper condition",Scores!E$5:E$44,Scores!E7),"")</f>
        <v>7</v>
      </c>
      <c r="C7" s="1" t="n">
        <f aca="false">IF(AND(Scores!$B7=1,OR(Scores!$C7="Tool condition",Scores!$C7="Paper condition"),ISNUMBER(Scores!E7)),(COUNTIFS(Scores!$B$5:$B$44,1,Scores!$C$5:$C$44,"Tool condition",Scores!E$5:E$44,Scores!E7)+COUNTIFS(Scores!$B$5:$B$44,1,Scores!$C$5:$C$44,"Paper condition",Scores!E$5:E$44,Scores!E7))^2-1,"")</f>
        <v>255</v>
      </c>
      <c r="D7" s="1" t="str">
        <f aca="false">IF(AND(Scores!$B7=2,Scores!$C7="Tool condition",ISNUMBER(Scores!E7)),COUNTIFS(Scores!$B$5:$B$44,2,Scores!$C$5:$C$44,"Paper condition",Scores!E$5:E$44,"&lt;"&amp;Scores!E7)+0.5*COUNTIFS(Scores!$B$5:$B$44,2,Scores!$C$5:$C$44,"Paper condition",Scores!E$5:E$44,Scores!E7),"")</f>
        <v/>
      </c>
      <c r="E7" s="1" t="str">
        <f aca="false">IF(AND(Scores!$B7=2,OR(Scores!$C7="Tool condition",Scores!$C7="Paper condition"),ISNUMBER(Scores!E7)),(COUNTIFS(Scores!$B$5:$B$44,2,Scores!$C$5:$C$44,"Tool condition",Scores!E$5:E$44,Scores!E7)+COUNTIFS(Scores!$B$5:$B$44,2,Scores!$C$5:$C$44,"Paper condition",Scores!E$5:E$44,Scores!E7))^2-1,"")</f>
        <v/>
      </c>
      <c r="F7" s="1" t="n">
        <f aca="false">IF(ISNUMBER(Scores!E7),Scores!E7^2,"")</f>
        <v>4</v>
      </c>
      <c r="G7" s="1" t="n">
        <f aca="false">IF(AND(Scores!$B7=1,Scores!$C7="Tool condition",ISNUMBER(Scores!F7)),COUNTIFS(Scores!$B$5:$B$44,1,Scores!$C$5:$C$44,"Paper condition",Scores!F$5:F$44,"&lt;"&amp;Scores!F7)+0.5*COUNTIFS(Scores!$B$5:$B$44,1,Scores!$C$5:$C$44,"Paper condition",Scores!F$5:F$44,Scores!F7),"")</f>
        <v>8</v>
      </c>
      <c r="H7" s="1" t="n">
        <f aca="false">IF(AND(Scores!$B7=1,OR(Scores!$C7="Tool condition",Scores!$C7="Paper condition"),ISNUMBER(Scores!F7)),(COUNTIFS(Scores!$B$5:$B$44,1,Scores!$C$5:$C$44,"Tool condition",Scores!F$5:F$44,Scores!F7)+COUNTIFS(Scores!$B$5:$B$44,1,Scores!$C$5:$C$44,"Paper condition",Scores!F$5:F$44,Scores!F7))^2-1,"")</f>
        <v>195</v>
      </c>
      <c r="I7" s="1" t="str">
        <f aca="false">IF(AND(Scores!$B7=2,Scores!$C7="Tool condition",ISNUMBER(Scores!F7)),COUNTIFS(Scores!$B$5:$B$44,2,Scores!$C$5:$C$44,"Paper condition",Scores!F$5:F$44,"&lt;"&amp;Scores!F7)+0.5*COUNTIFS(Scores!$B$5:$B$44,2,Scores!$C$5:$C$44,"Paper condition",Scores!F$5:F$44,Scores!F7),"")</f>
        <v/>
      </c>
      <c r="J7" s="1" t="str">
        <f aca="false">IF(AND(Scores!$B7=2,OR(Scores!$C7="Tool condition",Scores!$C7="Paper condition"),ISNUMBER(Scores!F7)),(COUNTIFS(Scores!$B$5:$B$44,2,Scores!$C$5:$C$44,"Tool condition",Scores!F$5:F$44,Scores!F7)+COUNTIFS(Scores!$B$5:$B$44,2,Scores!$C$5:$C$44,"Paper condition",Scores!F$5:F$44,Scores!F7))^2-1,"")</f>
        <v/>
      </c>
      <c r="K7" s="1" t="n">
        <f aca="false">IF(ISNUMBER(Scores!F7),Scores!F7^2,"")</f>
        <v>4</v>
      </c>
      <c r="L7" s="1" t="n">
        <f aca="false">IF(AND(Scores!$B7=1,Scores!$C7="Tool condition",ISNUMBER(Scores!G7)),COUNTIFS(Scores!$B$5:$B$44,1,Scores!$C$5:$C$44,"Paper condition",Scores!G$5:G$44,"&lt;"&amp;Scores!G7)+0.5*COUNTIFS(Scores!$B$5:$B$44,1,Scores!$C$5:$C$44,"Paper condition",Scores!G$5:G$44,Scores!G7),"")</f>
        <v>6.5</v>
      </c>
      <c r="M7" s="1" t="n">
        <f aca="false">IF(AND(Scores!$B7=1,OR(Scores!$C7="Tool condition",Scores!$C7="Paper condition"),ISNUMBER(Scores!G7)),(COUNTIFS(Scores!$B$5:$B$44,1,Scores!$C$5:$C$44,"Tool condition",Scores!G$5:G$44,Scores!G7)+COUNTIFS(Scores!$B$5:$B$44,1,Scores!$C$5:$C$44,"Paper condition",Scores!G$5:G$44,Scores!G7))^2-1,"")</f>
        <v>288</v>
      </c>
      <c r="N7" s="1" t="str">
        <f aca="false">IF(AND(Scores!$B7=2,Scores!$C7="Tool condition",ISNUMBER(Scores!G7)),COUNTIFS(Scores!$B$5:$B$44,2,Scores!$C$5:$C$44,"Paper condition",Scores!G$5:G$44,"&lt;"&amp;Scores!G7)+0.5*COUNTIFS(Scores!$B$5:$B$44,2,Scores!$C$5:$C$44,"Paper condition",Scores!G$5:G$44,Scores!G7),"")</f>
        <v/>
      </c>
      <c r="O7" s="1" t="str">
        <f aca="false">IF(AND(Scores!$B7=2,OR(Scores!$C7="Tool condition",Scores!$C7="Paper condition"),ISNUMBER(Scores!G7)),(COUNTIFS(Scores!$B$5:$B$44,2,Scores!$C$5:$C$44,"Tool condition",Scores!G$5:G$44,Scores!G7)+COUNTIFS(Scores!$B$5:$B$44,2,Scores!$C$5:$C$44,"Paper condition",Scores!G$5:G$44,Scores!G7))^2-1,"")</f>
        <v/>
      </c>
      <c r="P7" s="1" t="n">
        <f aca="false">IF(ISNUMBER(Scores!G7),Scores!G7^2,"")</f>
        <v>4</v>
      </c>
      <c r="Q7" s="1" t="n">
        <f aca="false">IF(AND(Scores!$B7=1,Scores!$C7="Tool condition",ISNUMBER(Scores!H7)),COUNTIFS(Scores!$B$5:$B$44,1,Scores!$C$5:$C$44,"Paper condition",Scores!H$5:H$44,"&lt;"&amp;Scores!H7)+0.5*COUNTIFS(Scores!$B$5:$B$44,1,Scores!$C$5:$C$44,"Paper condition",Scores!H$5:H$44,Scores!H7),"")</f>
        <v>7</v>
      </c>
      <c r="R7" s="1" t="n">
        <f aca="false">IF(AND(Scores!$B7=1,OR(Scores!$C7="Tool condition",Scores!$C7="Paper condition"),ISNUMBER(Scores!H7)),(COUNTIFS(Scores!$B$5:$B$44,1,Scores!$C$5:$C$44,"Tool condition",Scores!H$5:H$44,Scores!H7)+COUNTIFS(Scores!$B$5:$B$44,1,Scores!$C$5:$C$44,"Paper condition",Scores!H$5:H$44,Scores!H7))^2-1,"")</f>
        <v>255</v>
      </c>
      <c r="S7" s="1" t="str">
        <f aca="false">IF(AND(Scores!$B7=2,Scores!$C7="Tool condition",ISNUMBER(Scores!H7)),COUNTIFS(Scores!$B$5:$B$44,2,Scores!$C$5:$C$44,"Paper condition",Scores!H$5:H$44,"&lt;"&amp;Scores!H7)+0.5*COUNTIFS(Scores!$B$5:$B$44,2,Scores!$C$5:$C$44,"Paper condition",Scores!H$5:H$44,Scores!H7),"")</f>
        <v/>
      </c>
      <c r="T7" s="1" t="str">
        <f aca="false">IF(AND(Scores!$B7=2,OR(Scores!$C7="Tool condition",Scores!$C7="Paper condition"),ISNUMBER(Scores!H7)),(COUNTIFS(Scores!$B$5:$B$44,2,Scores!$C$5:$C$44,"Tool condition",Scores!H$5:H$44,Scores!H7)+COUNTIFS(Scores!$B$5:$B$44,2,Scores!$C$5:$C$44,"Paper condition",Scores!H$5:H$44,Scores!H7))^2-1,"")</f>
        <v/>
      </c>
      <c r="U7" s="1" t="n">
        <f aca="false">IF(ISNUMBER(Scores!H7),Scores!H7^2,"")</f>
        <v>4</v>
      </c>
      <c r="V7" s="1" t="n">
        <f aca="false">IF(AND(Scores!$B7=1,Scores!$C7="Tool condition",ISNUMBER(Scores!I7)),COUNTIFS(Scores!$B$5:$B$44,1,Scores!$C$5:$C$44,"Paper condition",Scores!I$5:I$44,"&lt;"&amp;Scores!I7)+0.5*COUNTIFS(Scores!$B$5:$B$44,1,Scores!$C$5:$C$44,"Paper condition",Scores!I$5:I$44,Scores!I7),"")</f>
        <v>8</v>
      </c>
      <c r="W7" s="1" t="n">
        <f aca="false">IF(AND(Scores!$B7=1,OR(Scores!$C7="Tool condition",Scores!$C7="Paper condition"),ISNUMBER(Scores!I7)),(COUNTIFS(Scores!$B$5:$B$44,1,Scores!$C$5:$C$44,"Tool condition",Scores!I$5:I$44,Scores!I7)+COUNTIFS(Scores!$B$5:$B$44,1,Scores!$C$5:$C$44,"Paper condition",Scores!I$5:I$44,Scores!I7))^2-1,"")</f>
        <v>195</v>
      </c>
      <c r="X7" s="1" t="str">
        <f aca="false">IF(AND(Scores!$B7=2,Scores!$C7="Tool condition",ISNUMBER(Scores!I7)),COUNTIFS(Scores!$B$5:$B$44,2,Scores!$C$5:$C$44,"Paper condition",Scores!I$5:I$44,"&lt;"&amp;Scores!I7)+0.5*COUNTIFS(Scores!$B$5:$B$44,2,Scores!$C$5:$C$44,"Paper condition",Scores!I$5:I$44,Scores!I7),"")</f>
        <v/>
      </c>
      <c r="Y7" s="1" t="str">
        <f aca="false">IF(AND(Scores!$B7=2,OR(Scores!$C7="Tool condition",Scores!$C7="Paper condition"),ISNUMBER(Scores!I7)),(COUNTIFS(Scores!$B$5:$B$44,2,Scores!$C$5:$C$44,"Tool condition",Scores!I$5:I$44,Scores!I7)+COUNTIFS(Scores!$B$5:$B$44,2,Scores!$C$5:$C$44,"Paper condition",Scores!I$5:I$44,Scores!I7))^2-1,"")</f>
        <v/>
      </c>
      <c r="Z7" s="1" t="n">
        <f aca="false">IF(ISNUMBER(Scores!I7),Scores!I7^2,"")</f>
        <v>4</v>
      </c>
      <c r="AA7" s="1" t="n">
        <f aca="false">IF(AND(Scores!$B7=1,Scores!$C7="Tool condition",ISNUMBER(Scores!J7)),COUNTIFS(Scores!$B$5:$B$44,1,Scores!$C$5:$C$44,"Paper condition",Scores!J$5:J$44,"&lt;"&amp;Scores!J7)+0.5*COUNTIFS(Scores!$B$5:$B$44,1,Scores!$C$5:$C$44,"Paper condition",Scores!J$5:J$44,Scores!J7),"")</f>
        <v>7.5</v>
      </c>
      <c r="AB7" s="1" t="n">
        <f aca="false">IF(AND(Scores!$B7=1,OR(Scores!$C7="Tool condition",Scores!$C7="Paper condition"),ISNUMBER(Scores!J7)),(COUNTIFS(Scores!$B$5:$B$44,1,Scores!$C$5:$C$44,"Tool condition",Scores!J$5:J$44,Scores!J7)+COUNTIFS(Scores!$B$5:$B$44,1,Scores!$C$5:$C$44,"Paper condition",Scores!J$5:J$44,Scores!J7))^2-1,"")</f>
        <v>224</v>
      </c>
      <c r="AC7" s="1" t="str">
        <f aca="false">IF(AND(Scores!$B7=2,Scores!$C7="Tool condition",ISNUMBER(Scores!J7)),COUNTIFS(Scores!$B$5:$B$44,2,Scores!$C$5:$C$44,"Paper condition",Scores!J$5:J$44,"&lt;"&amp;Scores!J7)+0.5*COUNTIFS(Scores!$B$5:$B$44,2,Scores!$C$5:$C$44,"Paper condition",Scores!J$5:J$44,Scores!J7),"")</f>
        <v/>
      </c>
      <c r="AD7" s="1" t="str">
        <f aca="false">IF(AND(Scores!$B7=2,OR(Scores!$C7="Tool condition",Scores!$C7="Paper condition"),ISNUMBER(Scores!J7)),(COUNTIFS(Scores!$B$5:$B$44,2,Scores!$C$5:$C$44,"Tool condition",Scores!J$5:J$44,Scores!J7)+COUNTIFS(Scores!$B$5:$B$44,2,Scores!$C$5:$C$44,"Paper condition",Scores!J$5:J$44,Scores!J7))^2-1,"")</f>
        <v/>
      </c>
      <c r="AE7" s="1" t="n">
        <f aca="false">IF(ISNUMBER(Scores!J7),Scores!J7^2,"")</f>
        <v>4</v>
      </c>
      <c r="AF7" s="1" t="n">
        <f aca="false">IF(AND(Scores!$B7=1,Scores!$C7="Tool condition",ISNUMBER(Scores!K7)),COUNTIFS(Scores!$B$5:$B$44,1,Scores!$C$5:$C$44,"Paper condition",Scores!K$5:K$44,"&lt;"&amp;Scores!K7)+0.5*COUNTIFS(Scores!$B$5:$B$44,1,Scores!$C$5:$C$44,"Paper condition",Scores!K$5:K$44,Scores!K7),"")</f>
        <v>7</v>
      </c>
      <c r="AG7" s="1" t="n">
        <f aca="false">IF(AND(Scores!$B7=1,OR(Scores!$C7="Tool condition",Scores!$C7="Paper condition"),ISNUMBER(Scores!K7)),(COUNTIFS(Scores!$B$5:$B$44,1,Scores!$C$5:$C$44,"Tool condition",Scores!K$5:K$44,Scores!K7)+COUNTIFS(Scores!$B$5:$B$44,1,Scores!$C$5:$C$44,"Paper condition",Scores!K$5:K$44,Scores!K7))^2-1,"")</f>
        <v>255</v>
      </c>
      <c r="AH7" s="1" t="str">
        <f aca="false">IF(AND(Scores!$B7=2,Scores!$C7="Tool condition",ISNUMBER(Scores!K7)),COUNTIFS(Scores!$B$5:$B$44,2,Scores!$C$5:$C$44,"Paper condition",Scores!K$5:K$44,"&lt;"&amp;Scores!K7)+0.5*COUNTIFS(Scores!$B$5:$B$44,2,Scores!$C$5:$C$44,"Paper condition",Scores!K$5:K$44,Scores!K7),"")</f>
        <v/>
      </c>
      <c r="AI7" s="1" t="str">
        <f aca="false">IF(AND(Scores!$B7=2,OR(Scores!$C7="Tool condition",Scores!$C7="Paper condition"),ISNUMBER(Scores!K7)),(COUNTIFS(Scores!$B$5:$B$44,2,Scores!$C$5:$C$44,"Tool condition",Scores!K$5:K$44,Scores!K7)+COUNTIFS(Scores!$B$5:$B$44,2,Scores!$C$5:$C$44,"Paper condition",Scores!K$5:K$44,Scores!K7))^2-1,"")</f>
        <v/>
      </c>
      <c r="AJ7" s="1" t="n">
        <f aca="false">IF(ISNUMBER(Scores!K7),Scores!K7^2,"")</f>
        <v>4</v>
      </c>
      <c r="AK7" s="1" t="n">
        <f aca="false">IF(AND(Scores!$B7=1,Scores!$C7="Tool condition",ISNUMBER(Scores!L7)),COUNTIFS(Scores!$B$5:$B$44,1,Scores!$C$5:$C$44,"Paper condition",Scores!L$5:L$44,"&lt;"&amp;Scores!L7)+0.5*COUNTIFS(Scores!$B$5:$B$44,1,Scores!$C$5:$C$44,"Paper condition",Scores!L$5:L$44,Scores!L7),"")</f>
        <v>6.5</v>
      </c>
      <c r="AL7" s="1" t="n">
        <f aca="false">IF(AND(Scores!$B7=1,OR(Scores!$C7="Tool condition",Scores!$C7="Paper condition"),ISNUMBER(Scores!L7)),(COUNTIFS(Scores!$B$5:$B$44,1,Scores!$C$5:$C$44,"Tool condition",Scores!L$5:L$44,Scores!L7)+COUNTIFS(Scores!$B$5:$B$44,1,Scores!$C$5:$C$44,"Paper condition",Scores!L$5:L$44,Scores!L7))^2-1,"")</f>
        <v>288</v>
      </c>
      <c r="AM7" s="1" t="str">
        <f aca="false">IF(AND(Scores!$B7=2,Scores!$C7="Tool condition",ISNUMBER(Scores!L7)),COUNTIFS(Scores!$B$5:$B$44,2,Scores!$C$5:$C$44,"Paper condition",Scores!L$5:L$44,"&lt;"&amp;Scores!L7)+0.5*COUNTIFS(Scores!$B$5:$B$44,2,Scores!$C$5:$C$44,"Paper condition",Scores!L$5:L$44,Scores!L7),"")</f>
        <v/>
      </c>
      <c r="AN7" s="1" t="str">
        <f aca="false">IF(AND(Scores!$B7=2,OR(Scores!$C7="Tool condition",Scores!$C7="Paper condition"),ISNUMBER(Scores!L7)),(COUNTIFS(Scores!$B$5:$B$44,2,Scores!$C$5:$C$44,"Tool condition",Scores!L$5:L$44,Scores!L7)+COUNTIFS(Scores!$B$5:$B$44,2,Scores!$C$5:$C$44,"Paper condition",Scores!L$5:L$44,Scores!L7))^2-1,"")</f>
        <v/>
      </c>
      <c r="AO7" s="1" t="n">
        <f aca="false">IF(ISNUMBER(Scores!L7),Scores!L7^2,"")</f>
        <v>4</v>
      </c>
      <c r="AP7" s="1" t="n">
        <f aca="false">IF(AND(Scores!$B7=1,Scores!$C7="Tool condition",ISNUMBER(Scores!M7)),COUNTIFS(Scores!$B$5:$B$44,1,Scores!$C$5:$C$44,"Paper condition",Scores!M$5:M$44,"&lt;"&amp;Scores!M7)+0.5*COUNTIFS(Scores!$B$5:$B$44,1,Scores!$C$5:$C$44,"Paper condition",Scores!M$5:M$44,Scores!M7),"")</f>
        <v>6.5</v>
      </c>
      <c r="AQ7" s="1" t="n">
        <f aca="false">IF(AND(Scores!$B7=1,OR(Scores!$C7="Tool condition",Scores!$C7="Paper condition"),ISNUMBER(Scores!M7)),(COUNTIFS(Scores!$B$5:$B$44,1,Scores!$C$5:$C$44,"Tool condition",Scores!M$5:M$44,Scores!M7)+COUNTIFS(Scores!$B$5:$B$44,1,Scores!$C$5:$C$44,"Paper condition",Scores!M$5:M$44,Scores!M7))^2-1,"")</f>
        <v>288</v>
      </c>
      <c r="AR7" s="1" t="str">
        <f aca="false">IF(AND(Scores!$B7=2,Scores!$C7="Tool condition",ISNUMBER(Scores!M7)),COUNTIFS(Scores!$B$5:$B$44,2,Scores!$C$5:$C$44,"Paper condition",Scores!M$5:M$44,"&lt;"&amp;Scores!M7)+0.5*COUNTIFS(Scores!$B$5:$B$44,2,Scores!$C$5:$C$44,"Paper condition",Scores!M$5:M$44,Scores!M7),"")</f>
        <v/>
      </c>
      <c r="AS7" s="1" t="str">
        <f aca="false">IF(AND(Scores!$B7=2,OR(Scores!$C7="Tool condition",Scores!$C7="Paper condition"),ISNUMBER(Scores!M7)),(COUNTIFS(Scores!$B$5:$B$44,2,Scores!$C$5:$C$44,"Tool condition",Scores!M$5:M$44,Scores!M7)+COUNTIFS(Scores!$B$5:$B$44,2,Scores!$C$5:$C$44,"Paper condition",Scores!M$5:M$44,Scores!M7))^2-1,"")</f>
        <v/>
      </c>
      <c r="AT7" s="1" t="n">
        <f aca="false">IF(ISNUMBER(Scores!M7),Scores!M7^2,"")</f>
        <v>4</v>
      </c>
      <c r="AU7" s="1" t="n">
        <f aca="false">IF(AND(Scores!$B7=1,Scores!$C7="Tool condition",ISNUMBER(Scores!N7)),COUNTIFS(Scores!$B$5:$B$44,1,Scores!$C$5:$C$44,"Paper condition",Scores!N$5:N$44,"&lt;"&amp;Scores!N7)+0.5*COUNTIFS(Scores!$B$5:$B$44,1,Scores!$C$5:$C$44,"Paper condition",Scores!N$5:N$44,Scores!N7),"")</f>
        <v>8</v>
      </c>
      <c r="AV7" s="1" t="n">
        <f aca="false">IF(AND(Scores!$B7=1,OR(Scores!$C7="Tool condition",Scores!$C7="Paper condition"),ISNUMBER(Scores!N7)),(COUNTIFS(Scores!$B$5:$B$44,1,Scores!$C$5:$C$44,"Tool condition",Scores!N$5:N$44,Scores!N7)+COUNTIFS(Scores!$B$5:$B$44,1,Scores!$C$5:$C$44,"Paper condition",Scores!N$5:N$44,Scores!N7))^2-1,"")</f>
        <v>195</v>
      </c>
      <c r="AW7" s="1" t="str">
        <f aca="false">IF(AND(Scores!$B7=2,Scores!$C7="Tool condition",ISNUMBER(Scores!N7)),COUNTIFS(Scores!$B$5:$B$44,2,Scores!$C$5:$C$44,"Paper condition",Scores!N$5:N$44,"&lt;"&amp;Scores!N7)+0.5*COUNTIFS(Scores!$B$5:$B$44,2,Scores!$C$5:$C$44,"Paper condition",Scores!N$5:N$44,Scores!N7),"")</f>
        <v/>
      </c>
      <c r="AX7" s="1" t="str">
        <f aca="false">IF(AND(Scores!$B7=2,OR(Scores!$C7="Tool condition",Scores!$C7="Paper condition"),ISNUMBER(Scores!N7)),(COUNTIFS(Scores!$B$5:$B$44,2,Scores!$C$5:$C$44,"Tool condition",Scores!N$5:N$44,Scores!N7)+COUNTIFS(Scores!$B$5:$B$44,2,Scores!$C$5:$C$44,"Paper condition",Scores!N$5:N$44,Scores!N7))^2-1,"")</f>
        <v/>
      </c>
      <c r="AY7" s="1" t="n">
        <f aca="false">IF(ISNUMBER(Scores!N7),Scores!N7^2,"")</f>
        <v>4</v>
      </c>
      <c r="AZ7" s="1" t="n">
        <f aca="false">IF(AND(Scores!$B7=1,Scores!$C7="Tool condition",ISNUMBER(Scores!O7)),COUNTIFS(Scores!$B$5:$B$44,1,Scores!$C$5:$C$44,"Paper condition",Scores!O$5:O$44,"&lt;"&amp;Scores!O7)+0.5*COUNTIFS(Scores!$B$5:$B$44,1,Scores!$C$5:$C$44,"Paper condition",Scores!O$5:O$44,Scores!O7),"")</f>
        <v>7.5</v>
      </c>
      <c r="BA7" s="1" t="n">
        <f aca="false">IF(AND(Scores!$B7=1,OR(Scores!$C7="Tool condition",Scores!$C7="Paper condition"),ISNUMBER(Scores!O7)),(COUNTIFS(Scores!$B$5:$B$44,1,Scores!$C$5:$C$44,"Tool condition",Scores!O$5:O$44,Scores!O7)+COUNTIFS(Scores!$B$5:$B$44,1,Scores!$C$5:$C$44,"Paper condition",Scores!O$5:O$44,Scores!O7))^2-1,"")</f>
        <v>224</v>
      </c>
      <c r="BB7" s="1" t="str">
        <f aca="false">IF(AND(Scores!$B7=2,Scores!$C7="Tool condition",ISNUMBER(Scores!O7)),COUNTIFS(Scores!$B$5:$B$44,2,Scores!$C$5:$C$44,"Paper condition",Scores!O$5:O$44,"&lt;"&amp;Scores!O7)+0.5*COUNTIFS(Scores!$B$5:$B$44,2,Scores!$C$5:$C$44,"Paper condition",Scores!O$5:O$44,Scores!O7),"")</f>
        <v/>
      </c>
      <c r="BC7" s="1" t="str">
        <f aca="false">IF(AND(Scores!$B7=2,OR(Scores!$C7="Tool condition",Scores!$C7="Paper condition"),ISNUMBER(Scores!O7)),(COUNTIFS(Scores!$B$5:$B$44,2,Scores!$C$5:$C$44,"Tool condition",Scores!O$5:O$44,Scores!O7)+COUNTIFS(Scores!$B$5:$B$44,2,Scores!$C$5:$C$44,"Paper condition",Scores!O$5:O$44,Scores!O7))^2-1,"")</f>
        <v/>
      </c>
      <c r="BD7" s="1" t="n">
        <f aca="false">IF(ISNUMBER(Scores!O7),Scores!O7^2,"")</f>
        <v>4</v>
      </c>
      <c r="BE7" s="1" t="n">
        <f aca="false">IF(AND(Scores!$B7=1,Scores!$C7="Tool condition",ISNUMBER(Scores!P7)),COUNTIFS(Scores!$B$5:$B$44,1,Scores!$C$5:$C$44,"Paper condition",Scores!P$5:P$44,"&lt;"&amp;Scores!P7)+0.5*COUNTIFS(Scores!$B$5:$B$44,1,Scores!$C$5:$C$44,"Paper condition",Scores!P$5:P$44,Scores!P7),"")</f>
        <v>8.5</v>
      </c>
      <c r="BF7" s="1" t="n">
        <f aca="false">IF(AND(Scores!$B7=1,OR(Scores!$C7="Tool condition",Scores!$C7="Paper condition"),ISNUMBER(Scores!P7)),(COUNTIFS(Scores!$B$5:$B$44,1,Scores!$C$5:$C$44,"Tool condition",Scores!P$5:P$44,Scores!P7)+COUNTIFS(Scores!$B$5:$B$44,1,Scores!$C$5:$C$44,"Paper condition",Scores!P$5:P$44,Scores!P7))^2-1,"")</f>
        <v>168</v>
      </c>
      <c r="BG7" s="1" t="str">
        <f aca="false">IF(AND(Scores!$B7=2,Scores!$C7="Tool condition",ISNUMBER(Scores!P7)),COUNTIFS(Scores!$B$5:$B$44,2,Scores!$C$5:$C$44,"Paper condition",Scores!P$5:P$44,"&lt;"&amp;Scores!P7)+0.5*COUNTIFS(Scores!$B$5:$B$44,2,Scores!$C$5:$C$44,"Paper condition",Scores!P$5:P$44,Scores!P7),"")</f>
        <v/>
      </c>
      <c r="BH7" s="1" t="str">
        <f aca="false">IF(AND(Scores!$B7=2,OR(Scores!$C7="Tool condition",Scores!$C7="Paper condition"),ISNUMBER(Scores!P7)),(COUNTIFS(Scores!$B$5:$B$44,2,Scores!$C$5:$C$44,"Tool condition",Scores!P$5:P$44,Scores!P7)+COUNTIFS(Scores!$B$5:$B$44,2,Scores!$C$5:$C$44,"Paper condition",Scores!P$5:P$44,Scores!P7))^2-1,"")</f>
        <v/>
      </c>
      <c r="BI7" s="1" t="n">
        <f aca="false">IF(ISNUMBER(Scores!P7),Scores!P7^2,"")</f>
        <v>4</v>
      </c>
      <c r="BJ7" s="1" t="n">
        <f aca="false">IF(AND(R_Scores!$B7=1,R_Scores!$C7="Tool condition",ISNUMBER(R_Scores!E7)),COUNTIFS(R_Scores!$B$5:$B$44,1,R_Scores!$C$5:$C$44,"Paper condition",R_Scores!E$5:E$44,"&lt;"&amp;R_Scores!E7)+0.5*COUNTIFS(R_Scores!$B$5:$B$44,1,R_Scores!$C$5:$C$44,"Paper condition",R_Scores!E$5:E$44,R_Scores!E7),"")</f>
        <v>7</v>
      </c>
      <c r="BK7" s="1" t="n">
        <f aca="false">IF(AND(R_Scores!$B7=1,OR(R_Scores!$C7="Tool condition",R_Scores!$C7="Paper condition"),ISNUMBER(R_Scores!E7)),(COUNTIFS(R_Scores!$B$5:$B$44,1,R_Scores!$C$5:$C$44,"Tool condition",R_Scores!E$5:E$44,R_Scores!E7)+COUNTIFS(R_Scores!$B$5:$B$44,1,R_Scores!$C$5:$C$44,"Paper condition",R_Scores!E$5:E$44,R_Scores!E7))^2-1,"")</f>
        <v>224</v>
      </c>
      <c r="BL7" s="1" t="str">
        <f aca="false">IF(AND(R_Scores!$B7=2,R_Scores!$C7="Tool condition",ISNUMBER(R_Scores!E7)),COUNTIFS(R_Scores!$B$5:$B$44,2,R_Scores!$C$5:$C$44,"Paper condition",R_Scores!E$5:E$44,"&lt;"&amp;R_Scores!E7)+0.5*COUNTIFS(R_Scores!$B$5:$B$44,2,R_Scores!$C$5:$C$44,"Paper condition",R_Scores!E$5:E$44,R_Scores!E7),"")</f>
        <v/>
      </c>
      <c r="BM7" s="1" t="str">
        <f aca="false">IF(AND(R_Scores!$B7=2,OR(R_Scores!$C7="Tool condition",R_Scores!$C7="Paper condition"),ISNUMBER(R_Scores!E7)),(COUNTIFS(R_Scores!$B$5:$B$44,2,R_Scores!$C$5:$C$44,"Tool condition",R_Scores!E$5:E$44,R_Scores!E7)+COUNTIFS(R_Scores!$B$5:$B$44,2,R_Scores!$C$5:$C$44,"Paper condition",R_Scores!E$5:E$44,R_Scores!E7))^2-1,"")</f>
        <v/>
      </c>
      <c r="BN7" s="1" t="n">
        <f aca="false">IF(ISNUMBER(R_Scores!E7),R_Scores!E7^2,"")</f>
        <v>1</v>
      </c>
      <c r="BO7" s="1" t="n">
        <f aca="false">IF(AND(R_Scores!$B7=1,R_Scores!$C7="Tool condition",ISNUMBER(R_Scores!F7)),COUNTIFS(R_Scores!$B$5:$B$44,1,R_Scores!$C$5:$C$44,"Paper condition",R_Scores!F$5:F$44,"&lt;"&amp;R_Scores!F7)+0.5*COUNTIFS(R_Scores!$B$5:$B$44,1,R_Scores!$C$5:$C$44,"Paper condition",R_Scores!F$5:F$44,R_Scores!F7),"")</f>
        <v>7</v>
      </c>
      <c r="BP7" s="1" t="n">
        <f aca="false">IF(AND(R_Scores!$B7=1,OR(R_Scores!$C7="Tool condition",R_Scores!$C7="Paper condition"),ISNUMBER(R_Scores!F7)),(COUNTIFS(R_Scores!$B$5:$B$44,1,R_Scores!$C$5:$C$44,"Tool condition",R_Scores!F$5:F$44,R_Scores!F7)+COUNTIFS(R_Scores!$B$5:$B$44,1,R_Scores!$C$5:$C$44,"Paper condition",R_Scores!F$5:F$44,R_Scores!F7))^2-1,"")</f>
        <v>195</v>
      </c>
      <c r="BQ7" s="1" t="str">
        <f aca="false">IF(AND(R_Scores!$B7=2,R_Scores!$C7="Tool condition",ISNUMBER(R_Scores!F7)),COUNTIFS(R_Scores!$B$5:$B$44,2,R_Scores!$C$5:$C$44,"Paper condition",R_Scores!F$5:F$44,"&lt;"&amp;R_Scores!F7)+0.5*COUNTIFS(R_Scores!$B$5:$B$44,2,R_Scores!$C$5:$C$44,"Paper condition",R_Scores!F$5:F$44,R_Scores!F7),"")</f>
        <v/>
      </c>
      <c r="BR7" s="1" t="str">
        <f aca="false">IF(AND(R_Scores!$B7=2,OR(R_Scores!$C7="Tool condition",R_Scores!$C7="Paper condition"),ISNUMBER(R_Scores!F7)),(COUNTIFS(R_Scores!$B$5:$B$44,2,R_Scores!$C$5:$C$44,"Tool condition",R_Scores!F$5:F$44,R_Scores!F7)+COUNTIFS(R_Scores!$B$5:$B$44,2,R_Scores!$C$5:$C$44,"Paper condition",R_Scores!F$5:F$44,R_Scores!F7))^2-1,"")</f>
        <v/>
      </c>
      <c r="BS7" s="1" t="n">
        <f aca="false">IF(ISNUMBER(R_Scores!F7),R_Scores!F7^2,"")</f>
        <v>1</v>
      </c>
      <c r="BT7" s="1" t="str">
        <f aca="false">IF(AND(R_Scores!$B7=1,R_Scores!$C7="Tool condition",ISNUMBER(R_Scores!G7)),COUNTIFS(R_Scores!$B$5:$B$44,1,R_Scores!$C$5:$C$44,"Paper condition",R_Scores!G$5:G$44,"&lt;"&amp;R_Scores!G7)+0.5*COUNTIFS(R_Scores!$B$5:$B$44,1,R_Scores!$C$5:$C$44,"Paper condition",R_Scores!G$5:G$44,R_Scores!G7),"")</f>
        <v/>
      </c>
      <c r="BU7" s="1" t="str">
        <f aca="false">IF(AND(R_Scores!$B7=1,OR(R_Scores!$C7="Tool condition",R_Scores!$C7="Paper condition"),ISNUMBER(R_Scores!G7)),(COUNTIFS(R_Scores!$B$5:$B$44,1,R_Scores!$C$5:$C$44,"Tool condition",R_Scores!G$5:G$44,R_Scores!G7)+COUNTIFS(R_Scores!$B$5:$B$44,1,R_Scores!$C$5:$C$44,"Paper condition",R_Scores!G$5:G$44,R_Scores!G7))^2-1,"")</f>
        <v/>
      </c>
      <c r="BV7" s="1" t="str">
        <f aca="false">IF(AND(R_Scores!$B7=2,R_Scores!$C7="Tool condition",ISNUMBER(R_Scores!G7)),COUNTIFS(R_Scores!$B$5:$B$44,2,R_Scores!$C$5:$C$44,"Paper condition",R_Scores!G$5:G$44,"&lt;"&amp;R_Scores!G7)+0.5*COUNTIFS(R_Scores!$B$5:$B$44,2,R_Scores!$C$5:$C$44,"Paper condition",R_Scores!G$5:G$44,R_Scores!G7),"")</f>
        <v/>
      </c>
      <c r="BW7" s="1" t="str">
        <f aca="false">IF(AND(R_Scores!$B7=2,OR(R_Scores!$C7="Tool condition",R_Scores!$C7="Paper condition"),ISNUMBER(R_Scores!G7)),(COUNTIFS(R_Scores!$B$5:$B$44,2,R_Scores!$C$5:$C$44,"Tool condition",R_Scores!G$5:G$44,R_Scores!G7)+COUNTIFS(R_Scores!$B$5:$B$44,2,R_Scores!$C$5:$C$44,"Paper condition",R_Scores!G$5:G$44,R_Scores!G7))^2-1,"")</f>
        <v/>
      </c>
      <c r="BX7" s="1" t="str">
        <f aca="false">IF(ISNUMBER(R_Scores!G7),R_Scores!G7^2,"")</f>
        <v/>
      </c>
      <c r="BY7" s="1" t="str">
        <f aca="false">IF(AND(R_Scores!$B7=1,R_Scores!$C7="Tool condition",ISNUMBER(R_Scores!H7)),COUNTIFS(R_Scores!$B$5:$B$44,1,R_Scores!$C$5:$C$44,"Paper condition",R_Scores!H$5:H$44,"&lt;"&amp;R_Scores!H7)+0.5*COUNTIFS(R_Scores!$B$5:$B$44,1,R_Scores!$C$5:$C$44,"Paper condition",R_Scores!H$5:H$44,R_Scores!H7),"")</f>
        <v/>
      </c>
      <c r="BZ7" s="1" t="str">
        <f aca="false">IF(AND(R_Scores!$B7=1,OR(R_Scores!$C7="Tool condition",R_Scores!$C7="Paper condition"),ISNUMBER(R_Scores!H7)),(COUNTIFS(R_Scores!$B$5:$B$44,1,R_Scores!$C$5:$C$44,"Tool condition",R_Scores!H$5:H$44,R_Scores!H7)+COUNTIFS(R_Scores!$B$5:$B$44,1,R_Scores!$C$5:$C$44,"Paper condition",R_Scores!H$5:H$44,R_Scores!H7))^2-1,"")</f>
        <v/>
      </c>
      <c r="CA7" s="1" t="str">
        <f aca="false">IF(AND(R_Scores!$B7=2,R_Scores!$C7="Tool condition",ISNUMBER(R_Scores!H7)),COUNTIFS(R_Scores!$B$5:$B$44,2,R_Scores!$C$5:$C$44,"Paper condition",R_Scores!H$5:H$44,"&lt;"&amp;R_Scores!H7)+0.5*COUNTIFS(R_Scores!$B$5:$B$44,2,R_Scores!$C$5:$C$44,"Paper condition",R_Scores!H$5:H$44,R_Scores!H7),"")</f>
        <v/>
      </c>
      <c r="CB7" s="1" t="str">
        <f aca="false">IF(AND(R_Scores!$B7=2,OR(R_Scores!$C7="Tool condition",R_Scores!$C7="Paper condition"),ISNUMBER(R_Scores!H7)),(COUNTIFS(R_Scores!$B$5:$B$44,2,R_Scores!$C$5:$C$44,"Tool condition",R_Scores!H$5:H$44,R_Scores!H7)+COUNTIFS(R_Scores!$B$5:$B$44,2,R_Scores!$C$5:$C$44,"Paper condition",R_Scores!H$5:H$44,R_Scores!H7))^2-1,"")</f>
        <v/>
      </c>
      <c r="CC7" s="1" t="str">
        <f aca="false">IF(ISNUMBER(R_Scores!H7),R_Scores!H7^2,"")</f>
        <v/>
      </c>
      <c r="CD7" s="1" t="n">
        <f aca="false">IF(AND(R_Scores!$B7=1,R_Scores!$C7="Tool condition",ISNUMBER(R_Scores!I7)),COUNTIFS(R_Scores!$B$5:$B$44,1,R_Scores!$C$5:$C$44,"Paper condition",R_Scores!I$5:I$44,"&lt;"&amp;R_Scores!I7)+0.5*COUNTIFS(R_Scores!$B$5:$B$44,1,R_Scores!$C$5:$C$44,"Paper condition",R_Scores!I$5:I$44,R_Scores!I7),"")</f>
        <v>2.5</v>
      </c>
      <c r="CE7" s="1" t="n">
        <f aca="false">IF(AND(R_Scores!$B7=1,OR(R_Scores!$C7="Tool condition",R_Scores!$C7="Paper condition"),ISNUMBER(R_Scores!I7)),(COUNTIFS(R_Scores!$B$5:$B$44,1,R_Scores!$C$5:$C$44,"Tool condition",R_Scores!I$5:I$44,R_Scores!I7)+COUNTIFS(R_Scores!$B$5:$B$44,1,R_Scores!$C$5:$C$44,"Paper condition",R_Scores!I$5:I$44,R_Scores!I7))^2-1,"")</f>
        <v>48</v>
      </c>
      <c r="CF7" s="1" t="str">
        <f aca="false">IF(AND(R_Scores!$B7=2,R_Scores!$C7="Tool condition",ISNUMBER(R_Scores!I7)),COUNTIFS(R_Scores!$B$5:$B$44,2,R_Scores!$C$5:$C$44,"Paper condition",R_Scores!I$5:I$44,"&lt;"&amp;R_Scores!I7)+0.5*COUNTIFS(R_Scores!$B$5:$B$44,2,R_Scores!$C$5:$C$44,"Paper condition",R_Scores!I$5:I$44,R_Scores!I7),"")</f>
        <v/>
      </c>
      <c r="CG7" s="1" t="str">
        <f aca="false">IF(AND(R_Scores!$B7=2,OR(R_Scores!$C7="Tool condition",R_Scores!$C7="Paper condition"),ISNUMBER(R_Scores!I7)),(COUNTIFS(R_Scores!$B$5:$B$44,2,R_Scores!$C$5:$C$44,"Tool condition",R_Scores!I$5:I$44,R_Scores!I7)+COUNTIFS(R_Scores!$B$5:$B$44,2,R_Scores!$C$5:$C$44,"Paper condition",R_Scores!I$5:I$44,R_Scores!I7))^2-1,"")</f>
        <v/>
      </c>
      <c r="CH7" s="1" t="n">
        <f aca="false">IF(ISNUMBER(R_Scores!I7),R_Scores!I7^2,"")</f>
        <v>0</v>
      </c>
      <c r="CI7" s="1" t="n">
        <f aca="false">IF(AND(R_Scores!$B7=1,R_Scores!$C7="Tool condition",ISNUMBER(R_Scores!J7)),COUNTIFS(R_Scores!$B$5:$B$44,1,R_Scores!$C$5:$C$44,"Paper condition",R_Scores!J$5:J$44,"&lt;"&amp;R_Scores!J7)+0.5*COUNTIFS(R_Scores!$B$5:$B$44,1,R_Scores!$C$5:$C$44,"Paper condition",R_Scores!J$5:J$44,R_Scores!J7),"")</f>
        <v>7</v>
      </c>
      <c r="CJ7" s="1" t="n">
        <f aca="false">IF(AND(R_Scores!$B7=1,OR(R_Scores!$C7="Tool condition",R_Scores!$C7="Paper condition"),ISNUMBER(R_Scores!J7)),(COUNTIFS(R_Scores!$B$5:$B$44,1,R_Scores!$C$5:$C$44,"Tool condition",R_Scores!J$5:J$44,R_Scores!J7)+COUNTIFS(R_Scores!$B$5:$B$44,1,R_Scores!$C$5:$C$44,"Paper condition",R_Scores!J$5:J$44,R_Scores!J7))^2-1,"")</f>
        <v>224</v>
      </c>
      <c r="CK7" s="1" t="str">
        <f aca="false">IF(AND(R_Scores!$B7=2,R_Scores!$C7="Tool condition",ISNUMBER(R_Scores!J7)),COUNTIFS(R_Scores!$B$5:$B$44,2,R_Scores!$C$5:$C$44,"Paper condition",R_Scores!J$5:J$44,"&lt;"&amp;R_Scores!J7)+0.5*COUNTIFS(R_Scores!$B$5:$B$44,2,R_Scores!$C$5:$C$44,"Paper condition",R_Scores!J$5:J$44,R_Scores!J7),"")</f>
        <v/>
      </c>
      <c r="CL7" s="1" t="str">
        <f aca="false">IF(AND(R_Scores!$B7=2,OR(R_Scores!$C7="Tool condition",R_Scores!$C7="Paper condition"),ISNUMBER(R_Scores!J7)),(COUNTIFS(R_Scores!$B$5:$B$44,2,R_Scores!$C$5:$C$44,"Tool condition",R_Scores!J$5:J$44,R_Scores!J7)+COUNTIFS(R_Scores!$B$5:$B$44,2,R_Scores!$C$5:$C$44,"Paper condition",R_Scores!J$5:J$44,R_Scores!J7))^2-1,"")</f>
        <v/>
      </c>
      <c r="CM7" s="1" t="n">
        <f aca="false">IF(ISNUMBER(R_Scores!J7),R_Scores!J7^2,"")</f>
        <v>1</v>
      </c>
      <c r="CN7" s="1" t="str">
        <f aca="false">IF(AND(R_Scores!$B7=1,R_Scores!$C7="Tool condition",ISNUMBER(R_Scores!K7)),COUNTIFS(R_Scores!$B$5:$B$44,1,R_Scores!$C$5:$C$44,"Paper condition",R_Scores!K$5:K$44,"&lt;"&amp;R_Scores!K7)+0.5*COUNTIFS(R_Scores!$B$5:$B$44,1,R_Scores!$C$5:$C$44,"Paper condition",R_Scores!K$5:K$44,R_Scores!K7),"")</f>
        <v/>
      </c>
      <c r="CO7" s="1" t="str">
        <f aca="false">IF(AND(R_Scores!$B7=1,OR(R_Scores!$C7="Tool condition",R_Scores!$C7="Paper condition"),ISNUMBER(R_Scores!K7)),(COUNTIFS(R_Scores!$B$5:$B$44,1,R_Scores!$C$5:$C$44,"Tool condition",R_Scores!K$5:K$44,R_Scores!K7)+COUNTIFS(R_Scores!$B$5:$B$44,1,R_Scores!$C$5:$C$44,"Paper condition",R_Scores!K$5:K$44,R_Scores!K7))^2-1,"")</f>
        <v/>
      </c>
      <c r="CP7" s="1" t="str">
        <f aca="false">IF(AND(R_Scores!$B7=2,R_Scores!$C7="Tool condition",ISNUMBER(R_Scores!K7)),COUNTIFS(R_Scores!$B$5:$B$44,2,R_Scores!$C$5:$C$44,"Paper condition",R_Scores!K$5:K$44,"&lt;"&amp;R_Scores!K7)+0.5*COUNTIFS(R_Scores!$B$5:$B$44,2,R_Scores!$C$5:$C$44,"Paper condition",R_Scores!K$5:K$44,R_Scores!K7),"")</f>
        <v/>
      </c>
      <c r="CQ7" s="1" t="str">
        <f aca="false">IF(AND(R_Scores!$B7=2,OR(R_Scores!$C7="Tool condition",R_Scores!$C7="Paper condition"),ISNUMBER(R_Scores!K7)),(COUNTIFS(R_Scores!$B$5:$B$44,2,R_Scores!$C$5:$C$44,"Tool condition",R_Scores!K$5:K$44,R_Scores!K7)+COUNTIFS(R_Scores!$B$5:$B$44,2,R_Scores!$C$5:$C$44,"Paper condition",R_Scores!K$5:K$44,R_Scores!K7))^2-1,"")</f>
        <v/>
      </c>
      <c r="CR7" s="1" t="str">
        <f aca="false">IF(ISNUMBER(R_Scores!K7),R_Scores!K7^2,"")</f>
        <v/>
      </c>
      <c r="CS7" s="1" t="str">
        <f aca="false">IF(AND(R_Scores!$B7=1,R_Scores!$C7="Tool condition",ISNUMBER(R_Scores!L7)),COUNTIFS(R_Scores!$B$5:$B$44,1,R_Scores!$C$5:$C$44,"Paper condition",R_Scores!L$5:L$44,"&lt;"&amp;R_Scores!L7)+0.5*COUNTIFS(R_Scores!$B$5:$B$44,1,R_Scores!$C$5:$C$44,"Paper condition",R_Scores!L$5:L$44,R_Scores!L7),"")</f>
        <v/>
      </c>
      <c r="CT7" s="1" t="str">
        <f aca="false">IF(AND(R_Scores!$B7=1,OR(R_Scores!$C7="Tool condition",R_Scores!$C7="Paper condition"),ISNUMBER(R_Scores!L7)),(COUNTIFS(R_Scores!$B$5:$B$44,1,R_Scores!$C$5:$C$44,"Tool condition",R_Scores!L$5:L$44,R_Scores!L7)+COUNTIFS(R_Scores!$B$5:$B$44,1,R_Scores!$C$5:$C$44,"Paper condition",R_Scores!L$5:L$44,R_Scores!L7))^2-1,"")</f>
        <v/>
      </c>
      <c r="CU7" s="1" t="str">
        <f aca="false">IF(AND(R_Scores!$B7=2,R_Scores!$C7="Tool condition",ISNUMBER(R_Scores!L7)),COUNTIFS(R_Scores!$B$5:$B$44,2,R_Scores!$C$5:$C$44,"Paper condition",R_Scores!L$5:L$44,"&lt;"&amp;R_Scores!L7)+0.5*COUNTIFS(R_Scores!$B$5:$B$44,2,R_Scores!$C$5:$C$44,"Paper condition",R_Scores!L$5:L$44,R_Scores!L7),"")</f>
        <v/>
      </c>
      <c r="CV7" s="1" t="str">
        <f aca="false">IF(AND(R_Scores!$B7=2,OR(R_Scores!$C7="Tool condition",R_Scores!$C7="Paper condition"),ISNUMBER(R_Scores!L7)),(COUNTIFS(R_Scores!$B$5:$B$44,2,R_Scores!$C$5:$C$44,"Tool condition",R_Scores!L$5:L$44,R_Scores!L7)+COUNTIFS(R_Scores!$B$5:$B$44,2,R_Scores!$C$5:$C$44,"Paper condition",R_Scores!L$5:L$44,R_Scores!L7))^2-1,"")</f>
        <v/>
      </c>
      <c r="CW7" s="1" t="str">
        <f aca="false">IF(ISNUMBER(R_Scores!L7),R_Scores!L7^2,"")</f>
        <v/>
      </c>
      <c r="CX7" s="1" t="str">
        <f aca="false">IF(AND(R_Scores!$B7=1,R_Scores!$C7="Tool condition",ISNUMBER(R_Scores!M7)),COUNTIFS(R_Scores!$B$5:$B$44,1,R_Scores!$C$5:$C$44,"Paper condition",R_Scores!M$5:M$44,"&lt;"&amp;R_Scores!M7)+0.5*COUNTIFS(R_Scores!$B$5:$B$44,1,R_Scores!$C$5:$C$44,"Paper condition",R_Scores!M$5:M$44,R_Scores!M7),"")</f>
        <v/>
      </c>
      <c r="CY7" s="1" t="str">
        <f aca="false">IF(AND(R_Scores!$B7=1,OR(R_Scores!$C7="Tool condition",R_Scores!$C7="Paper condition"),ISNUMBER(R_Scores!M7)),(COUNTIFS(R_Scores!$B$5:$B$44,1,R_Scores!$C$5:$C$44,"Tool condition",R_Scores!M$5:M$44,R_Scores!M7)+COUNTIFS(R_Scores!$B$5:$B$44,1,R_Scores!$C$5:$C$44,"Paper condition",R_Scores!M$5:M$44,R_Scores!M7))^2-1,"")</f>
        <v/>
      </c>
      <c r="CZ7" s="1" t="str">
        <f aca="false">IF(AND(R_Scores!$B7=2,R_Scores!$C7="Tool condition",ISNUMBER(R_Scores!M7)),COUNTIFS(R_Scores!$B$5:$B$44,2,R_Scores!$C$5:$C$44,"Paper condition",R_Scores!M$5:M$44,"&lt;"&amp;R_Scores!M7)+0.5*COUNTIFS(R_Scores!$B$5:$B$44,2,R_Scores!$C$5:$C$44,"Paper condition",R_Scores!M$5:M$44,R_Scores!M7),"")</f>
        <v/>
      </c>
      <c r="DA7" s="1" t="str">
        <f aca="false">IF(AND(R_Scores!$B7=2,OR(R_Scores!$C7="Tool condition",R_Scores!$C7="Paper condition"),ISNUMBER(R_Scores!M7)),(COUNTIFS(R_Scores!$B$5:$B$44,2,R_Scores!$C$5:$C$44,"Tool condition",R_Scores!M$5:M$44,R_Scores!M7)+COUNTIFS(R_Scores!$B$5:$B$44,2,R_Scores!$C$5:$C$44,"Paper condition",R_Scores!M$5:M$44,R_Scores!M7))^2-1,"")</f>
        <v/>
      </c>
      <c r="DB7" s="1" t="str">
        <f aca="false">IF(ISNUMBER(R_Scores!M7),R_Scores!M7^2,"")</f>
        <v/>
      </c>
      <c r="DC7" s="1" t="n">
        <f aca="false">IF(AND(R_Scores!$B7=1,R_Scores!$C7="Tool condition",ISNUMBER(R_Scores!N7)),COUNTIFS(R_Scores!$B$5:$B$44,1,R_Scores!$C$5:$C$44,"Paper condition",R_Scores!N$5:N$44,"&lt;"&amp;R_Scores!N7)+0.5*COUNTIFS(R_Scores!$B$5:$B$44,1,R_Scores!$C$5:$C$44,"Paper condition",R_Scores!N$5:N$44,R_Scores!N7),"")</f>
        <v>8</v>
      </c>
      <c r="DD7" s="1" t="n">
        <f aca="false">IF(AND(R_Scores!$B7=1,OR(R_Scores!$C7="Tool condition",R_Scores!$C7="Paper condition"),ISNUMBER(R_Scores!N7)),(COUNTIFS(R_Scores!$B$5:$B$44,1,R_Scores!$C$5:$C$44,"Tool condition",R_Scores!N$5:N$44,R_Scores!N7)+COUNTIFS(R_Scores!$B$5:$B$44,1,R_Scores!$C$5:$C$44,"Paper condition",R_Scores!N$5:N$44,R_Scores!N7))^2-1,"")</f>
        <v>143</v>
      </c>
      <c r="DE7" s="1" t="str">
        <f aca="false">IF(AND(R_Scores!$B7=2,R_Scores!$C7="Tool condition",ISNUMBER(R_Scores!N7)),COUNTIFS(R_Scores!$B$5:$B$44,2,R_Scores!$C$5:$C$44,"Paper condition",R_Scores!N$5:N$44,"&lt;"&amp;R_Scores!N7)+0.5*COUNTIFS(R_Scores!$B$5:$B$44,2,R_Scores!$C$5:$C$44,"Paper condition",R_Scores!N$5:N$44,R_Scores!N7),"")</f>
        <v/>
      </c>
      <c r="DF7" s="1" t="str">
        <f aca="false">IF(AND(R_Scores!$B7=2,OR(R_Scores!$C7="Tool condition",R_Scores!$C7="Paper condition"),ISNUMBER(R_Scores!N7)),(COUNTIFS(R_Scores!$B$5:$B$44,2,R_Scores!$C$5:$C$44,"Tool condition",R_Scores!N$5:N$44,R_Scores!N7)+COUNTIFS(R_Scores!$B$5:$B$44,2,R_Scores!$C$5:$C$44,"Paper condition",R_Scores!N$5:N$44,R_Scores!N7))^2-1,"")</f>
        <v/>
      </c>
      <c r="DG7" s="1" t="n">
        <f aca="false">IF(ISNUMBER(R_Scores!N7),R_Scores!N7^2,"")</f>
        <v>1</v>
      </c>
      <c r="DH7" s="1" t="n">
        <f aca="false">IF(AND(R_Scores!$B7=1,R_Scores!$C7="Tool condition",ISNUMBER(R_Scores!O7)),COUNTIFS(R_Scores!$B$5:$B$44,1,R_Scores!$C$5:$C$44,"Paper condition",R_Scores!O$5:O$44,"&lt;"&amp;R_Scores!O7)+0.5*COUNTIFS(R_Scores!$B$5:$B$44,1,R_Scores!$C$5:$C$44,"Paper condition",R_Scores!O$5:O$44,R_Scores!O7),"")</f>
        <v>7.5</v>
      </c>
      <c r="DI7" s="1" t="n">
        <f aca="false">IF(AND(R_Scores!$B7=1,OR(R_Scores!$C7="Tool condition",R_Scores!$C7="Paper condition"),ISNUMBER(R_Scores!O7)),(COUNTIFS(R_Scores!$B$5:$B$44,1,R_Scores!$C$5:$C$44,"Tool condition",R_Scores!O$5:O$44,R_Scores!O7)+COUNTIFS(R_Scores!$B$5:$B$44,1,R_Scores!$C$5:$C$44,"Paper condition",R_Scores!O$5:O$44,R_Scores!O7))^2-1,"")</f>
        <v>168</v>
      </c>
      <c r="DJ7" s="1" t="str">
        <f aca="false">IF(AND(R_Scores!$B7=2,R_Scores!$C7="Tool condition",ISNUMBER(R_Scores!O7)),COUNTIFS(R_Scores!$B$5:$B$44,2,R_Scores!$C$5:$C$44,"Paper condition",R_Scores!O$5:O$44,"&lt;"&amp;R_Scores!O7)+0.5*COUNTIFS(R_Scores!$B$5:$B$44,2,R_Scores!$C$5:$C$44,"Paper condition",R_Scores!O$5:O$44,R_Scores!O7),"")</f>
        <v/>
      </c>
      <c r="DK7" s="1" t="str">
        <f aca="false">IF(AND(R_Scores!$B7=2,OR(R_Scores!$C7="Tool condition",R_Scores!$C7="Paper condition"),ISNUMBER(R_Scores!O7)),(COUNTIFS(R_Scores!$B$5:$B$44,2,R_Scores!$C$5:$C$44,"Tool condition",R_Scores!O$5:O$44,R_Scores!O7)+COUNTIFS(R_Scores!$B$5:$B$44,2,R_Scores!$C$5:$C$44,"Paper condition",R_Scores!O$5:O$44,R_Scores!O7))^2-1,"")</f>
        <v/>
      </c>
      <c r="DL7" s="1" t="n">
        <f aca="false">IF(ISNUMBER(R_Scores!O7),R_Scores!O7^2,"")</f>
        <v>1</v>
      </c>
      <c r="DM7" s="1" t="n">
        <f aca="false">IF(AND(R_Scores!$B7=1,R_Scores!$C7="Tool condition",ISNUMBER(R_Scores!P7)),COUNTIFS(R_Scores!$B$5:$B$44,1,R_Scores!$C$5:$C$44,"Paper condition",R_Scores!P$5:P$44,"&lt;"&amp;R_Scores!P7)+0.5*COUNTIFS(R_Scores!$B$5:$B$44,1,R_Scores!$C$5:$C$44,"Paper condition",R_Scores!P$5:P$44,R_Scores!P7),"")</f>
        <v>8.5</v>
      </c>
      <c r="DN7" s="1" t="n">
        <f aca="false">IF(AND(R_Scores!$B7=1,OR(R_Scores!$C7="Tool condition",R_Scores!$C7="Paper condition"),ISNUMBER(R_Scores!P7)),(COUNTIFS(R_Scores!$B$5:$B$44,1,R_Scores!$C$5:$C$44,"Tool condition",R_Scores!P$5:P$44,R_Scores!P7)+COUNTIFS(R_Scores!$B$5:$B$44,1,R_Scores!$C$5:$C$44,"Paper condition",R_Scores!P$5:P$44,R_Scores!P7))^2-1,"")</f>
        <v>120</v>
      </c>
      <c r="DO7" s="1" t="str">
        <f aca="false">IF(AND(R_Scores!$B7=2,R_Scores!$C7="Tool condition",ISNUMBER(R_Scores!P7)),COUNTIFS(R_Scores!$B$5:$B$44,2,R_Scores!$C$5:$C$44,"Paper condition",R_Scores!P$5:P$44,"&lt;"&amp;R_Scores!P7)+0.5*COUNTIFS(R_Scores!$B$5:$B$44,2,R_Scores!$C$5:$C$44,"Paper condition",R_Scores!P$5:P$44,R_Scores!P7),"")</f>
        <v/>
      </c>
      <c r="DP7" s="1" t="str">
        <f aca="false">IF(AND(R_Scores!$B7=2,OR(R_Scores!$C7="Tool condition",R_Scores!$C7="Paper condition"),ISNUMBER(R_Scores!P7)),(COUNTIFS(R_Scores!$B$5:$B$44,2,R_Scores!$C$5:$C$44,"Tool condition",R_Scores!P$5:P$44,R_Scores!P7)+COUNTIFS(R_Scores!$B$5:$B$44,2,R_Scores!$C$5:$C$44,"Paper condition",R_Scores!P$5:P$44,R_Scores!P7))^2-1,"")</f>
        <v/>
      </c>
      <c r="DQ7" s="1" t="n">
        <f aca="false">IF(ISNUMBER(R_Scores!P7),R_Scores!P7^2,"")</f>
        <v>1</v>
      </c>
      <c r="DR7" s="1" t="n">
        <f aca="false">IF(AND(Scores!$B7=1,Scores!$C7="Tool condition",ISNUMBER(Scores!Q7)),COUNTIFS(Scores!$B$5:$B$44,1,Scores!$C$5:$C$44,"Paper condition",Scores!Q$5:Q$44,"&lt;"&amp;Scores!Q7)+0.5*COUNTIFS(Scores!$B$5:$B$44,1,Scores!$C$5:$C$44,"Paper condition",Scores!Q$5:Q$44,Scores!Q7),"")</f>
        <v>10</v>
      </c>
      <c r="DS7" s="1" t="n">
        <f aca="false">IF(AND(Scores!$B7=1,OR(Scores!$C7="Tool condition",Scores!$C7="Paper condition"),ISNUMBER(Scores!Q7)),(COUNTIFS(Scores!$B$5:$B$44,1,Scores!$C$5:$C$44,"Tool condition",Scores!Q$5:Q$44,Scores!Q7)+COUNTIFS(Scores!$B$5:$B$44,1,Scores!$C$5:$C$44,"Paper condition",Scores!Q$5:Q$44,Scores!Q7))^2-1,"")</f>
        <v>99</v>
      </c>
      <c r="DT7" s="1" t="str">
        <f aca="false">IF(AND(Scores!$B7=2,Scores!$C7="Tool condition",ISNUMBER(Scores!Q7)),COUNTIFS(Scores!$B$5:$B$44,2,Scores!$C$5:$C$44,"Paper condition",Scores!Q$5:Q$44,"&lt;"&amp;Scores!Q7)+0.5*COUNTIFS(Scores!$B$5:$B$44,2,Scores!$C$5:$C$44,"Paper condition",Scores!Q$5:Q$44,Scores!Q7),"")</f>
        <v/>
      </c>
      <c r="DU7" s="1" t="str">
        <f aca="false">IF(AND(Scores!$B7=2,OR(Scores!$C7="Tool condition",Scores!$C7="Paper condition"),ISNUMBER(Scores!Q7)),(COUNTIFS(Scores!$B$5:$B$44,2,Scores!$C$5:$C$44,"Tool condition",Scores!Q$5:Q$44,Scores!Q7)+COUNTIFS(Scores!$B$5:$B$44,2,Scores!$C$5:$C$44,"Paper condition",Scores!Q$5:Q$44,Scores!Q7))^2-1,"")</f>
        <v/>
      </c>
      <c r="DV7" s="1" t="n">
        <f aca="false">IF(ISNUMBER(Scores!Q7),Scores!Q7^2,"")</f>
        <v>576</v>
      </c>
      <c r="DW7" s="1" t="n">
        <f aca="false">IF(AND(Scores!$B7=1,Scores!$C7="Tool condition",ISNUMBER(Scores!R7)),COUNTIFS(Scores!$B$5:$B$44,1,Scores!$C$5:$C$44,"Paper condition",Scores!R$5:R$44,"&lt;"&amp;Scores!R7)+0.5*COUNTIFS(Scores!$B$5:$B$44,1,Scores!$C$5:$C$44,"Paper condition",Scores!R$5:R$44,Scores!R7),"")</f>
        <v>9.5</v>
      </c>
      <c r="DX7" s="1" t="n">
        <f aca="false">IF(AND(Scores!$B7=1,OR(Scores!$C7="Tool condition",Scores!$C7="Paper condition"),ISNUMBER(Scores!R7)),(COUNTIFS(Scores!$B$5:$B$44,1,Scores!$C$5:$C$44,"Tool condition",Scores!R$5:R$44,Scores!R7)+COUNTIFS(Scores!$B$5:$B$44,1,Scores!$C$5:$C$44,"Paper condition",Scores!R$5:R$44,Scores!R7))^2-1,"")</f>
        <v>120</v>
      </c>
      <c r="DY7" s="1" t="str">
        <f aca="false">IF(AND(Scores!$B7=2,Scores!$C7="Tool condition",ISNUMBER(Scores!R7)),COUNTIFS(Scores!$B$5:$B$44,2,Scores!$C$5:$C$44,"Paper condition",Scores!R$5:R$44,"&lt;"&amp;Scores!R7)+0.5*COUNTIFS(Scores!$B$5:$B$44,2,Scores!$C$5:$C$44,"Paper condition",Scores!R$5:R$44,Scores!R7),"")</f>
        <v/>
      </c>
      <c r="DZ7" s="1" t="str">
        <f aca="false">IF(AND(Scores!$B7=2,OR(Scores!$C7="Tool condition",Scores!$C7="Paper condition"),ISNUMBER(Scores!R7)),(COUNTIFS(Scores!$B$5:$B$44,2,Scores!$C$5:$C$44,"Tool condition",Scores!R$5:R$44,Scores!R7)+COUNTIFS(Scores!$B$5:$B$44,2,Scores!$C$5:$C$44,"Paper condition",Scores!R$5:R$44,Scores!R7))^2-1,"")</f>
        <v/>
      </c>
      <c r="EA7" s="1" t="n">
        <f aca="false">IF(ISNUMBER(Scores!R7),Scores!R7^2,"")</f>
        <v>196</v>
      </c>
      <c r="EB7" s="1" t="n">
        <f aca="false">IF(AND(Scores!$B7=1,Scores!$C7="Tool condition",ISNUMBER(Scores!S7)),COUNTIFS(Scores!$B$5:$B$44,1,Scores!$C$5:$C$44,"Paper condition",Scores!S$5:S$44,"&lt;"&amp;Scores!S7)+0.5*COUNTIFS(Scores!$B$5:$B$44,1,Scores!$C$5:$C$44,"Paper condition",Scores!S$5:S$44,Scores!S7),"")</f>
        <v>9</v>
      </c>
      <c r="EC7" s="1" t="n">
        <f aca="false">IF(AND(Scores!$B7=1,OR(Scores!$C7="Tool condition",Scores!$C7="Paper condition"),ISNUMBER(Scores!S7)),(COUNTIFS(Scores!$B$5:$B$44,1,Scores!$C$5:$C$44,"Tool condition",Scores!S$5:S$44,Scores!S7)+COUNTIFS(Scores!$B$5:$B$44,1,Scores!$C$5:$C$44,"Paper condition",Scores!S$5:S$44,Scores!S7))^2-1,"")</f>
        <v>143</v>
      </c>
      <c r="ED7" s="1" t="str">
        <f aca="false">IF(AND(Scores!$B7=2,Scores!$C7="Tool condition",ISNUMBER(Scores!S7)),COUNTIFS(Scores!$B$5:$B$44,2,Scores!$C$5:$C$44,"Paper condition",Scores!S$5:S$44,"&lt;"&amp;Scores!S7)+0.5*COUNTIFS(Scores!$B$5:$B$44,2,Scores!$C$5:$C$44,"Paper condition",Scores!S$5:S$44,Scores!S7),"")</f>
        <v/>
      </c>
      <c r="EE7" s="1" t="str">
        <f aca="false">IF(AND(Scores!$B7=2,OR(Scores!$C7="Tool condition",Scores!$C7="Paper condition"),ISNUMBER(Scores!S7)),(COUNTIFS(Scores!$B$5:$B$44,2,Scores!$C$5:$C$44,"Tool condition",Scores!S$5:S$44,Scores!S7)+COUNTIFS(Scores!$B$5:$B$44,2,Scores!$C$5:$C$44,"Paper condition",Scores!S$5:S$44,Scores!S7))^2-1,"")</f>
        <v/>
      </c>
      <c r="EF7" s="1" t="n">
        <f aca="false">IF(ISNUMBER(Scores!S7),Scores!S7^2,"")</f>
        <v>100</v>
      </c>
      <c r="EG7" s="1" t="n">
        <f aca="false">IF(AND(Scores!$B7=1,Scores!$C7="Tool condition",ISNUMBER(Scores!T7)),COUNTIFS(Scores!$B$5:$B$44,1,Scores!$C$5:$C$44,"Paper condition",Scores!T$5:T$44,"&lt;"&amp;Scores!T7)+0.5*COUNTIFS(Scores!$B$5:$B$44,1,Scores!$C$5:$C$44,"Paper condition",Scores!T$5:T$44,Scores!T7),"")</f>
        <v>8.5</v>
      </c>
      <c r="EH7" s="1" t="n">
        <f aca="false">IF(AND(Scores!$B7=1,OR(Scores!$C7="Tool condition",Scores!$C7="Paper condition"),ISNUMBER(Scores!T7)),(COUNTIFS(Scores!$B$5:$B$44,1,Scores!$C$5:$C$44,"Tool condition",Scores!T$5:T$44,Scores!T7)+COUNTIFS(Scores!$B$5:$B$44,1,Scores!$C$5:$C$44,"Paper condition",Scores!T$5:T$44,Scores!T7))^2-1,"")</f>
        <v>168</v>
      </c>
      <c r="EI7" s="1" t="str">
        <f aca="false">IF(AND(Scores!$B7=2,Scores!$C7="Tool condition",ISNUMBER(Scores!T7)),COUNTIFS(Scores!$B$5:$B$44,2,Scores!$C$5:$C$44,"Paper condition",Scores!T$5:T$44,"&lt;"&amp;Scores!T7)+0.5*COUNTIFS(Scores!$B$5:$B$44,2,Scores!$C$5:$C$44,"Paper condition",Scores!T$5:T$44,Scores!T7),"")</f>
        <v/>
      </c>
      <c r="EJ7" s="1" t="str">
        <f aca="false">IF(AND(Scores!$B7=2,OR(Scores!$C7="Tool condition",Scores!$C7="Paper condition"),ISNUMBER(Scores!T7)),(COUNTIFS(Scores!$B$5:$B$44,2,Scores!$C$5:$C$44,"Tool condition",Scores!T$5:T$44,Scores!T7)+COUNTIFS(Scores!$B$5:$B$44,2,Scores!$C$5:$C$44,"Paper condition",Scores!T$5:T$44,Scores!T7))^2-1,"")</f>
        <v/>
      </c>
      <c r="EK7" s="1" t="n">
        <f aca="false">IF(ISNUMBER(Scores!T7),Scores!T7^2,"")</f>
        <v>64</v>
      </c>
      <c r="EL7" s="1" t="n">
        <f aca="false">IF(AND(Scores!$B7=1,Scores!$C7="Tool condition",ISNUMBER(Scores!U7)),COUNTIFS(Scores!$B$5:$B$44,1,Scores!$C$5:$C$44,"Paper condition",Scores!U$5:U$44,"&lt;"&amp;Scores!U7)+0.5*COUNTIFS(Scores!$B$5:$B$44,1,Scores!$C$5:$C$44,"Paper condition",Scores!U$5:U$44,Scores!U7),"")</f>
        <v>8.5</v>
      </c>
      <c r="EM7" s="1" t="n">
        <f aca="false">IF(AND(Scores!$B7=1,OR(Scores!$C7="Tool condition",Scores!$C7="Paper condition"),ISNUMBER(Scores!U7)),(COUNTIFS(Scores!$B$5:$B$44,1,Scores!$C$5:$C$44,"Tool condition",Scores!U$5:U$44,Scores!U7)+COUNTIFS(Scores!$B$5:$B$44,1,Scores!$C$5:$C$44,"Paper condition",Scores!U$5:U$44,Scores!U7))^2-1,"")</f>
        <v>168</v>
      </c>
      <c r="EN7" s="1" t="str">
        <f aca="false">IF(AND(Scores!$B7=2,Scores!$C7="Tool condition",ISNUMBER(Scores!U7)),COUNTIFS(Scores!$B$5:$B$44,2,Scores!$C$5:$C$44,"Paper condition",Scores!U$5:U$44,"&lt;"&amp;Scores!U7)+0.5*COUNTIFS(Scores!$B$5:$B$44,2,Scores!$C$5:$C$44,"Paper condition",Scores!U$5:U$44,Scores!U7),"")</f>
        <v/>
      </c>
      <c r="EO7" s="1" t="str">
        <f aca="false">IF(AND(Scores!$B7=2,OR(Scores!$C7="Tool condition",Scores!$C7="Paper condition"),ISNUMBER(Scores!U7)),(COUNTIFS(Scores!$B$5:$B$44,2,Scores!$C$5:$C$44,"Tool condition",Scores!U$5:U$44,Scores!U7)+COUNTIFS(Scores!$B$5:$B$44,2,Scores!$C$5:$C$44,"Paper condition",Scores!U$5:U$44,Scores!U7))^2-1,"")</f>
        <v/>
      </c>
      <c r="EP7" s="1" t="n">
        <f aca="false">IF(ISNUMBER(Scores!U7),Scores!U7^2,"")</f>
        <v>36</v>
      </c>
      <c r="EQ7" s="1" t="n">
        <f aca="false">IF(AND(Scores!$B7=1,Scores!$C7="Tool condition",ISNUMBER(Scores!V7)),COUNTIFS(Scores!$B$5:$B$44,1,Scores!$C$5:$C$44,"Paper condition",Scores!V$5:V$44,"&lt;"&amp;Scores!V7)+0.5*COUNTIFS(Scores!$B$5:$B$44,1,Scores!$C$5:$C$44,"Paper condition",Scores!V$5:V$44,Scores!V7),"")</f>
        <v>10</v>
      </c>
      <c r="ER7" s="1" t="n">
        <f aca="false">IF(AND(Scores!$B7=1,OR(Scores!$C7="Tool condition",Scores!$C7="Paper condition"),ISNUMBER(Scores!V7)),(COUNTIFS(Scores!$B$5:$B$44,1,Scores!$C$5:$C$44,"Tool condition",Scores!V$5:V$44,Scores!V7)+COUNTIFS(Scores!$B$5:$B$44,1,Scores!$C$5:$C$44,"Paper condition",Scores!V$5:V$44,Scores!V7))^2-1,"")</f>
        <v>99</v>
      </c>
      <c r="ES7" s="1" t="str">
        <f aca="false">IF(AND(Scores!$B7=2,Scores!$C7="Tool condition",ISNUMBER(Scores!V7)),COUNTIFS(Scores!$B$5:$B$44,2,Scores!$C$5:$C$44,"Paper condition",Scores!V$5:V$44,"&lt;"&amp;Scores!V7)+0.5*COUNTIFS(Scores!$B$5:$B$44,2,Scores!$C$5:$C$44,"Paper condition",Scores!V$5:V$44,Scores!V7),"")</f>
        <v/>
      </c>
      <c r="ET7" s="1" t="str">
        <f aca="false">IF(AND(Scores!$B7=2,OR(Scores!$C7="Tool condition",Scores!$C7="Paper condition"),ISNUMBER(Scores!V7)),(COUNTIFS(Scores!$B$5:$B$44,2,Scores!$C$5:$C$44,"Tool condition",Scores!V$5:V$44,Scores!V7)+COUNTIFS(Scores!$B$5:$B$44,2,Scores!$C$5:$C$44,"Paper condition",Scores!V$5:V$44,Scores!V7))^2-1,"")</f>
        <v/>
      </c>
      <c r="EU7" s="1" t="n">
        <f aca="false">IF(ISNUMBER(Scores!V7),Scores!V7^2,"")</f>
        <v>100</v>
      </c>
      <c r="EV7" s="1" t="n">
        <f aca="false">IF(AND(R_Scores!$B7=1,R_Scores!$C7="Tool condition",ISNUMBER(R_Scores!Q7)),COUNTIFS(R_Scores!$B$5:$B$44,1,R_Scores!$C$5:$C$44,"Paper condition",R_Scores!Q$5:Q$44,"&lt;"&amp;R_Scores!Q7)+0.5*COUNTIFS(R_Scores!$B$5:$B$44,1,R_Scores!$C$5:$C$44,"Paper condition",R_Scores!Q$5:Q$44,R_Scores!Q7),"")</f>
        <v>7.5</v>
      </c>
      <c r="EW7" s="1" t="n">
        <f aca="false">IF(AND(R_Scores!$B7=1,OR(R_Scores!$C7="Tool condition",R_Scores!$C7="Paper condition"),ISNUMBER(R_Scores!Q7)),(COUNTIFS(R_Scores!$B$5:$B$44,1,R_Scores!$C$5:$C$44,"Tool condition",R_Scores!Q$5:Q$44,R_Scores!Q7)+COUNTIFS(R_Scores!$B$5:$B$44,1,R_Scores!$C$5:$C$44,"Paper condition",R_Scores!Q$5:Q$44,R_Scores!Q7))^2-1,"")</f>
        <v>80</v>
      </c>
      <c r="EX7" s="1" t="str">
        <f aca="false">IF(AND(R_Scores!$B7=2,R_Scores!$C7="Tool condition",ISNUMBER(R_Scores!Q7)),COUNTIFS(R_Scores!$B$5:$B$44,2,R_Scores!$C$5:$C$44,"Paper condition",R_Scores!Q$5:Q$44,"&lt;"&amp;R_Scores!Q7)+0.5*COUNTIFS(R_Scores!$B$5:$B$44,2,R_Scores!$C$5:$C$44,"Paper condition",R_Scores!Q$5:Q$44,R_Scores!Q7),"")</f>
        <v/>
      </c>
      <c r="EY7" s="1" t="str">
        <f aca="false">IF(AND(R_Scores!$B7=2,OR(R_Scores!$C7="Tool condition",R_Scores!$C7="Paper condition"),ISNUMBER(R_Scores!Q7)),(COUNTIFS(R_Scores!$B$5:$B$44,2,R_Scores!$C$5:$C$44,"Tool condition",R_Scores!Q$5:Q$44,R_Scores!Q7)+COUNTIFS(R_Scores!$B$5:$B$44,2,R_Scores!$C$5:$C$44,"Paper condition",R_Scores!Q$5:Q$44,R_Scores!Q7))^2-1,"")</f>
        <v/>
      </c>
      <c r="EZ7" s="1" t="n">
        <f aca="false">IF(ISNUMBER(R_Scores!Q7),R_Scores!Q7^2,"")</f>
        <v>36</v>
      </c>
      <c r="FA7" s="1" t="n">
        <f aca="false">IF(AND(R_Scores!$B7=1,R_Scores!$C7="Tool condition",ISNUMBER(R_Scores!R7)),COUNTIFS(R_Scores!$B$5:$B$44,1,R_Scores!$C$5:$C$44,"Paper condition",R_Scores!R$5:R$44,"&lt;"&amp;R_Scores!R7)+0.5*COUNTIFS(R_Scores!$B$5:$B$44,1,R_Scores!$C$5:$C$44,"Paper condition",R_Scores!R$5:R$44,R_Scores!R7),"")</f>
        <v>10</v>
      </c>
      <c r="FB7" s="1" t="n">
        <f aca="false">IF(AND(R_Scores!$B7=1,OR(R_Scores!$C7="Tool condition",R_Scores!$C7="Paper condition"),ISNUMBER(R_Scores!R7)),(COUNTIFS(R_Scores!$B$5:$B$44,1,R_Scores!$C$5:$C$44,"Tool condition",R_Scores!R$5:R$44,R_Scores!R7)+COUNTIFS(R_Scores!$B$5:$B$44,1,R_Scores!$C$5:$C$44,"Paper condition",R_Scores!R$5:R$44,R_Scores!R7))^2-1,"")</f>
        <v>35</v>
      </c>
      <c r="FC7" s="1" t="str">
        <f aca="false">IF(AND(R_Scores!$B7=2,R_Scores!$C7="Tool condition",ISNUMBER(R_Scores!R7)),COUNTIFS(R_Scores!$B$5:$B$44,2,R_Scores!$C$5:$C$44,"Paper condition",R_Scores!R$5:R$44,"&lt;"&amp;R_Scores!R7)+0.5*COUNTIFS(R_Scores!$B$5:$B$44,2,R_Scores!$C$5:$C$44,"Paper condition",R_Scores!R$5:R$44,R_Scores!R7),"")</f>
        <v/>
      </c>
      <c r="FD7" s="1" t="str">
        <f aca="false">IF(AND(R_Scores!$B7=2,OR(R_Scores!$C7="Tool condition",R_Scores!$C7="Paper condition"),ISNUMBER(R_Scores!R7)),(COUNTIFS(R_Scores!$B$5:$B$44,2,R_Scores!$C$5:$C$44,"Tool condition",R_Scores!R$5:R$44,R_Scores!R7)+COUNTIFS(R_Scores!$B$5:$B$44,2,R_Scores!$C$5:$C$44,"Paper condition",R_Scores!R$5:R$44,R_Scores!R7))^2-1,"")</f>
        <v/>
      </c>
      <c r="FE7" s="1" t="n">
        <f aca="false">IF(ISNUMBER(R_Scores!R7),R_Scores!R7^2,"")</f>
        <v>900</v>
      </c>
    </row>
    <row r="8" customFormat="false" ht="14.25" hidden="false" customHeight="true" outlineLevel="0" collapsed="false">
      <c r="B8" s="1" t="n">
        <f aca="false">IF(AND(Scores!$B8=1,Scores!$C8="Tool condition",ISNUMBER(Scores!E8)),COUNTIFS(Scores!$B$5:$B$44,1,Scores!$C$5:$C$44,"Paper condition",Scores!E$5:E$44,"&lt;"&amp;Scores!E8)+0.5*COUNTIFS(Scores!$B$5:$B$44,1,Scores!$C$5:$C$44,"Paper condition",Scores!E$5:E$44,Scores!E8),"")</f>
        <v>7</v>
      </c>
      <c r="C8" s="1" t="n">
        <f aca="false">IF(AND(Scores!$B8=1,OR(Scores!$C8="Tool condition",Scores!$C8="Paper condition"),ISNUMBER(Scores!E8)),(COUNTIFS(Scores!$B$5:$B$44,1,Scores!$C$5:$C$44,"Tool condition",Scores!E$5:E$44,Scores!E8)+COUNTIFS(Scores!$B$5:$B$44,1,Scores!$C$5:$C$44,"Paper condition",Scores!E$5:E$44,Scores!E8))^2-1,"")</f>
        <v>255</v>
      </c>
      <c r="D8" s="1" t="str">
        <f aca="false">IF(AND(Scores!$B8=2,Scores!$C8="Tool condition",ISNUMBER(Scores!E8)),COUNTIFS(Scores!$B$5:$B$44,2,Scores!$C$5:$C$44,"Paper condition",Scores!E$5:E$44,"&lt;"&amp;Scores!E8)+0.5*COUNTIFS(Scores!$B$5:$B$44,2,Scores!$C$5:$C$44,"Paper condition",Scores!E$5:E$44,Scores!E8),"")</f>
        <v/>
      </c>
      <c r="E8" s="1" t="str">
        <f aca="false">IF(AND(Scores!$B8=2,OR(Scores!$C8="Tool condition",Scores!$C8="Paper condition"),ISNUMBER(Scores!E8)),(COUNTIFS(Scores!$B$5:$B$44,2,Scores!$C$5:$C$44,"Tool condition",Scores!E$5:E$44,Scores!E8)+COUNTIFS(Scores!$B$5:$B$44,2,Scores!$C$5:$C$44,"Paper condition",Scores!E$5:E$44,Scores!E8))^2-1,"")</f>
        <v/>
      </c>
      <c r="F8" s="1" t="n">
        <f aca="false">IF(ISNUMBER(Scores!E8),Scores!E8^2,"")</f>
        <v>4</v>
      </c>
      <c r="G8" s="1" t="n">
        <f aca="false">IF(AND(Scores!$B8=1,Scores!$C8="Tool condition",ISNUMBER(Scores!F8)),COUNTIFS(Scores!$B$5:$B$44,1,Scores!$C$5:$C$44,"Paper condition",Scores!F$5:F$44,"&lt;"&amp;Scores!F8)+0.5*COUNTIFS(Scores!$B$5:$B$44,1,Scores!$C$5:$C$44,"Paper condition",Scores!F$5:F$44,Scores!F8),"")</f>
        <v>8</v>
      </c>
      <c r="H8" s="1" t="n">
        <f aca="false">IF(AND(Scores!$B8=1,OR(Scores!$C8="Tool condition",Scores!$C8="Paper condition"),ISNUMBER(Scores!F8)),(COUNTIFS(Scores!$B$5:$B$44,1,Scores!$C$5:$C$44,"Tool condition",Scores!F$5:F$44,Scores!F8)+COUNTIFS(Scores!$B$5:$B$44,1,Scores!$C$5:$C$44,"Paper condition",Scores!F$5:F$44,Scores!F8))^2-1,"")</f>
        <v>195</v>
      </c>
      <c r="I8" s="1" t="str">
        <f aca="false">IF(AND(Scores!$B8=2,Scores!$C8="Tool condition",ISNUMBER(Scores!F8)),COUNTIFS(Scores!$B$5:$B$44,2,Scores!$C$5:$C$44,"Paper condition",Scores!F$5:F$44,"&lt;"&amp;Scores!F8)+0.5*COUNTIFS(Scores!$B$5:$B$44,2,Scores!$C$5:$C$44,"Paper condition",Scores!F$5:F$44,Scores!F8),"")</f>
        <v/>
      </c>
      <c r="J8" s="1" t="str">
        <f aca="false">IF(AND(Scores!$B8=2,OR(Scores!$C8="Tool condition",Scores!$C8="Paper condition"),ISNUMBER(Scores!F8)),(COUNTIFS(Scores!$B$5:$B$44,2,Scores!$C$5:$C$44,"Tool condition",Scores!F$5:F$44,Scores!F8)+COUNTIFS(Scores!$B$5:$B$44,2,Scores!$C$5:$C$44,"Paper condition",Scores!F$5:F$44,Scores!F8))^2-1,"")</f>
        <v/>
      </c>
      <c r="K8" s="1" t="n">
        <f aca="false">IF(ISNUMBER(Scores!F8),Scores!F8^2,"")</f>
        <v>4</v>
      </c>
      <c r="L8" s="1" t="n">
        <f aca="false">IF(AND(Scores!$B8=1,Scores!$C8="Tool condition",ISNUMBER(Scores!G8)),COUNTIFS(Scores!$B$5:$B$44,1,Scores!$C$5:$C$44,"Paper condition",Scores!G$5:G$44,"&lt;"&amp;Scores!G8)+0.5*COUNTIFS(Scores!$B$5:$B$44,1,Scores!$C$5:$C$44,"Paper condition",Scores!G$5:G$44,Scores!G8),"")</f>
        <v>6.5</v>
      </c>
      <c r="M8" s="1" t="n">
        <f aca="false">IF(AND(Scores!$B8=1,OR(Scores!$C8="Tool condition",Scores!$C8="Paper condition"),ISNUMBER(Scores!G8)),(COUNTIFS(Scores!$B$5:$B$44,1,Scores!$C$5:$C$44,"Tool condition",Scores!G$5:G$44,Scores!G8)+COUNTIFS(Scores!$B$5:$B$44,1,Scores!$C$5:$C$44,"Paper condition",Scores!G$5:G$44,Scores!G8))^2-1,"")</f>
        <v>288</v>
      </c>
      <c r="N8" s="1" t="str">
        <f aca="false">IF(AND(Scores!$B8=2,Scores!$C8="Tool condition",ISNUMBER(Scores!G8)),COUNTIFS(Scores!$B$5:$B$44,2,Scores!$C$5:$C$44,"Paper condition",Scores!G$5:G$44,"&lt;"&amp;Scores!G8)+0.5*COUNTIFS(Scores!$B$5:$B$44,2,Scores!$C$5:$C$44,"Paper condition",Scores!G$5:G$44,Scores!G8),"")</f>
        <v/>
      </c>
      <c r="O8" s="1" t="str">
        <f aca="false">IF(AND(Scores!$B8=2,OR(Scores!$C8="Tool condition",Scores!$C8="Paper condition"),ISNUMBER(Scores!G8)),(COUNTIFS(Scores!$B$5:$B$44,2,Scores!$C$5:$C$44,"Tool condition",Scores!G$5:G$44,Scores!G8)+COUNTIFS(Scores!$B$5:$B$44,2,Scores!$C$5:$C$44,"Paper condition",Scores!G$5:G$44,Scores!G8))^2-1,"")</f>
        <v/>
      </c>
      <c r="P8" s="1" t="n">
        <f aca="false">IF(ISNUMBER(Scores!G8),Scores!G8^2,"")</f>
        <v>4</v>
      </c>
      <c r="Q8" s="1" t="n">
        <f aca="false">IF(AND(Scores!$B8=1,Scores!$C8="Tool condition",ISNUMBER(Scores!H8)),COUNTIFS(Scores!$B$5:$B$44,1,Scores!$C$5:$C$44,"Paper condition",Scores!H$5:H$44,"&lt;"&amp;Scores!H8)+0.5*COUNTIFS(Scores!$B$5:$B$44,1,Scores!$C$5:$C$44,"Paper condition",Scores!H$5:H$44,Scores!H8),"")</f>
        <v>7</v>
      </c>
      <c r="R8" s="1" t="n">
        <f aca="false">IF(AND(Scores!$B8=1,OR(Scores!$C8="Tool condition",Scores!$C8="Paper condition"),ISNUMBER(Scores!H8)),(COUNTIFS(Scores!$B$5:$B$44,1,Scores!$C$5:$C$44,"Tool condition",Scores!H$5:H$44,Scores!H8)+COUNTIFS(Scores!$B$5:$B$44,1,Scores!$C$5:$C$44,"Paper condition",Scores!H$5:H$44,Scores!H8))^2-1,"")</f>
        <v>255</v>
      </c>
      <c r="S8" s="1" t="str">
        <f aca="false">IF(AND(Scores!$B8=2,Scores!$C8="Tool condition",ISNUMBER(Scores!H8)),COUNTIFS(Scores!$B$5:$B$44,2,Scores!$C$5:$C$44,"Paper condition",Scores!H$5:H$44,"&lt;"&amp;Scores!H8)+0.5*COUNTIFS(Scores!$B$5:$B$44,2,Scores!$C$5:$C$44,"Paper condition",Scores!H$5:H$44,Scores!H8),"")</f>
        <v/>
      </c>
      <c r="T8" s="1" t="str">
        <f aca="false">IF(AND(Scores!$B8=2,OR(Scores!$C8="Tool condition",Scores!$C8="Paper condition"),ISNUMBER(Scores!H8)),(COUNTIFS(Scores!$B$5:$B$44,2,Scores!$C$5:$C$44,"Tool condition",Scores!H$5:H$44,Scores!H8)+COUNTIFS(Scores!$B$5:$B$44,2,Scores!$C$5:$C$44,"Paper condition",Scores!H$5:H$44,Scores!H8))^2-1,"")</f>
        <v/>
      </c>
      <c r="U8" s="1" t="n">
        <f aca="false">IF(ISNUMBER(Scores!H8),Scores!H8^2,"")</f>
        <v>4</v>
      </c>
      <c r="V8" s="1" t="n">
        <f aca="false">IF(AND(Scores!$B8=1,Scores!$C8="Tool condition",ISNUMBER(Scores!I8)),COUNTIFS(Scores!$B$5:$B$44,1,Scores!$C$5:$C$44,"Paper condition",Scores!I$5:I$44,"&lt;"&amp;Scores!I8)+0.5*COUNTIFS(Scores!$B$5:$B$44,1,Scores!$C$5:$C$44,"Paper condition",Scores!I$5:I$44,Scores!I8),"")</f>
        <v>8</v>
      </c>
      <c r="W8" s="1" t="n">
        <f aca="false">IF(AND(Scores!$B8=1,OR(Scores!$C8="Tool condition",Scores!$C8="Paper condition"),ISNUMBER(Scores!I8)),(COUNTIFS(Scores!$B$5:$B$44,1,Scores!$C$5:$C$44,"Tool condition",Scores!I$5:I$44,Scores!I8)+COUNTIFS(Scores!$B$5:$B$44,1,Scores!$C$5:$C$44,"Paper condition",Scores!I$5:I$44,Scores!I8))^2-1,"")</f>
        <v>195</v>
      </c>
      <c r="X8" s="1" t="str">
        <f aca="false">IF(AND(Scores!$B8=2,Scores!$C8="Tool condition",ISNUMBER(Scores!I8)),COUNTIFS(Scores!$B$5:$B$44,2,Scores!$C$5:$C$44,"Paper condition",Scores!I$5:I$44,"&lt;"&amp;Scores!I8)+0.5*COUNTIFS(Scores!$B$5:$B$44,2,Scores!$C$5:$C$44,"Paper condition",Scores!I$5:I$44,Scores!I8),"")</f>
        <v/>
      </c>
      <c r="Y8" s="1" t="str">
        <f aca="false">IF(AND(Scores!$B8=2,OR(Scores!$C8="Tool condition",Scores!$C8="Paper condition"),ISNUMBER(Scores!I8)),(COUNTIFS(Scores!$B$5:$B$44,2,Scores!$C$5:$C$44,"Tool condition",Scores!I$5:I$44,Scores!I8)+COUNTIFS(Scores!$B$5:$B$44,2,Scores!$C$5:$C$44,"Paper condition",Scores!I$5:I$44,Scores!I8))^2-1,"")</f>
        <v/>
      </c>
      <c r="Z8" s="1" t="n">
        <f aca="false">IF(ISNUMBER(Scores!I8),Scores!I8^2,"")</f>
        <v>4</v>
      </c>
      <c r="AA8" s="1" t="n">
        <f aca="false">IF(AND(Scores!$B8=1,Scores!$C8="Tool condition",ISNUMBER(Scores!J8)),COUNTIFS(Scores!$B$5:$B$44,1,Scores!$C$5:$C$44,"Paper condition",Scores!J$5:J$44,"&lt;"&amp;Scores!J8)+0.5*COUNTIFS(Scores!$B$5:$B$44,1,Scores!$C$5:$C$44,"Paper condition",Scores!J$5:J$44,Scores!J8),"")</f>
        <v>7.5</v>
      </c>
      <c r="AB8" s="1" t="n">
        <f aca="false">IF(AND(Scores!$B8=1,OR(Scores!$C8="Tool condition",Scores!$C8="Paper condition"),ISNUMBER(Scores!J8)),(COUNTIFS(Scores!$B$5:$B$44,1,Scores!$C$5:$C$44,"Tool condition",Scores!J$5:J$44,Scores!J8)+COUNTIFS(Scores!$B$5:$B$44,1,Scores!$C$5:$C$44,"Paper condition",Scores!J$5:J$44,Scores!J8))^2-1,"")</f>
        <v>224</v>
      </c>
      <c r="AC8" s="1" t="str">
        <f aca="false">IF(AND(Scores!$B8=2,Scores!$C8="Tool condition",ISNUMBER(Scores!J8)),COUNTIFS(Scores!$B$5:$B$44,2,Scores!$C$5:$C$44,"Paper condition",Scores!J$5:J$44,"&lt;"&amp;Scores!J8)+0.5*COUNTIFS(Scores!$B$5:$B$44,2,Scores!$C$5:$C$44,"Paper condition",Scores!J$5:J$44,Scores!J8),"")</f>
        <v/>
      </c>
      <c r="AD8" s="1" t="str">
        <f aca="false">IF(AND(Scores!$B8=2,OR(Scores!$C8="Tool condition",Scores!$C8="Paper condition"),ISNUMBER(Scores!J8)),(COUNTIFS(Scores!$B$5:$B$44,2,Scores!$C$5:$C$44,"Tool condition",Scores!J$5:J$44,Scores!J8)+COUNTIFS(Scores!$B$5:$B$44,2,Scores!$C$5:$C$44,"Paper condition",Scores!J$5:J$44,Scores!J8))^2-1,"")</f>
        <v/>
      </c>
      <c r="AE8" s="1" t="n">
        <f aca="false">IF(ISNUMBER(Scores!J8),Scores!J8^2,"")</f>
        <v>4</v>
      </c>
      <c r="AF8" s="1" t="n">
        <f aca="false">IF(AND(Scores!$B8=1,Scores!$C8="Tool condition",ISNUMBER(Scores!K8)),COUNTIFS(Scores!$B$5:$B$44,1,Scores!$C$5:$C$44,"Paper condition",Scores!K$5:K$44,"&lt;"&amp;Scores!K8)+0.5*COUNTIFS(Scores!$B$5:$B$44,1,Scores!$C$5:$C$44,"Paper condition",Scores!K$5:K$44,Scores!K8),"")</f>
        <v>7</v>
      </c>
      <c r="AG8" s="1" t="n">
        <f aca="false">IF(AND(Scores!$B8=1,OR(Scores!$C8="Tool condition",Scores!$C8="Paper condition"),ISNUMBER(Scores!K8)),(COUNTIFS(Scores!$B$5:$B$44,1,Scores!$C$5:$C$44,"Tool condition",Scores!K$5:K$44,Scores!K8)+COUNTIFS(Scores!$B$5:$B$44,1,Scores!$C$5:$C$44,"Paper condition",Scores!K$5:K$44,Scores!K8))^2-1,"")</f>
        <v>255</v>
      </c>
      <c r="AH8" s="1" t="str">
        <f aca="false">IF(AND(Scores!$B8=2,Scores!$C8="Tool condition",ISNUMBER(Scores!K8)),COUNTIFS(Scores!$B$5:$B$44,2,Scores!$C$5:$C$44,"Paper condition",Scores!K$5:K$44,"&lt;"&amp;Scores!K8)+0.5*COUNTIFS(Scores!$B$5:$B$44,2,Scores!$C$5:$C$44,"Paper condition",Scores!K$5:K$44,Scores!K8),"")</f>
        <v/>
      </c>
      <c r="AI8" s="1" t="str">
        <f aca="false">IF(AND(Scores!$B8=2,OR(Scores!$C8="Tool condition",Scores!$C8="Paper condition"),ISNUMBER(Scores!K8)),(COUNTIFS(Scores!$B$5:$B$44,2,Scores!$C$5:$C$44,"Tool condition",Scores!K$5:K$44,Scores!K8)+COUNTIFS(Scores!$B$5:$B$44,2,Scores!$C$5:$C$44,"Paper condition",Scores!K$5:K$44,Scores!K8))^2-1,"")</f>
        <v/>
      </c>
      <c r="AJ8" s="1" t="n">
        <f aca="false">IF(ISNUMBER(Scores!K8),Scores!K8^2,"")</f>
        <v>4</v>
      </c>
      <c r="AK8" s="1" t="n">
        <f aca="false">IF(AND(Scores!$B8=1,Scores!$C8="Tool condition",ISNUMBER(Scores!L8)),COUNTIFS(Scores!$B$5:$B$44,1,Scores!$C$5:$C$44,"Paper condition",Scores!L$5:L$44,"&lt;"&amp;Scores!L8)+0.5*COUNTIFS(Scores!$B$5:$B$44,1,Scores!$C$5:$C$44,"Paper condition",Scores!L$5:L$44,Scores!L8),"")</f>
        <v>6.5</v>
      </c>
      <c r="AL8" s="1" t="n">
        <f aca="false">IF(AND(Scores!$B8=1,OR(Scores!$C8="Tool condition",Scores!$C8="Paper condition"),ISNUMBER(Scores!L8)),(COUNTIFS(Scores!$B$5:$B$44,1,Scores!$C$5:$C$44,"Tool condition",Scores!L$5:L$44,Scores!L8)+COUNTIFS(Scores!$B$5:$B$44,1,Scores!$C$5:$C$44,"Paper condition",Scores!L$5:L$44,Scores!L8))^2-1,"")</f>
        <v>288</v>
      </c>
      <c r="AM8" s="1" t="str">
        <f aca="false">IF(AND(Scores!$B8=2,Scores!$C8="Tool condition",ISNUMBER(Scores!L8)),COUNTIFS(Scores!$B$5:$B$44,2,Scores!$C$5:$C$44,"Paper condition",Scores!L$5:L$44,"&lt;"&amp;Scores!L8)+0.5*COUNTIFS(Scores!$B$5:$B$44,2,Scores!$C$5:$C$44,"Paper condition",Scores!L$5:L$44,Scores!L8),"")</f>
        <v/>
      </c>
      <c r="AN8" s="1" t="str">
        <f aca="false">IF(AND(Scores!$B8=2,OR(Scores!$C8="Tool condition",Scores!$C8="Paper condition"),ISNUMBER(Scores!L8)),(COUNTIFS(Scores!$B$5:$B$44,2,Scores!$C$5:$C$44,"Tool condition",Scores!L$5:L$44,Scores!L8)+COUNTIFS(Scores!$B$5:$B$44,2,Scores!$C$5:$C$44,"Paper condition",Scores!L$5:L$44,Scores!L8))^2-1,"")</f>
        <v/>
      </c>
      <c r="AO8" s="1" t="n">
        <f aca="false">IF(ISNUMBER(Scores!L8),Scores!L8^2,"")</f>
        <v>4</v>
      </c>
      <c r="AP8" s="1" t="n">
        <f aca="false">IF(AND(Scores!$B8=1,Scores!$C8="Tool condition",ISNUMBER(Scores!M8)),COUNTIFS(Scores!$B$5:$B$44,1,Scores!$C$5:$C$44,"Paper condition",Scores!M$5:M$44,"&lt;"&amp;Scores!M8)+0.5*COUNTIFS(Scores!$B$5:$B$44,1,Scores!$C$5:$C$44,"Paper condition",Scores!M$5:M$44,Scores!M8),"")</f>
        <v>6.5</v>
      </c>
      <c r="AQ8" s="1" t="n">
        <f aca="false">IF(AND(Scores!$B8=1,OR(Scores!$C8="Tool condition",Scores!$C8="Paper condition"),ISNUMBER(Scores!M8)),(COUNTIFS(Scores!$B$5:$B$44,1,Scores!$C$5:$C$44,"Tool condition",Scores!M$5:M$44,Scores!M8)+COUNTIFS(Scores!$B$5:$B$44,1,Scores!$C$5:$C$44,"Paper condition",Scores!M$5:M$44,Scores!M8))^2-1,"")</f>
        <v>288</v>
      </c>
      <c r="AR8" s="1" t="str">
        <f aca="false">IF(AND(Scores!$B8=2,Scores!$C8="Tool condition",ISNUMBER(Scores!M8)),COUNTIFS(Scores!$B$5:$B$44,2,Scores!$C$5:$C$44,"Paper condition",Scores!M$5:M$44,"&lt;"&amp;Scores!M8)+0.5*COUNTIFS(Scores!$B$5:$B$44,2,Scores!$C$5:$C$44,"Paper condition",Scores!M$5:M$44,Scores!M8),"")</f>
        <v/>
      </c>
      <c r="AS8" s="1" t="str">
        <f aca="false">IF(AND(Scores!$B8=2,OR(Scores!$C8="Tool condition",Scores!$C8="Paper condition"),ISNUMBER(Scores!M8)),(COUNTIFS(Scores!$B$5:$B$44,2,Scores!$C$5:$C$44,"Tool condition",Scores!M$5:M$44,Scores!M8)+COUNTIFS(Scores!$B$5:$B$44,2,Scores!$C$5:$C$44,"Paper condition",Scores!M$5:M$44,Scores!M8))^2-1,"")</f>
        <v/>
      </c>
      <c r="AT8" s="1" t="n">
        <f aca="false">IF(ISNUMBER(Scores!M8),Scores!M8^2,"")</f>
        <v>4</v>
      </c>
      <c r="AU8" s="1" t="n">
        <f aca="false">IF(AND(Scores!$B8=1,Scores!$C8="Tool condition",ISNUMBER(Scores!N8)),COUNTIFS(Scores!$B$5:$B$44,1,Scores!$C$5:$C$44,"Paper condition",Scores!N$5:N$44,"&lt;"&amp;Scores!N8)+0.5*COUNTIFS(Scores!$B$5:$B$44,1,Scores!$C$5:$C$44,"Paper condition",Scores!N$5:N$44,Scores!N8),"")</f>
        <v>8</v>
      </c>
      <c r="AV8" s="1" t="n">
        <f aca="false">IF(AND(Scores!$B8=1,OR(Scores!$C8="Tool condition",Scores!$C8="Paper condition"),ISNUMBER(Scores!N8)),(COUNTIFS(Scores!$B$5:$B$44,1,Scores!$C$5:$C$44,"Tool condition",Scores!N$5:N$44,Scores!N8)+COUNTIFS(Scores!$B$5:$B$44,1,Scores!$C$5:$C$44,"Paper condition",Scores!N$5:N$44,Scores!N8))^2-1,"")</f>
        <v>195</v>
      </c>
      <c r="AW8" s="1" t="str">
        <f aca="false">IF(AND(Scores!$B8=2,Scores!$C8="Tool condition",ISNUMBER(Scores!N8)),COUNTIFS(Scores!$B$5:$B$44,2,Scores!$C$5:$C$44,"Paper condition",Scores!N$5:N$44,"&lt;"&amp;Scores!N8)+0.5*COUNTIFS(Scores!$B$5:$B$44,2,Scores!$C$5:$C$44,"Paper condition",Scores!N$5:N$44,Scores!N8),"")</f>
        <v/>
      </c>
      <c r="AX8" s="1" t="str">
        <f aca="false">IF(AND(Scores!$B8=2,OR(Scores!$C8="Tool condition",Scores!$C8="Paper condition"),ISNUMBER(Scores!N8)),(COUNTIFS(Scores!$B$5:$B$44,2,Scores!$C$5:$C$44,"Tool condition",Scores!N$5:N$44,Scores!N8)+COUNTIFS(Scores!$B$5:$B$44,2,Scores!$C$5:$C$44,"Paper condition",Scores!N$5:N$44,Scores!N8))^2-1,"")</f>
        <v/>
      </c>
      <c r="AY8" s="1" t="n">
        <f aca="false">IF(ISNUMBER(Scores!N8),Scores!N8^2,"")</f>
        <v>4</v>
      </c>
      <c r="AZ8" s="1" t="n">
        <f aca="false">IF(AND(Scores!$B8=1,Scores!$C8="Tool condition",ISNUMBER(Scores!O8)),COUNTIFS(Scores!$B$5:$B$44,1,Scores!$C$5:$C$44,"Paper condition",Scores!O$5:O$44,"&lt;"&amp;Scores!O8)+0.5*COUNTIFS(Scores!$B$5:$B$44,1,Scores!$C$5:$C$44,"Paper condition",Scores!O$5:O$44,Scores!O8),"")</f>
        <v>7.5</v>
      </c>
      <c r="BA8" s="1" t="n">
        <f aca="false">IF(AND(Scores!$B8=1,OR(Scores!$C8="Tool condition",Scores!$C8="Paper condition"),ISNUMBER(Scores!O8)),(COUNTIFS(Scores!$B$5:$B$44,1,Scores!$C$5:$C$44,"Tool condition",Scores!O$5:O$44,Scores!O8)+COUNTIFS(Scores!$B$5:$B$44,1,Scores!$C$5:$C$44,"Paper condition",Scores!O$5:O$44,Scores!O8))^2-1,"")</f>
        <v>224</v>
      </c>
      <c r="BB8" s="1" t="str">
        <f aca="false">IF(AND(Scores!$B8=2,Scores!$C8="Tool condition",ISNUMBER(Scores!O8)),COUNTIFS(Scores!$B$5:$B$44,2,Scores!$C$5:$C$44,"Paper condition",Scores!O$5:O$44,"&lt;"&amp;Scores!O8)+0.5*COUNTIFS(Scores!$B$5:$B$44,2,Scores!$C$5:$C$44,"Paper condition",Scores!O$5:O$44,Scores!O8),"")</f>
        <v/>
      </c>
      <c r="BC8" s="1" t="str">
        <f aca="false">IF(AND(Scores!$B8=2,OR(Scores!$C8="Tool condition",Scores!$C8="Paper condition"),ISNUMBER(Scores!O8)),(COUNTIFS(Scores!$B$5:$B$44,2,Scores!$C$5:$C$44,"Tool condition",Scores!O$5:O$44,Scores!O8)+COUNTIFS(Scores!$B$5:$B$44,2,Scores!$C$5:$C$44,"Paper condition",Scores!O$5:O$44,Scores!O8))^2-1,"")</f>
        <v/>
      </c>
      <c r="BD8" s="1" t="n">
        <f aca="false">IF(ISNUMBER(Scores!O8),Scores!O8^2,"")</f>
        <v>4</v>
      </c>
      <c r="BE8" s="1" t="n">
        <f aca="false">IF(AND(Scores!$B8=1,Scores!$C8="Tool condition",ISNUMBER(Scores!P8)),COUNTIFS(Scores!$B$5:$B$44,1,Scores!$C$5:$C$44,"Paper condition",Scores!P$5:P$44,"&lt;"&amp;Scores!P8)+0.5*COUNTIFS(Scores!$B$5:$B$44,1,Scores!$C$5:$C$44,"Paper condition",Scores!P$5:P$44,Scores!P8),"")</f>
        <v>8.5</v>
      </c>
      <c r="BF8" s="1" t="n">
        <f aca="false">IF(AND(Scores!$B8=1,OR(Scores!$C8="Tool condition",Scores!$C8="Paper condition"),ISNUMBER(Scores!P8)),(COUNTIFS(Scores!$B$5:$B$44,1,Scores!$C$5:$C$44,"Tool condition",Scores!P$5:P$44,Scores!P8)+COUNTIFS(Scores!$B$5:$B$44,1,Scores!$C$5:$C$44,"Paper condition",Scores!P$5:P$44,Scores!P8))^2-1,"")</f>
        <v>168</v>
      </c>
      <c r="BG8" s="1" t="str">
        <f aca="false">IF(AND(Scores!$B8=2,Scores!$C8="Tool condition",ISNUMBER(Scores!P8)),COUNTIFS(Scores!$B$5:$B$44,2,Scores!$C$5:$C$44,"Paper condition",Scores!P$5:P$44,"&lt;"&amp;Scores!P8)+0.5*COUNTIFS(Scores!$B$5:$B$44,2,Scores!$C$5:$C$44,"Paper condition",Scores!P$5:P$44,Scores!P8),"")</f>
        <v/>
      </c>
      <c r="BH8" s="1" t="str">
        <f aca="false">IF(AND(Scores!$B8=2,OR(Scores!$C8="Tool condition",Scores!$C8="Paper condition"),ISNUMBER(Scores!P8)),(COUNTIFS(Scores!$B$5:$B$44,2,Scores!$C$5:$C$44,"Tool condition",Scores!P$5:P$44,Scores!P8)+COUNTIFS(Scores!$B$5:$B$44,2,Scores!$C$5:$C$44,"Paper condition",Scores!P$5:P$44,Scores!P8))^2-1,"")</f>
        <v/>
      </c>
      <c r="BI8" s="1" t="n">
        <f aca="false">IF(ISNUMBER(Scores!P8),Scores!P8^2,"")</f>
        <v>4</v>
      </c>
      <c r="BJ8" s="1" t="n">
        <f aca="false">IF(AND(R_Scores!$B8=1,R_Scores!$C8="Tool condition",ISNUMBER(R_Scores!E8)),COUNTIFS(R_Scores!$B$5:$B$44,1,R_Scores!$C$5:$C$44,"Paper condition",R_Scores!E$5:E$44,"&lt;"&amp;R_Scores!E8)+0.5*COUNTIFS(R_Scores!$B$5:$B$44,1,R_Scores!$C$5:$C$44,"Paper condition",R_Scores!E$5:E$44,R_Scores!E8),"")</f>
        <v>7</v>
      </c>
      <c r="BK8" s="1" t="n">
        <f aca="false">IF(AND(R_Scores!$B8=1,OR(R_Scores!$C8="Tool condition",R_Scores!$C8="Paper condition"),ISNUMBER(R_Scores!E8)),(COUNTIFS(R_Scores!$B$5:$B$44,1,R_Scores!$C$5:$C$44,"Tool condition",R_Scores!E$5:E$44,R_Scores!E8)+COUNTIFS(R_Scores!$B$5:$B$44,1,R_Scores!$C$5:$C$44,"Paper condition",R_Scores!E$5:E$44,R_Scores!E8))^2-1,"")</f>
        <v>224</v>
      </c>
      <c r="BL8" s="1" t="str">
        <f aca="false">IF(AND(R_Scores!$B8=2,R_Scores!$C8="Tool condition",ISNUMBER(R_Scores!E8)),COUNTIFS(R_Scores!$B$5:$B$44,2,R_Scores!$C$5:$C$44,"Paper condition",R_Scores!E$5:E$44,"&lt;"&amp;R_Scores!E8)+0.5*COUNTIFS(R_Scores!$B$5:$B$44,2,R_Scores!$C$5:$C$44,"Paper condition",R_Scores!E$5:E$44,R_Scores!E8),"")</f>
        <v/>
      </c>
      <c r="BM8" s="1" t="str">
        <f aca="false">IF(AND(R_Scores!$B8=2,OR(R_Scores!$C8="Tool condition",R_Scores!$C8="Paper condition"),ISNUMBER(R_Scores!E8)),(COUNTIFS(R_Scores!$B$5:$B$44,2,R_Scores!$C$5:$C$44,"Tool condition",R_Scores!E$5:E$44,R_Scores!E8)+COUNTIFS(R_Scores!$B$5:$B$44,2,R_Scores!$C$5:$C$44,"Paper condition",R_Scores!E$5:E$44,R_Scores!E8))^2-1,"")</f>
        <v/>
      </c>
      <c r="BN8" s="1" t="n">
        <f aca="false">IF(ISNUMBER(R_Scores!E8),R_Scores!E8^2,"")</f>
        <v>1</v>
      </c>
      <c r="BO8" s="1" t="n">
        <f aca="false">IF(AND(R_Scores!$B8=1,R_Scores!$C8="Tool condition",ISNUMBER(R_Scores!F8)),COUNTIFS(R_Scores!$B$5:$B$44,1,R_Scores!$C$5:$C$44,"Paper condition",R_Scores!F$5:F$44,"&lt;"&amp;R_Scores!F8)+0.5*COUNTIFS(R_Scores!$B$5:$B$44,1,R_Scores!$C$5:$C$44,"Paper condition",R_Scores!F$5:F$44,R_Scores!F8),"")</f>
        <v>7</v>
      </c>
      <c r="BP8" s="1" t="n">
        <f aca="false">IF(AND(R_Scores!$B8=1,OR(R_Scores!$C8="Tool condition",R_Scores!$C8="Paper condition"),ISNUMBER(R_Scores!F8)),(COUNTIFS(R_Scores!$B$5:$B$44,1,R_Scores!$C$5:$C$44,"Tool condition",R_Scores!F$5:F$44,R_Scores!F8)+COUNTIFS(R_Scores!$B$5:$B$44,1,R_Scores!$C$5:$C$44,"Paper condition",R_Scores!F$5:F$44,R_Scores!F8))^2-1,"")</f>
        <v>195</v>
      </c>
      <c r="BQ8" s="1" t="str">
        <f aca="false">IF(AND(R_Scores!$B8=2,R_Scores!$C8="Tool condition",ISNUMBER(R_Scores!F8)),COUNTIFS(R_Scores!$B$5:$B$44,2,R_Scores!$C$5:$C$44,"Paper condition",R_Scores!F$5:F$44,"&lt;"&amp;R_Scores!F8)+0.5*COUNTIFS(R_Scores!$B$5:$B$44,2,R_Scores!$C$5:$C$44,"Paper condition",R_Scores!F$5:F$44,R_Scores!F8),"")</f>
        <v/>
      </c>
      <c r="BR8" s="1" t="str">
        <f aca="false">IF(AND(R_Scores!$B8=2,OR(R_Scores!$C8="Tool condition",R_Scores!$C8="Paper condition"),ISNUMBER(R_Scores!F8)),(COUNTIFS(R_Scores!$B$5:$B$44,2,R_Scores!$C$5:$C$44,"Tool condition",R_Scores!F$5:F$44,R_Scores!F8)+COUNTIFS(R_Scores!$B$5:$B$44,2,R_Scores!$C$5:$C$44,"Paper condition",R_Scores!F$5:F$44,R_Scores!F8))^2-1,"")</f>
        <v/>
      </c>
      <c r="BS8" s="1" t="n">
        <f aca="false">IF(ISNUMBER(R_Scores!F8),R_Scores!F8^2,"")</f>
        <v>1</v>
      </c>
      <c r="BT8" s="1" t="str">
        <f aca="false">IF(AND(R_Scores!$B8=1,R_Scores!$C8="Tool condition",ISNUMBER(R_Scores!G8)),COUNTIFS(R_Scores!$B$5:$B$44,1,R_Scores!$C$5:$C$44,"Paper condition",R_Scores!G$5:G$44,"&lt;"&amp;R_Scores!G8)+0.5*COUNTIFS(R_Scores!$B$5:$B$44,1,R_Scores!$C$5:$C$44,"Paper condition",R_Scores!G$5:G$44,R_Scores!G8),"")</f>
        <v/>
      </c>
      <c r="BU8" s="1" t="str">
        <f aca="false">IF(AND(R_Scores!$B8=1,OR(R_Scores!$C8="Tool condition",R_Scores!$C8="Paper condition"),ISNUMBER(R_Scores!G8)),(COUNTIFS(R_Scores!$B$5:$B$44,1,R_Scores!$C$5:$C$44,"Tool condition",R_Scores!G$5:G$44,R_Scores!G8)+COUNTIFS(R_Scores!$B$5:$B$44,1,R_Scores!$C$5:$C$44,"Paper condition",R_Scores!G$5:G$44,R_Scores!G8))^2-1,"")</f>
        <v/>
      </c>
      <c r="BV8" s="1" t="str">
        <f aca="false">IF(AND(R_Scores!$B8=2,R_Scores!$C8="Tool condition",ISNUMBER(R_Scores!G8)),COUNTIFS(R_Scores!$B$5:$B$44,2,R_Scores!$C$5:$C$44,"Paper condition",R_Scores!G$5:G$44,"&lt;"&amp;R_Scores!G8)+0.5*COUNTIFS(R_Scores!$B$5:$B$44,2,R_Scores!$C$5:$C$44,"Paper condition",R_Scores!G$5:G$44,R_Scores!G8),"")</f>
        <v/>
      </c>
      <c r="BW8" s="1" t="str">
        <f aca="false">IF(AND(R_Scores!$B8=2,OR(R_Scores!$C8="Tool condition",R_Scores!$C8="Paper condition"),ISNUMBER(R_Scores!G8)),(COUNTIFS(R_Scores!$B$5:$B$44,2,R_Scores!$C$5:$C$44,"Tool condition",R_Scores!G$5:G$44,R_Scores!G8)+COUNTIFS(R_Scores!$B$5:$B$44,2,R_Scores!$C$5:$C$44,"Paper condition",R_Scores!G$5:G$44,R_Scores!G8))^2-1,"")</f>
        <v/>
      </c>
      <c r="BX8" s="1" t="str">
        <f aca="false">IF(ISNUMBER(R_Scores!G8),R_Scores!G8^2,"")</f>
        <v/>
      </c>
      <c r="BY8" s="1" t="str">
        <f aca="false">IF(AND(R_Scores!$B8=1,R_Scores!$C8="Tool condition",ISNUMBER(R_Scores!H8)),COUNTIFS(R_Scores!$B$5:$B$44,1,R_Scores!$C$5:$C$44,"Paper condition",R_Scores!H$5:H$44,"&lt;"&amp;R_Scores!H8)+0.5*COUNTIFS(R_Scores!$B$5:$B$44,1,R_Scores!$C$5:$C$44,"Paper condition",R_Scores!H$5:H$44,R_Scores!H8),"")</f>
        <v/>
      </c>
      <c r="BZ8" s="1" t="str">
        <f aca="false">IF(AND(R_Scores!$B8=1,OR(R_Scores!$C8="Tool condition",R_Scores!$C8="Paper condition"),ISNUMBER(R_Scores!H8)),(COUNTIFS(R_Scores!$B$5:$B$44,1,R_Scores!$C$5:$C$44,"Tool condition",R_Scores!H$5:H$44,R_Scores!H8)+COUNTIFS(R_Scores!$B$5:$B$44,1,R_Scores!$C$5:$C$44,"Paper condition",R_Scores!H$5:H$44,R_Scores!H8))^2-1,"")</f>
        <v/>
      </c>
      <c r="CA8" s="1" t="str">
        <f aca="false">IF(AND(R_Scores!$B8=2,R_Scores!$C8="Tool condition",ISNUMBER(R_Scores!H8)),COUNTIFS(R_Scores!$B$5:$B$44,2,R_Scores!$C$5:$C$44,"Paper condition",R_Scores!H$5:H$44,"&lt;"&amp;R_Scores!H8)+0.5*COUNTIFS(R_Scores!$B$5:$B$44,2,R_Scores!$C$5:$C$44,"Paper condition",R_Scores!H$5:H$44,R_Scores!H8),"")</f>
        <v/>
      </c>
      <c r="CB8" s="1" t="str">
        <f aca="false">IF(AND(R_Scores!$B8=2,OR(R_Scores!$C8="Tool condition",R_Scores!$C8="Paper condition"),ISNUMBER(R_Scores!H8)),(COUNTIFS(R_Scores!$B$5:$B$44,2,R_Scores!$C$5:$C$44,"Tool condition",R_Scores!H$5:H$44,R_Scores!H8)+COUNTIFS(R_Scores!$B$5:$B$44,2,R_Scores!$C$5:$C$44,"Paper condition",R_Scores!H$5:H$44,R_Scores!H8))^2-1,"")</f>
        <v/>
      </c>
      <c r="CC8" s="1" t="str">
        <f aca="false">IF(ISNUMBER(R_Scores!H8),R_Scores!H8^2,"")</f>
        <v/>
      </c>
      <c r="CD8" s="1" t="n">
        <f aca="false">IF(AND(R_Scores!$B8=1,R_Scores!$C8="Tool condition",ISNUMBER(R_Scores!I8)),COUNTIFS(R_Scores!$B$5:$B$44,1,R_Scores!$C$5:$C$44,"Paper condition",R_Scores!I$5:I$44,"&lt;"&amp;R_Scores!I8)+0.5*COUNTIFS(R_Scores!$B$5:$B$44,1,R_Scores!$C$5:$C$44,"Paper condition",R_Scores!I$5:I$44,R_Scores!I8),"")</f>
        <v>7.5</v>
      </c>
      <c r="CE8" s="1" t="n">
        <f aca="false">IF(AND(R_Scores!$B8=1,OR(R_Scores!$C8="Tool condition",R_Scores!$C8="Paper condition"),ISNUMBER(R_Scores!I8)),(COUNTIFS(R_Scores!$B$5:$B$44,1,R_Scores!$C$5:$C$44,"Tool condition",R_Scores!I$5:I$44,R_Scores!I8)+COUNTIFS(R_Scores!$B$5:$B$44,1,R_Scores!$C$5:$C$44,"Paper condition",R_Scores!I$5:I$44,R_Scores!I8))^2-1,"")</f>
        <v>168</v>
      </c>
      <c r="CF8" s="1" t="str">
        <f aca="false">IF(AND(R_Scores!$B8=2,R_Scores!$C8="Tool condition",ISNUMBER(R_Scores!I8)),COUNTIFS(R_Scores!$B$5:$B$44,2,R_Scores!$C$5:$C$44,"Paper condition",R_Scores!I$5:I$44,"&lt;"&amp;R_Scores!I8)+0.5*COUNTIFS(R_Scores!$B$5:$B$44,2,R_Scores!$C$5:$C$44,"Paper condition",R_Scores!I$5:I$44,R_Scores!I8),"")</f>
        <v/>
      </c>
      <c r="CG8" s="1" t="str">
        <f aca="false">IF(AND(R_Scores!$B8=2,OR(R_Scores!$C8="Tool condition",R_Scores!$C8="Paper condition"),ISNUMBER(R_Scores!I8)),(COUNTIFS(R_Scores!$B$5:$B$44,2,R_Scores!$C$5:$C$44,"Tool condition",R_Scores!I$5:I$44,R_Scores!I8)+COUNTIFS(R_Scores!$B$5:$B$44,2,R_Scores!$C$5:$C$44,"Paper condition",R_Scores!I$5:I$44,R_Scores!I8))^2-1,"")</f>
        <v/>
      </c>
      <c r="CH8" s="1" t="n">
        <f aca="false">IF(ISNUMBER(R_Scores!I8),R_Scores!I8^2,"")</f>
        <v>1</v>
      </c>
      <c r="CI8" s="1" t="n">
        <f aca="false">IF(AND(R_Scores!$B8=1,R_Scores!$C8="Tool condition",ISNUMBER(R_Scores!J8)),COUNTIFS(R_Scores!$B$5:$B$44,1,R_Scores!$C$5:$C$44,"Paper condition",R_Scores!J$5:J$44,"&lt;"&amp;R_Scores!J8)+0.5*COUNTIFS(R_Scores!$B$5:$B$44,1,R_Scores!$C$5:$C$44,"Paper condition",R_Scores!J$5:J$44,R_Scores!J8),"")</f>
        <v>7</v>
      </c>
      <c r="CJ8" s="1" t="n">
        <f aca="false">IF(AND(R_Scores!$B8=1,OR(R_Scores!$C8="Tool condition",R_Scores!$C8="Paper condition"),ISNUMBER(R_Scores!J8)),(COUNTIFS(R_Scores!$B$5:$B$44,1,R_Scores!$C$5:$C$44,"Tool condition",R_Scores!J$5:J$44,R_Scores!J8)+COUNTIFS(R_Scores!$B$5:$B$44,1,R_Scores!$C$5:$C$44,"Paper condition",R_Scores!J$5:J$44,R_Scores!J8))^2-1,"")</f>
        <v>224</v>
      </c>
      <c r="CK8" s="1" t="str">
        <f aca="false">IF(AND(R_Scores!$B8=2,R_Scores!$C8="Tool condition",ISNUMBER(R_Scores!J8)),COUNTIFS(R_Scores!$B$5:$B$44,2,R_Scores!$C$5:$C$44,"Paper condition",R_Scores!J$5:J$44,"&lt;"&amp;R_Scores!J8)+0.5*COUNTIFS(R_Scores!$B$5:$B$44,2,R_Scores!$C$5:$C$44,"Paper condition",R_Scores!J$5:J$44,R_Scores!J8),"")</f>
        <v/>
      </c>
      <c r="CL8" s="1" t="str">
        <f aca="false">IF(AND(R_Scores!$B8=2,OR(R_Scores!$C8="Tool condition",R_Scores!$C8="Paper condition"),ISNUMBER(R_Scores!J8)),(COUNTIFS(R_Scores!$B$5:$B$44,2,R_Scores!$C$5:$C$44,"Tool condition",R_Scores!J$5:J$44,R_Scores!J8)+COUNTIFS(R_Scores!$B$5:$B$44,2,R_Scores!$C$5:$C$44,"Paper condition",R_Scores!J$5:J$44,R_Scores!J8))^2-1,"")</f>
        <v/>
      </c>
      <c r="CM8" s="1" t="n">
        <f aca="false">IF(ISNUMBER(R_Scores!J8),R_Scores!J8^2,"")</f>
        <v>1</v>
      </c>
      <c r="CN8" s="1" t="str">
        <f aca="false">IF(AND(R_Scores!$B8=1,R_Scores!$C8="Tool condition",ISNUMBER(R_Scores!K8)),COUNTIFS(R_Scores!$B$5:$B$44,1,R_Scores!$C$5:$C$44,"Paper condition",R_Scores!K$5:K$44,"&lt;"&amp;R_Scores!K8)+0.5*COUNTIFS(R_Scores!$B$5:$B$44,1,R_Scores!$C$5:$C$44,"Paper condition",R_Scores!K$5:K$44,R_Scores!K8),"")</f>
        <v/>
      </c>
      <c r="CO8" s="1" t="str">
        <f aca="false">IF(AND(R_Scores!$B8=1,OR(R_Scores!$C8="Tool condition",R_Scores!$C8="Paper condition"),ISNUMBER(R_Scores!K8)),(COUNTIFS(R_Scores!$B$5:$B$44,1,R_Scores!$C$5:$C$44,"Tool condition",R_Scores!K$5:K$44,R_Scores!K8)+COUNTIFS(R_Scores!$B$5:$B$44,1,R_Scores!$C$5:$C$44,"Paper condition",R_Scores!K$5:K$44,R_Scores!K8))^2-1,"")</f>
        <v/>
      </c>
      <c r="CP8" s="1" t="str">
        <f aca="false">IF(AND(R_Scores!$B8=2,R_Scores!$C8="Tool condition",ISNUMBER(R_Scores!K8)),COUNTIFS(R_Scores!$B$5:$B$44,2,R_Scores!$C$5:$C$44,"Paper condition",R_Scores!K$5:K$44,"&lt;"&amp;R_Scores!K8)+0.5*COUNTIFS(R_Scores!$B$5:$B$44,2,R_Scores!$C$5:$C$44,"Paper condition",R_Scores!K$5:K$44,R_Scores!K8),"")</f>
        <v/>
      </c>
      <c r="CQ8" s="1" t="str">
        <f aca="false">IF(AND(R_Scores!$B8=2,OR(R_Scores!$C8="Tool condition",R_Scores!$C8="Paper condition"),ISNUMBER(R_Scores!K8)),(COUNTIFS(R_Scores!$B$5:$B$44,2,R_Scores!$C$5:$C$44,"Tool condition",R_Scores!K$5:K$44,R_Scores!K8)+COUNTIFS(R_Scores!$B$5:$B$44,2,R_Scores!$C$5:$C$44,"Paper condition",R_Scores!K$5:K$44,R_Scores!K8))^2-1,"")</f>
        <v/>
      </c>
      <c r="CR8" s="1" t="str">
        <f aca="false">IF(ISNUMBER(R_Scores!K8),R_Scores!K8^2,"")</f>
        <v/>
      </c>
      <c r="CS8" s="1" t="str">
        <f aca="false">IF(AND(R_Scores!$B8=1,R_Scores!$C8="Tool condition",ISNUMBER(R_Scores!L8)),COUNTIFS(R_Scores!$B$5:$B$44,1,R_Scores!$C$5:$C$44,"Paper condition",R_Scores!L$5:L$44,"&lt;"&amp;R_Scores!L8)+0.5*COUNTIFS(R_Scores!$B$5:$B$44,1,R_Scores!$C$5:$C$44,"Paper condition",R_Scores!L$5:L$44,R_Scores!L8),"")</f>
        <v/>
      </c>
      <c r="CT8" s="1" t="str">
        <f aca="false">IF(AND(R_Scores!$B8=1,OR(R_Scores!$C8="Tool condition",R_Scores!$C8="Paper condition"),ISNUMBER(R_Scores!L8)),(COUNTIFS(R_Scores!$B$5:$B$44,1,R_Scores!$C$5:$C$44,"Tool condition",R_Scores!L$5:L$44,R_Scores!L8)+COUNTIFS(R_Scores!$B$5:$B$44,1,R_Scores!$C$5:$C$44,"Paper condition",R_Scores!L$5:L$44,R_Scores!L8))^2-1,"")</f>
        <v/>
      </c>
      <c r="CU8" s="1" t="str">
        <f aca="false">IF(AND(R_Scores!$B8=2,R_Scores!$C8="Tool condition",ISNUMBER(R_Scores!L8)),COUNTIFS(R_Scores!$B$5:$B$44,2,R_Scores!$C$5:$C$44,"Paper condition",R_Scores!L$5:L$44,"&lt;"&amp;R_Scores!L8)+0.5*COUNTIFS(R_Scores!$B$5:$B$44,2,R_Scores!$C$5:$C$44,"Paper condition",R_Scores!L$5:L$44,R_Scores!L8),"")</f>
        <v/>
      </c>
      <c r="CV8" s="1" t="str">
        <f aca="false">IF(AND(R_Scores!$B8=2,OR(R_Scores!$C8="Tool condition",R_Scores!$C8="Paper condition"),ISNUMBER(R_Scores!L8)),(COUNTIFS(R_Scores!$B$5:$B$44,2,R_Scores!$C$5:$C$44,"Tool condition",R_Scores!L$5:L$44,R_Scores!L8)+COUNTIFS(R_Scores!$B$5:$B$44,2,R_Scores!$C$5:$C$44,"Paper condition",R_Scores!L$5:L$44,R_Scores!L8))^2-1,"")</f>
        <v/>
      </c>
      <c r="CW8" s="1" t="str">
        <f aca="false">IF(ISNUMBER(R_Scores!L8),R_Scores!L8^2,"")</f>
        <v/>
      </c>
      <c r="CX8" s="1" t="str">
        <f aca="false">IF(AND(R_Scores!$B8=1,R_Scores!$C8="Tool condition",ISNUMBER(R_Scores!M8)),COUNTIFS(R_Scores!$B$5:$B$44,1,R_Scores!$C$5:$C$44,"Paper condition",R_Scores!M$5:M$44,"&lt;"&amp;R_Scores!M8)+0.5*COUNTIFS(R_Scores!$B$5:$B$44,1,R_Scores!$C$5:$C$44,"Paper condition",R_Scores!M$5:M$44,R_Scores!M8),"")</f>
        <v/>
      </c>
      <c r="CY8" s="1" t="str">
        <f aca="false">IF(AND(R_Scores!$B8=1,OR(R_Scores!$C8="Tool condition",R_Scores!$C8="Paper condition"),ISNUMBER(R_Scores!M8)),(COUNTIFS(R_Scores!$B$5:$B$44,1,R_Scores!$C$5:$C$44,"Tool condition",R_Scores!M$5:M$44,R_Scores!M8)+COUNTIFS(R_Scores!$B$5:$B$44,1,R_Scores!$C$5:$C$44,"Paper condition",R_Scores!M$5:M$44,R_Scores!M8))^2-1,"")</f>
        <v/>
      </c>
      <c r="CZ8" s="1" t="str">
        <f aca="false">IF(AND(R_Scores!$B8=2,R_Scores!$C8="Tool condition",ISNUMBER(R_Scores!M8)),COUNTIFS(R_Scores!$B$5:$B$44,2,R_Scores!$C$5:$C$44,"Paper condition",R_Scores!M$5:M$44,"&lt;"&amp;R_Scores!M8)+0.5*COUNTIFS(R_Scores!$B$5:$B$44,2,R_Scores!$C$5:$C$44,"Paper condition",R_Scores!M$5:M$44,R_Scores!M8),"")</f>
        <v/>
      </c>
      <c r="DA8" s="1" t="str">
        <f aca="false">IF(AND(R_Scores!$B8=2,OR(R_Scores!$C8="Tool condition",R_Scores!$C8="Paper condition"),ISNUMBER(R_Scores!M8)),(COUNTIFS(R_Scores!$B$5:$B$44,2,R_Scores!$C$5:$C$44,"Tool condition",R_Scores!M$5:M$44,R_Scores!M8)+COUNTIFS(R_Scores!$B$5:$B$44,2,R_Scores!$C$5:$C$44,"Paper condition",R_Scores!M$5:M$44,R_Scores!M8))^2-1,"")</f>
        <v/>
      </c>
      <c r="DB8" s="1" t="str">
        <f aca="false">IF(ISNUMBER(R_Scores!M8),R_Scores!M8^2,"")</f>
        <v/>
      </c>
      <c r="DC8" s="1" t="n">
        <f aca="false">IF(AND(R_Scores!$B8=1,R_Scores!$C8="Tool condition",ISNUMBER(R_Scores!N8)),COUNTIFS(R_Scores!$B$5:$B$44,1,R_Scores!$C$5:$C$44,"Paper condition",R_Scores!N$5:N$44,"&lt;"&amp;R_Scores!N8)+0.5*COUNTIFS(R_Scores!$B$5:$B$44,1,R_Scores!$C$5:$C$44,"Paper condition",R_Scores!N$5:N$44,R_Scores!N8),"")</f>
        <v>3</v>
      </c>
      <c r="DD8" s="1" t="n">
        <f aca="false">IF(AND(R_Scores!$B8=1,OR(R_Scores!$C8="Tool condition",R_Scores!$C8="Paper condition"),ISNUMBER(R_Scores!N8)),(COUNTIFS(R_Scores!$B$5:$B$44,1,R_Scores!$C$5:$C$44,"Tool condition",R_Scores!N$5:N$44,R_Scores!N8)+COUNTIFS(R_Scores!$B$5:$B$44,1,R_Scores!$C$5:$C$44,"Paper condition",R_Scores!N$5:N$44,R_Scores!N8))^2-1,"")</f>
        <v>63</v>
      </c>
      <c r="DE8" s="1" t="str">
        <f aca="false">IF(AND(R_Scores!$B8=2,R_Scores!$C8="Tool condition",ISNUMBER(R_Scores!N8)),COUNTIFS(R_Scores!$B$5:$B$44,2,R_Scores!$C$5:$C$44,"Paper condition",R_Scores!N$5:N$44,"&lt;"&amp;R_Scores!N8)+0.5*COUNTIFS(R_Scores!$B$5:$B$44,2,R_Scores!$C$5:$C$44,"Paper condition",R_Scores!N$5:N$44,R_Scores!N8),"")</f>
        <v/>
      </c>
      <c r="DF8" s="1" t="str">
        <f aca="false">IF(AND(R_Scores!$B8=2,OR(R_Scores!$C8="Tool condition",R_Scores!$C8="Paper condition"),ISNUMBER(R_Scores!N8)),(COUNTIFS(R_Scores!$B$5:$B$44,2,R_Scores!$C$5:$C$44,"Tool condition",R_Scores!N$5:N$44,R_Scores!N8)+COUNTIFS(R_Scores!$B$5:$B$44,2,R_Scores!$C$5:$C$44,"Paper condition",R_Scores!N$5:N$44,R_Scores!N8))^2-1,"")</f>
        <v/>
      </c>
      <c r="DG8" s="1" t="n">
        <f aca="false">IF(ISNUMBER(R_Scores!N8),R_Scores!N8^2,"")</f>
        <v>0</v>
      </c>
      <c r="DH8" s="1" t="n">
        <f aca="false">IF(AND(R_Scores!$B8=1,R_Scores!$C8="Tool condition",ISNUMBER(R_Scores!O8)),COUNTIFS(R_Scores!$B$5:$B$44,1,R_Scores!$C$5:$C$44,"Paper condition",R_Scores!O$5:O$44,"&lt;"&amp;R_Scores!O8)+0.5*COUNTIFS(R_Scores!$B$5:$B$44,1,R_Scores!$C$5:$C$44,"Paper condition",R_Scores!O$5:O$44,R_Scores!O8),"")</f>
        <v>7.5</v>
      </c>
      <c r="DI8" s="1" t="n">
        <f aca="false">IF(AND(R_Scores!$B8=1,OR(R_Scores!$C8="Tool condition",R_Scores!$C8="Paper condition"),ISNUMBER(R_Scores!O8)),(COUNTIFS(R_Scores!$B$5:$B$44,1,R_Scores!$C$5:$C$44,"Tool condition",R_Scores!O$5:O$44,R_Scores!O8)+COUNTIFS(R_Scores!$B$5:$B$44,1,R_Scores!$C$5:$C$44,"Paper condition",R_Scores!O$5:O$44,R_Scores!O8))^2-1,"")</f>
        <v>168</v>
      </c>
      <c r="DJ8" s="1" t="str">
        <f aca="false">IF(AND(R_Scores!$B8=2,R_Scores!$C8="Tool condition",ISNUMBER(R_Scores!O8)),COUNTIFS(R_Scores!$B$5:$B$44,2,R_Scores!$C$5:$C$44,"Paper condition",R_Scores!O$5:O$44,"&lt;"&amp;R_Scores!O8)+0.5*COUNTIFS(R_Scores!$B$5:$B$44,2,R_Scores!$C$5:$C$44,"Paper condition",R_Scores!O$5:O$44,R_Scores!O8),"")</f>
        <v/>
      </c>
      <c r="DK8" s="1" t="str">
        <f aca="false">IF(AND(R_Scores!$B8=2,OR(R_Scores!$C8="Tool condition",R_Scores!$C8="Paper condition"),ISNUMBER(R_Scores!O8)),(COUNTIFS(R_Scores!$B$5:$B$44,2,R_Scores!$C$5:$C$44,"Tool condition",R_Scores!O$5:O$44,R_Scores!O8)+COUNTIFS(R_Scores!$B$5:$B$44,2,R_Scores!$C$5:$C$44,"Paper condition",R_Scores!O$5:O$44,R_Scores!O8))^2-1,"")</f>
        <v/>
      </c>
      <c r="DL8" s="1" t="n">
        <f aca="false">IF(ISNUMBER(R_Scores!O8),R_Scores!O8^2,"")</f>
        <v>1</v>
      </c>
      <c r="DM8" s="1" t="n">
        <f aca="false">IF(AND(R_Scores!$B8=1,R_Scores!$C8="Tool condition",ISNUMBER(R_Scores!P8)),COUNTIFS(R_Scores!$B$5:$B$44,1,R_Scores!$C$5:$C$44,"Paper condition",R_Scores!P$5:P$44,"&lt;"&amp;R_Scores!P8)+0.5*COUNTIFS(R_Scores!$B$5:$B$44,1,R_Scores!$C$5:$C$44,"Paper condition",R_Scores!P$5:P$44,R_Scores!P8),"")</f>
        <v>8.5</v>
      </c>
      <c r="DN8" s="1" t="n">
        <f aca="false">IF(AND(R_Scores!$B8=1,OR(R_Scores!$C8="Tool condition",R_Scores!$C8="Paper condition"),ISNUMBER(R_Scores!P8)),(COUNTIFS(R_Scores!$B$5:$B$44,1,R_Scores!$C$5:$C$44,"Tool condition",R_Scores!P$5:P$44,R_Scores!P8)+COUNTIFS(R_Scores!$B$5:$B$44,1,R_Scores!$C$5:$C$44,"Paper condition",R_Scores!P$5:P$44,R_Scores!P8))^2-1,"")</f>
        <v>120</v>
      </c>
      <c r="DO8" s="1" t="str">
        <f aca="false">IF(AND(R_Scores!$B8=2,R_Scores!$C8="Tool condition",ISNUMBER(R_Scores!P8)),COUNTIFS(R_Scores!$B$5:$B$44,2,R_Scores!$C$5:$C$44,"Paper condition",R_Scores!P$5:P$44,"&lt;"&amp;R_Scores!P8)+0.5*COUNTIFS(R_Scores!$B$5:$B$44,2,R_Scores!$C$5:$C$44,"Paper condition",R_Scores!P$5:P$44,R_Scores!P8),"")</f>
        <v/>
      </c>
      <c r="DP8" s="1" t="str">
        <f aca="false">IF(AND(R_Scores!$B8=2,OR(R_Scores!$C8="Tool condition",R_Scores!$C8="Paper condition"),ISNUMBER(R_Scores!P8)),(COUNTIFS(R_Scores!$B$5:$B$44,2,R_Scores!$C$5:$C$44,"Tool condition",R_Scores!P$5:P$44,R_Scores!P8)+COUNTIFS(R_Scores!$B$5:$B$44,2,R_Scores!$C$5:$C$44,"Paper condition",R_Scores!P$5:P$44,R_Scores!P8))^2-1,"")</f>
        <v/>
      </c>
      <c r="DQ8" s="1" t="n">
        <f aca="false">IF(ISNUMBER(R_Scores!P8),R_Scores!P8^2,"")</f>
        <v>1</v>
      </c>
      <c r="DR8" s="1" t="n">
        <f aca="false">IF(AND(Scores!$B8=1,Scores!$C8="Tool condition",ISNUMBER(Scores!Q8)),COUNTIFS(Scores!$B$5:$B$44,1,Scores!$C$5:$C$44,"Paper condition",Scores!Q$5:Q$44,"&lt;"&amp;Scores!Q8)+0.5*COUNTIFS(Scores!$B$5:$B$44,1,Scores!$C$5:$C$44,"Paper condition",Scores!Q$5:Q$44,Scores!Q8),"")</f>
        <v>10</v>
      </c>
      <c r="DS8" s="1" t="n">
        <f aca="false">IF(AND(Scores!$B8=1,OR(Scores!$C8="Tool condition",Scores!$C8="Paper condition"),ISNUMBER(Scores!Q8)),(COUNTIFS(Scores!$B$5:$B$44,1,Scores!$C$5:$C$44,"Tool condition",Scores!Q$5:Q$44,Scores!Q8)+COUNTIFS(Scores!$B$5:$B$44,1,Scores!$C$5:$C$44,"Paper condition",Scores!Q$5:Q$44,Scores!Q8))^2-1,"")</f>
        <v>99</v>
      </c>
      <c r="DT8" s="1" t="str">
        <f aca="false">IF(AND(Scores!$B8=2,Scores!$C8="Tool condition",ISNUMBER(Scores!Q8)),COUNTIFS(Scores!$B$5:$B$44,2,Scores!$C$5:$C$44,"Paper condition",Scores!Q$5:Q$44,"&lt;"&amp;Scores!Q8)+0.5*COUNTIFS(Scores!$B$5:$B$44,2,Scores!$C$5:$C$44,"Paper condition",Scores!Q$5:Q$44,Scores!Q8),"")</f>
        <v/>
      </c>
      <c r="DU8" s="1" t="str">
        <f aca="false">IF(AND(Scores!$B8=2,OR(Scores!$C8="Tool condition",Scores!$C8="Paper condition"),ISNUMBER(Scores!Q8)),(COUNTIFS(Scores!$B$5:$B$44,2,Scores!$C$5:$C$44,"Tool condition",Scores!Q$5:Q$44,Scores!Q8)+COUNTIFS(Scores!$B$5:$B$44,2,Scores!$C$5:$C$44,"Paper condition",Scores!Q$5:Q$44,Scores!Q8))^2-1,"")</f>
        <v/>
      </c>
      <c r="DV8" s="1" t="n">
        <f aca="false">IF(ISNUMBER(Scores!Q8),Scores!Q8^2,"")</f>
        <v>576</v>
      </c>
      <c r="DW8" s="1" t="n">
        <f aca="false">IF(AND(Scores!$B8=1,Scores!$C8="Tool condition",ISNUMBER(Scores!R8)),COUNTIFS(Scores!$B$5:$B$44,1,Scores!$C$5:$C$44,"Paper condition",Scores!R$5:R$44,"&lt;"&amp;Scores!R8)+0.5*COUNTIFS(Scores!$B$5:$B$44,1,Scores!$C$5:$C$44,"Paper condition",Scores!R$5:R$44,Scores!R8),"")</f>
        <v>9.5</v>
      </c>
      <c r="DX8" s="1" t="n">
        <f aca="false">IF(AND(Scores!$B8=1,OR(Scores!$C8="Tool condition",Scores!$C8="Paper condition"),ISNUMBER(Scores!R8)),(COUNTIFS(Scores!$B$5:$B$44,1,Scores!$C$5:$C$44,"Tool condition",Scores!R$5:R$44,Scores!R8)+COUNTIFS(Scores!$B$5:$B$44,1,Scores!$C$5:$C$44,"Paper condition",Scores!R$5:R$44,Scores!R8))^2-1,"")</f>
        <v>120</v>
      </c>
      <c r="DY8" s="1" t="str">
        <f aca="false">IF(AND(Scores!$B8=2,Scores!$C8="Tool condition",ISNUMBER(Scores!R8)),COUNTIFS(Scores!$B$5:$B$44,2,Scores!$C$5:$C$44,"Paper condition",Scores!R$5:R$44,"&lt;"&amp;Scores!R8)+0.5*COUNTIFS(Scores!$B$5:$B$44,2,Scores!$C$5:$C$44,"Paper condition",Scores!R$5:R$44,Scores!R8),"")</f>
        <v/>
      </c>
      <c r="DZ8" s="1" t="str">
        <f aca="false">IF(AND(Scores!$B8=2,OR(Scores!$C8="Tool condition",Scores!$C8="Paper condition"),ISNUMBER(Scores!R8)),(COUNTIFS(Scores!$B$5:$B$44,2,Scores!$C$5:$C$44,"Tool condition",Scores!R$5:R$44,Scores!R8)+COUNTIFS(Scores!$B$5:$B$44,2,Scores!$C$5:$C$44,"Paper condition",Scores!R$5:R$44,Scores!R8))^2-1,"")</f>
        <v/>
      </c>
      <c r="EA8" s="1" t="n">
        <f aca="false">IF(ISNUMBER(Scores!R8),Scores!R8^2,"")</f>
        <v>196</v>
      </c>
      <c r="EB8" s="1" t="n">
        <f aca="false">IF(AND(Scores!$B8=1,Scores!$C8="Tool condition",ISNUMBER(Scores!S8)),COUNTIFS(Scores!$B$5:$B$44,1,Scores!$C$5:$C$44,"Paper condition",Scores!S$5:S$44,"&lt;"&amp;Scores!S8)+0.5*COUNTIFS(Scores!$B$5:$B$44,1,Scores!$C$5:$C$44,"Paper condition",Scores!S$5:S$44,Scores!S8),"")</f>
        <v>9</v>
      </c>
      <c r="EC8" s="1" t="n">
        <f aca="false">IF(AND(Scores!$B8=1,OR(Scores!$C8="Tool condition",Scores!$C8="Paper condition"),ISNUMBER(Scores!S8)),(COUNTIFS(Scores!$B$5:$B$44,1,Scores!$C$5:$C$44,"Tool condition",Scores!S$5:S$44,Scores!S8)+COUNTIFS(Scores!$B$5:$B$44,1,Scores!$C$5:$C$44,"Paper condition",Scores!S$5:S$44,Scores!S8))^2-1,"")</f>
        <v>143</v>
      </c>
      <c r="ED8" s="1" t="str">
        <f aca="false">IF(AND(Scores!$B8=2,Scores!$C8="Tool condition",ISNUMBER(Scores!S8)),COUNTIFS(Scores!$B$5:$B$44,2,Scores!$C$5:$C$44,"Paper condition",Scores!S$5:S$44,"&lt;"&amp;Scores!S8)+0.5*COUNTIFS(Scores!$B$5:$B$44,2,Scores!$C$5:$C$44,"Paper condition",Scores!S$5:S$44,Scores!S8),"")</f>
        <v/>
      </c>
      <c r="EE8" s="1" t="str">
        <f aca="false">IF(AND(Scores!$B8=2,OR(Scores!$C8="Tool condition",Scores!$C8="Paper condition"),ISNUMBER(Scores!S8)),(COUNTIFS(Scores!$B$5:$B$44,2,Scores!$C$5:$C$44,"Tool condition",Scores!S$5:S$44,Scores!S8)+COUNTIFS(Scores!$B$5:$B$44,2,Scores!$C$5:$C$44,"Paper condition",Scores!S$5:S$44,Scores!S8))^2-1,"")</f>
        <v/>
      </c>
      <c r="EF8" s="1" t="n">
        <f aca="false">IF(ISNUMBER(Scores!S8),Scores!S8^2,"")</f>
        <v>100</v>
      </c>
      <c r="EG8" s="1" t="n">
        <f aca="false">IF(AND(Scores!$B8=1,Scores!$C8="Tool condition",ISNUMBER(Scores!T8)),COUNTIFS(Scores!$B$5:$B$44,1,Scores!$C$5:$C$44,"Paper condition",Scores!T$5:T$44,"&lt;"&amp;Scores!T8)+0.5*COUNTIFS(Scores!$B$5:$B$44,1,Scores!$C$5:$C$44,"Paper condition",Scores!T$5:T$44,Scores!T8),"")</f>
        <v>8.5</v>
      </c>
      <c r="EH8" s="1" t="n">
        <f aca="false">IF(AND(Scores!$B8=1,OR(Scores!$C8="Tool condition",Scores!$C8="Paper condition"),ISNUMBER(Scores!T8)),(COUNTIFS(Scores!$B$5:$B$44,1,Scores!$C$5:$C$44,"Tool condition",Scores!T$5:T$44,Scores!T8)+COUNTIFS(Scores!$B$5:$B$44,1,Scores!$C$5:$C$44,"Paper condition",Scores!T$5:T$44,Scores!T8))^2-1,"")</f>
        <v>168</v>
      </c>
      <c r="EI8" s="1" t="str">
        <f aca="false">IF(AND(Scores!$B8=2,Scores!$C8="Tool condition",ISNUMBER(Scores!T8)),COUNTIFS(Scores!$B$5:$B$44,2,Scores!$C$5:$C$44,"Paper condition",Scores!T$5:T$44,"&lt;"&amp;Scores!T8)+0.5*COUNTIFS(Scores!$B$5:$B$44,2,Scores!$C$5:$C$44,"Paper condition",Scores!T$5:T$44,Scores!T8),"")</f>
        <v/>
      </c>
      <c r="EJ8" s="1" t="str">
        <f aca="false">IF(AND(Scores!$B8=2,OR(Scores!$C8="Tool condition",Scores!$C8="Paper condition"),ISNUMBER(Scores!T8)),(COUNTIFS(Scores!$B$5:$B$44,2,Scores!$C$5:$C$44,"Tool condition",Scores!T$5:T$44,Scores!T8)+COUNTIFS(Scores!$B$5:$B$44,2,Scores!$C$5:$C$44,"Paper condition",Scores!T$5:T$44,Scores!T8))^2-1,"")</f>
        <v/>
      </c>
      <c r="EK8" s="1" t="n">
        <f aca="false">IF(ISNUMBER(Scores!T8),Scores!T8^2,"")</f>
        <v>64</v>
      </c>
      <c r="EL8" s="1" t="n">
        <f aca="false">IF(AND(Scores!$B8=1,Scores!$C8="Tool condition",ISNUMBER(Scores!U8)),COUNTIFS(Scores!$B$5:$B$44,1,Scores!$C$5:$C$44,"Paper condition",Scores!U$5:U$44,"&lt;"&amp;Scores!U8)+0.5*COUNTIFS(Scores!$B$5:$B$44,1,Scores!$C$5:$C$44,"Paper condition",Scores!U$5:U$44,Scores!U8),"")</f>
        <v>8.5</v>
      </c>
      <c r="EM8" s="1" t="n">
        <f aca="false">IF(AND(Scores!$B8=1,OR(Scores!$C8="Tool condition",Scores!$C8="Paper condition"),ISNUMBER(Scores!U8)),(COUNTIFS(Scores!$B$5:$B$44,1,Scores!$C$5:$C$44,"Tool condition",Scores!U$5:U$44,Scores!U8)+COUNTIFS(Scores!$B$5:$B$44,1,Scores!$C$5:$C$44,"Paper condition",Scores!U$5:U$44,Scores!U8))^2-1,"")</f>
        <v>168</v>
      </c>
      <c r="EN8" s="1" t="str">
        <f aca="false">IF(AND(Scores!$B8=2,Scores!$C8="Tool condition",ISNUMBER(Scores!U8)),COUNTIFS(Scores!$B$5:$B$44,2,Scores!$C$5:$C$44,"Paper condition",Scores!U$5:U$44,"&lt;"&amp;Scores!U8)+0.5*COUNTIFS(Scores!$B$5:$B$44,2,Scores!$C$5:$C$44,"Paper condition",Scores!U$5:U$44,Scores!U8),"")</f>
        <v/>
      </c>
      <c r="EO8" s="1" t="str">
        <f aca="false">IF(AND(Scores!$B8=2,OR(Scores!$C8="Tool condition",Scores!$C8="Paper condition"),ISNUMBER(Scores!U8)),(COUNTIFS(Scores!$B$5:$B$44,2,Scores!$C$5:$C$44,"Tool condition",Scores!U$5:U$44,Scores!U8)+COUNTIFS(Scores!$B$5:$B$44,2,Scores!$C$5:$C$44,"Paper condition",Scores!U$5:U$44,Scores!U8))^2-1,"")</f>
        <v/>
      </c>
      <c r="EP8" s="1" t="n">
        <f aca="false">IF(ISNUMBER(Scores!U8),Scores!U8^2,"")</f>
        <v>36</v>
      </c>
      <c r="EQ8" s="1" t="n">
        <f aca="false">IF(AND(Scores!$B8=1,Scores!$C8="Tool condition",ISNUMBER(Scores!V8)),COUNTIFS(Scores!$B$5:$B$44,1,Scores!$C$5:$C$44,"Paper condition",Scores!V$5:V$44,"&lt;"&amp;Scores!V8)+0.5*COUNTIFS(Scores!$B$5:$B$44,1,Scores!$C$5:$C$44,"Paper condition",Scores!V$5:V$44,Scores!V8),"")</f>
        <v>10</v>
      </c>
      <c r="ER8" s="1" t="n">
        <f aca="false">IF(AND(Scores!$B8=1,OR(Scores!$C8="Tool condition",Scores!$C8="Paper condition"),ISNUMBER(Scores!V8)),(COUNTIFS(Scores!$B$5:$B$44,1,Scores!$C$5:$C$44,"Tool condition",Scores!V$5:V$44,Scores!V8)+COUNTIFS(Scores!$B$5:$B$44,1,Scores!$C$5:$C$44,"Paper condition",Scores!V$5:V$44,Scores!V8))^2-1,"")</f>
        <v>99</v>
      </c>
      <c r="ES8" s="1" t="str">
        <f aca="false">IF(AND(Scores!$B8=2,Scores!$C8="Tool condition",ISNUMBER(Scores!V8)),COUNTIFS(Scores!$B$5:$B$44,2,Scores!$C$5:$C$44,"Paper condition",Scores!V$5:V$44,"&lt;"&amp;Scores!V8)+0.5*COUNTIFS(Scores!$B$5:$B$44,2,Scores!$C$5:$C$44,"Paper condition",Scores!V$5:V$44,Scores!V8),"")</f>
        <v/>
      </c>
      <c r="ET8" s="1" t="str">
        <f aca="false">IF(AND(Scores!$B8=2,OR(Scores!$C8="Tool condition",Scores!$C8="Paper condition"),ISNUMBER(Scores!V8)),(COUNTIFS(Scores!$B$5:$B$44,2,Scores!$C$5:$C$44,"Tool condition",Scores!V$5:V$44,Scores!V8)+COUNTIFS(Scores!$B$5:$B$44,2,Scores!$C$5:$C$44,"Paper condition",Scores!V$5:V$44,Scores!V8))^2-1,"")</f>
        <v/>
      </c>
      <c r="EU8" s="1" t="n">
        <f aca="false">IF(ISNUMBER(Scores!V8),Scores!V8^2,"")</f>
        <v>100</v>
      </c>
      <c r="EV8" s="1" t="n">
        <f aca="false">IF(AND(R_Scores!$B8=1,R_Scores!$C8="Tool condition",ISNUMBER(R_Scores!Q8)),COUNTIFS(R_Scores!$B$5:$B$44,1,R_Scores!$C$5:$C$44,"Paper condition",R_Scores!Q$5:Q$44,"&lt;"&amp;R_Scores!Q8)+0.5*COUNTIFS(R_Scores!$B$5:$B$44,1,R_Scores!$C$5:$C$44,"Paper condition",R_Scores!Q$5:Q$44,R_Scores!Q8),"")</f>
        <v>7.5</v>
      </c>
      <c r="EW8" s="1" t="n">
        <f aca="false">IF(AND(R_Scores!$B8=1,OR(R_Scores!$C8="Tool condition",R_Scores!$C8="Paper condition"),ISNUMBER(R_Scores!Q8)),(COUNTIFS(R_Scores!$B$5:$B$44,1,R_Scores!$C$5:$C$44,"Tool condition",R_Scores!Q$5:Q$44,R_Scores!Q8)+COUNTIFS(R_Scores!$B$5:$B$44,1,R_Scores!$C$5:$C$44,"Paper condition",R_Scores!Q$5:Q$44,R_Scores!Q8))^2-1,"")</f>
        <v>80</v>
      </c>
      <c r="EX8" s="1" t="str">
        <f aca="false">IF(AND(R_Scores!$B8=2,R_Scores!$C8="Tool condition",ISNUMBER(R_Scores!Q8)),COUNTIFS(R_Scores!$B$5:$B$44,2,R_Scores!$C$5:$C$44,"Paper condition",R_Scores!Q$5:Q$44,"&lt;"&amp;R_Scores!Q8)+0.5*COUNTIFS(R_Scores!$B$5:$B$44,2,R_Scores!$C$5:$C$44,"Paper condition",R_Scores!Q$5:Q$44,R_Scores!Q8),"")</f>
        <v/>
      </c>
      <c r="EY8" s="1" t="str">
        <f aca="false">IF(AND(R_Scores!$B8=2,OR(R_Scores!$C8="Tool condition",R_Scores!$C8="Paper condition"),ISNUMBER(R_Scores!Q8)),(COUNTIFS(R_Scores!$B$5:$B$44,2,R_Scores!$C$5:$C$44,"Tool condition",R_Scores!Q$5:Q$44,R_Scores!Q8)+COUNTIFS(R_Scores!$B$5:$B$44,2,R_Scores!$C$5:$C$44,"Paper condition",R_Scores!Q$5:Q$44,R_Scores!Q8))^2-1,"")</f>
        <v/>
      </c>
      <c r="EZ8" s="1" t="n">
        <f aca="false">IF(ISNUMBER(R_Scores!Q8),R_Scores!Q8^2,"")</f>
        <v>36</v>
      </c>
      <c r="FA8" s="1" t="n">
        <f aca="false">IF(AND(R_Scores!$B8=1,R_Scores!$C8="Tool condition",ISNUMBER(R_Scores!R8)),COUNTIFS(R_Scores!$B$5:$B$44,1,R_Scores!$C$5:$C$44,"Paper condition",R_Scores!R$5:R$44,"&lt;"&amp;R_Scores!R8)+0.5*COUNTIFS(R_Scores!$B$5:$B$44,1,R_Scores!$C$5:$C$44,"Paper condition",R_Scores!R$5:R$44,R_Scores!R8),"")</f>
        <v>10</v>
      </c>
      <c r="FB8" s="1" t="n">
        <f aca="false">IF(AND(R_Scores!$B8=1,OR(R_Scores!$C8="Tool condition",R_Scores!$C8="Paper condition"),ISNUMBER(R_Scores!R8)),(COUNTIFS(R_Scores!$B$5:$B$44,1,R_Scores!$C$5:$C$44,"Tool condition",R_Scores!R$5:R$44,R_Scores!R8)+COUNTIFS(R_Scores!$B$5:$B$44,1,R_Scores!$C$5:$C$44,"Paper condition",R_Scores!R$5:R$44,R_Scores!R8))^2-1,"")</f>
        <v>35</v>
      </c>
      <c r="FC8" s="1" t="str">
        <f aca="false">IF(AND(R_Scores!$B8=2,R_Scores!$C8="Tool condition",ISNUMBER(R_Scores!R8)),COUNTIFS(R_Scores!$B$5:$B$44,2,R_Scores!$C$5:$C$44,"Paper condition",R_Scores!R$5:R$44,"&lt;"&amp;R_Scores!R8)+0.5*COUNTIFS(R_Scores!$B$5:$B$44,2,R_Scores!$C$5:$C$44,"Paper condition",R_Scores!R$5:R$44,R_Scores!R8),"")</f>
        <v/>
      </c>
      <c r="FD8" s="1" t="str">
        <f aca="false">IF(AND(R_Scores!$B8=2,OR(R_Scores!$C8="Tool condition",R_Scores!$C8="Paper condition"),ISNUMBER(R_Scores!R8)),(COUNTIFS(R_Scores!$B$5:$B$44,2,R_Scores!$C$5:$C$44,"Tool condition",R_Scores!R$5:R$44,R_Scores!R8)+COUNTIFS(R_Scores!$B$5:$B$44,2,R_Scores!$C$5:$C$44,"Paper condition",R_Scores!R$5:R$44,R_Scores!R8))^2-1,"")</f>
        <v/>
      </c>
      <c r="FE8" s="1" t="n">
        <f aca="false">IF(ISNUMBER(R_Scores!R8),R_Scores!R8^2,"")</f>
        <v>900</v>
      </c>
    </row>
    <row r="9" customFormat="false" ht="14.25" hidden="false" customHeight="true" outlineLevel="0" collapsed="false">
      <c r="B9" s="1" t="n">
        <f aca="false">IF(AND(Scores!$B9=1,Scores!$C9="Tool condition",ISNUMBER(Scores!E9)),COUNTIFS(Scores!$B$5:$B$44,1,Scores!$C$5:$C$44,"Paper condition",Scores!E$5:E$44,"&lt;"&amp;Scores!E9)+0.5*COUNTIFS(Scores!$B$5:$B$44,1,Scores!$C$5:$C$44,"Paper condition",Scores!E$5:E$44,Scores!E9),"")</f>
        <v>7</v>
      </c>
      <c r="C9" s="1" t="n">
        <f aca="false">IF(AND(Scores!$B9=1,OR(Scores!$C9="Tool condition",Scores!$C9="Paper condition"),ISNUMBER(Scores!E9)),(COUNTIFS(Scores!$B$5:$B$44,1,Scores!$C$5:$C$44,"Tool condition",Scores!E$5:E$44,Scores!E9)+COUNTIFS(Scores!$B$5:$B$44,1,Scores!$C$5:$C$44,"Paper condition",Scores!E$5:E$44,Scores!E9))^2-1,"")</f>
        <v>255</v>
      </c>
      <c r="D9" s="1" t="str">
        <f aca="false">IF(AND(Scores!$B9=2,Scores!$C9="Tool condition",ISNUMBER(Scores!E9)),COUNTIFS(Scores!$B$5:$B$44,2,Scores!$C$5:$C$44,"Paper condition",Scores!E$5:E$44,"&lt;"&amp;Scores!E9)+0.5*COUNTIFS(Scores!$B$5:$B$44,2,Scores!$C$5:$C$44,"Paper condition",Scores!E$5:E$44,Scores!E9),"")</f>
        <v/>
      </c>
      <c r="E9" s="1" t="str">
        <f aca="false">IF(AND(Scores!$B9=2,OR(Scores!$C9="Tool condition",Scores!$C9="Paper condition"),ISNUMBER(Scores!E9)),(COUNTIFS(Scores!$B$5:$B$44,2,Scores!$C$5:$C$44,"Tool condition",Scores!E$5:E$44,Scores!E9)+COUNTIFS(Scores!$B$5:$B$44,2,Scores!$C$5:$C$44,"Paper condition",Scores!E$5:E$44,Scores!E9))^2-1,"")</f>
        <v/>
      </c>
      <c r="F9" s="1" t="n">
        <f aca="false">IF(ISNUMBER(Scores!E9),Scores!E9^2,"")</f>
        <v>4</v>
      </c>
      <c r="G9" s="1" t="n">
        <f aca="false">IF(AND(Scores!$B9=1,Scores!$C9="Tool condition",ISNUMBER(Scores!F9)),COUNTIFS(Scores!$B$5:$B$44,1,Scores!$C$5:$C$44,"Paper condition",Scores!F$5:F$44,"&lt;"&amp;Scores!F9)+0.5*COUNTIFS(Scores!$B$5:$B$44,1,Scores!$C$5:$C$44,"Paper condition",Scores!F$5:F$44,Scores!F9),"")</f>
        <v>8</v>
      </c>
      <c r="H9" s="1" t="n">
        <f aca="false">IF(AND(Scores!$B9=1,OR(Scores!$C9="Tool condition",Scores!$C9="Paper condition"),ISNUMBER(Scores!F9)),(COUNTIFS(Scores!$B$5:$B$44,1,Scores!$C$5:$C$44,"Tool condition",Scores!F$5:F$44,Scores!F9)+COUNTIFS(Scores!$B$5:$B$44,1,Scores!$C$5:$C$44,"Paper condition",Scores!F$5:F$44,Scores!F9))^2-1,"")</f>
        <v>195</v>
      </c>
      <c r="I9" s="1" t="str">
        <f aca="false">IF(AND(Scores!$B9=2,Scores!$C9="Tool condition",ISNUMBER(Scores!F9)),COUNTIFS(Scores!$B$5:$B$44,2,Scores!$C$5:$C$44,"Paper condition",Scores!F$5:F$44,"&lt;"&amp;Scores!F9)+0.5*COUNTIFS(Scores!$B$5:$B$44,2,Scores!$C$5:$C$44,"Paper condition",Scores!F$5:F$44,Scores!F9),"")</f>
        <v/>
      </c>
      <c r="J9" s="1" t="str">
        <f aca="false">IF(AND(Scores!$B9=2,OR(Scores!$C9="Tool condition",Scores!$C9="Paper condition"),ISNUMBER(Scores!F9)),(COUNTIFS(Scores!$B$5:$B$44,2,Scores!$C$5:$C$44,"Tool condition",Scores!F$5:F$44,Scores!F9)+COUNTIFS(Scores!$B$5:$B$44,2,Scores!$C$5:$C$44,"Paper condition",Scores!F$5:F$44,Scores!F9))^2-1,"")</f>
        <v/>
      </c>
      <c r="K9" s="1" t="n">
        <f aca="false">IF(ISNUMBER(Scores!F9),Scores!F9^2,"")</f>
        <v>4</v>
      </c>
      <c r="L9" s="1" t="n">
        <f aca="false">IF(AND(Scores!$B9=1,Scores!$C9="Tool condition",ISNUMBER(Scores!G9)),COUNTIFS(Scores!$B$5:$B$44,1,Scores!$C$5:$C$44,"Paper condition",Scores!G$5:G$44,"&lt;"&amp;Scores!G9)+0.5*COUNTIFS(Scores!$B$5:$B$44,1,Scores!$C$5:$C$44,"Paper condition",Scores!G$5:G$44,Scores!G9),"")</f>
        <v>6.5</v>
      </c>
      <c r="M9" s="1" t="n">
        <f aca="false">IF(AND(Scores!$B9=1,OR(Scores!$C9="Tool condition",Scores!$C9="Paper condition"),ISNUMBER(Scores!G9)),(COUNTIFS(Scores!$B$5:$B$44,1,Scores!$C$5:$C$44,"Tool condition",Scores!G$5:G$44,Scores!G9)+COUNTIFS(Scores!$B$5:$B$44,1,Scores!$C$5:$C$44,"Paper condition",Scores!G$5:G$44,Scores!G9))^2-1,"")</f>
        <v>288</v>
      </c>
      <c r="N9" s="1" t="str">
        <f aca="false">IF(AND(Scores!$B9=2,Scores!$C9="Tool condition",ISNUMBER(Scores!G9)),COUNTIFS(Scores!$B$5:$B$44,2,Scores!$C$5:$C$44,"Paper condition",Scores!G$5:G$44,"&lt;"&amp;Scores!G9)+0.5*COUNTIFS(Scores!$B$5:$B$44,2,Scores!$C$5:$C$44,"Paper condition",Scores!G$5:G$44,Scores!G9),"")</f>
        <v/>
      </c>
      <c r="O9" s="1" t="str">
        <f aca="false">IF(AND(Scores!$B9=2,OR(Scores!$C9="Tool condition",Scores!$C9="Paper condition"),ISNUMBER(Scores!G9)),(COUNTIFS(Scores!$B$5:$B$44,2,Scores!$C$5:$C$44,"Tool condition",Scores!G$5:G$44,Scores!G9)+COUNTIFS(Scores!$B$5:$B$44,2,Scores!$C$5:$C$44,"Paper condition",Scores!G$5:G$44,Scores!G9))^2-1,"")</f>
        <v/>
      </c>
      <c r="P9" s="1" t="n">
        <f aca="false">IF(ISNUMBER(Scores!G9),Scores!G9^2,"")</f>
        <v>4</v>
      </c>
      <c r="Q9" s="1" t="n">
        <f aca="false">IF(AND(Scores!$B9=1,Scores!$C9="Tool condition",ISNUMBER(Scores!H9)),COUNTIFS(Scores!$B$5:$B$44,1,Scores!$C$5:$C$44,"Paper condition",Scores!H$5:H$44,"&lt;"&amp;Scores!H9)+0.5*COUNTIFS(Scores!$B$5:$B$44,1,Scores!$C$5:$C$44,"Paper condition",Scores!H$5:H$44,Scores!H9),"")</f>
        <v>7</v>
      </c>
      <c r="R9" s="1" t="n">
        <f aca="false">IF(AND(Scores!$B9=1,OR(Scores!$C9="Tool condition",Scores!$C9="Paper condition"),ISNUMBER(Scores!H9)),(COUNTIFS(Scores!$B$5:$B$44,1,Scores!$C$5:$C$44,"Tool condition",Scores!H$5:H$44,Scores!H9)+COUNTIFS(Scores!$B$5:$B$44,1,Scores!$C$5:$C$44,"Paper condition",Scores!H$5:H$44,Scores!H9))^2-1,"")</f>
        <v>255</v>
      </c>
      <c r="S9" s="1" t="str">
        <f aca="false">IF(AND(Scores!$B9=2,Scores!$C9="Tool condition",ISNUMBER(Scores!H9)),COUNTIFS(Scores!$B$5:$B$44,2,Scores!$C$5:$C$44,"Paper condition",Scores!H$5:H$44,"&lt;"&amp;Scores!H9)+0.5*COUNTIFS(Scores!$B$5:$B$44,2,Scores!$C$5:$C$44,"Paper condition",Scores!H$5:H$44,Scores!H9),"")</f>
        <v/>
      </c>
      <c r="T9" s="1" t="str">
        <f aca="false">IF(AND(Scores!$B9=2,OR(Scores!$C9="Tool condition",Scores!$C9="Paper condition"),ISNUMBER(Scores!H9)),(COUNTIFS(Scores!$B$5:$B$44,2,Scores!$C$5:$C$44,"Tool condition",Scores!H$5:H$44,Scores!H9)+COUNTIFS(Scores!$B$5:$B$44,2,Scores!$C$5:$C$44,"Paper condition",Scores!H$5:H$44,Scores!H9))^2-1,"")</f>
        <v/>
      </c>
      <c r="U9" s="1" t="n">
        <f aca="false">IF(ISNUMBER(Scores!H9),Scores!H9^2,"")</f>
        <v>4</v>
      </c>
      <c r="V9" s="1" t="n">
        <f aca="false">IF(AND(Scores!$B9=1,Scores!$C9="Tool condition",ISNUMBER(Scores!I9)),COUNTIFS(Scores!$B$5:$B$44,1,Scores!$C$5:$C$44,"Paper condition",Scores!I$5:I$44,"&lt;"&amp;Scores!I9)+0.5*COUNTIFS(Scores!$B$5:$B$44,1,Scores!$C$5:$C$44,"Paper condition",Scores!I$5:I$44,Scores!I9),"")</f>
        <v>8</v>
      </c>
      <c r="W9" s="1" t="n">
        <f aca="false">IF(AND(Scores!$B9=1,OR(Scores!$C9="Tool condition",Scores!$C9="Paper condition"),ISNUMBER(Scores!I9)),(COUNTIFS(Scores!$B$5:$B$44,1,Scores!$C$5:$C$44,"Tool condition",Scores!I$5:I$44,Scores!I9)+COUNTIFS(Scores!$B$5:$B$44,1,Scores!$C$5:$C$44,"Paper condition",Scores!I$5:I$44,Scores!I9))^2-1,"")</f>
        <v>195</v>
      </c>
      <c r="X9" s="1" t="str">
        <f aca="false">IF(AND(Scores!$B9=2,Scores!$C9="Tool condition",ISNUMBER(Scores!I9)),COUNTIFS(Scores!$B$5:$B$44,2,Scores!$C$5:$C$44,"Paper condition",Scores!I$5:I$44,"&lt;"&amp;Scores!I9)+0.5*COUNTIFS(Scores!$B$5:$B$44,2,Scores!$C$5:$C$44,"Paper condition",Scores!I$5:I$44,Scores!I9),"")</f>
        <v/>
      </c>
      <c r="Y9" s="1" t="str">
        <f aca="false">IF(AND(Scores!$B9=2,OR(Scores!$C9="Tool condition",Scores!$C9="Paper condition"),ISNUMBER(Scores!I9)),(COUNTIFS(Scores!$B$5:$B$44,2,Scores!$C$5:$C$44,"Tool condition",Scores!I$5:I$44,Scores!I9)+COUNTIFS(Scores!$B$5:$B$44,2,Scores!$C$5:$C$44,"Paper condition",Scores!I$5:I$44,Scores!I9))^2-1,"")</f>
        <v/>
      </c>
      <c r="Z9" s="1" t="n">
        <f aca="false">IF(ISNUMBER(Scores!I9),Scores!I9^2,"")</f>
        <v>4</v>
      </c>
      <c r="AA9" s="1" t="n">
        <f aca="false">IF(AND(Scores!$B9=1,Scores!$C9="Tool condition",ISNUMBER(Scores!J9)),COUNTIFS(Scores!$B$5:$B$44,1,Scores!$C$5:$C$44,"Paper condition",Scores!J$5:J$44,"&lt;"&amp;Scores!J9)+0.5*COUNTIFS(Scores!$B$5:$B$44,1,Scores!$C$5:$C$44,"Paper condition",Scores!J$5:J$44,Scores!J9),"")</f>
        <v>7.5</v>
      </c>
      <c r="AB9" s="1" t="n">
        <f aca="false">IF(AND(Scores!$B9=1,OR(Scores!$C9="Tool condition",Scores!$C9="Paper condition"),ISNUMBER(Scores!J9)),(COUNTIFS(Scores!$B$5:$B$44,1,Scores!$C$5:$C$44,"Tool condition",Scores!J$5:J$44,Scores!J9)+COUNTIFS(Scores!$B$5:$B$44,1,Scores!$C$5:$C$44,"Paper condition",Scores!J$5:J$44,Scores!J9))^2-1,"")</f>
        <v>224</v>
      </c>
      <c r="AC9" s="1" t="str">
        <f aca="false">IF(AND(Scores!$B9=2,Scores!$C9="Tool condition",ISNUMBER(Scores!J9)),COUNTIFS(Scores!$B$5:$B$44,2,Scores!$C$5:$C$44,"Paper condition",Scores!J$5:J$44,"&lt;"&amp;Scores!J9)+0.5*COUNTIFS(Scores!$B$5:$B$44,2,Scores!$C$5:$C$44,"Paper condition",Scores!J$5:J$44,Scores!J9),"")</f>
        <v/>
      </c>
      <c r="AD9" s="1" t="str">
        <f aca="false">IF(AND(Scores!$B9=2,OR(Scores!$C9="Tool condition",Scores!$C9="Paper condition"),ISNUMBER(Scores!J9)),(COUNTIFS(Scores!$B$5:$B$44,2,Scores!$C$5:$C$44,"Tool condition",Scores!J$5:J$44,Scores!J9)+COUNTIFS(Scores!$B$5:$B$44,2,Scores!$C$5:$C$44,"Paper condition",Scores!J$5:J$44,Scores!J9))^2-1,"")</f>
        <v/>
      </c>
      <c r="AE9" s="1" t="n">
        <f aca="false">IF(ISNUMBER(Scores!J9),Scores!J9^2,"")</f>
        <v>4</v>
      </c>
      <c r="AF9" s="1" t="n">
        <f aca="false">IF(AND(Scores!$B9=1,Scores!$C9="Tool condition",ISNUMBER(Scores!K9)),COUNTIFS(Scores!$B$5:$B$44,1,Scores!$C$5:$C$44,"Paper condition",Scores!K$5:K$44,"&lt;"&amp;Scores!K9)+0.5*COUNTIFS(Scores!$B$5:$B$44,1,Scores!$C$5:$C$44,"Paper condition",Scores!K$5:K$44,Scores!K9),"")</f>
        <v>7</v>
      </c>
      <c r="AG9" s="1" t="n">
        <f aca="false">IF(AND(Scores!$B9=1,OR(Scores!$C9="Tool condition",Scores!$C9="Paper condition"),ISNUMBER(Scores!K9)),(COUNTIFS(Scores!$B$5:$B$44,1,Scores!$C$5:$C$44,"Tool condition",Scores!K$5:K$44,Scores!K9)+COUNTIFS(Scores!$B$5:$B$44,1,Scores!$C$5:$C$44,"Paper condition",Scores!K$5:K$44,Scores!K9))^2-1,"")</f>
        <v>255</v>
      </c>
      <c r="AH9" s="1" t="str">
        <f aca="false">IF(AND(Scores!$B9=2,Scores!$C9="Tool condition",ISNUMBER(Scores!K9)),COUNTIFS(Scores!$B$5:$B$44,2,Scores!$C$5:$C$44,"Paper condition",Scores!K$5:K$44,"&lt;"&amp;Scores!K9)+0.5*COUNTIFS(Scores!$B$5:$B$44,2,Scores!$C$5:$C$44,"Paper condition",Scores!K$5:K$44,Scores!K9),"")</f>
        <v/>
      </c>
      <c r="AI9" s="1" t="str">
        <f aca="false">IF(AND(Scores!$B9=2,OR(Scores!$C9="Tool condition",Scores!$C9="Paper condition"),ISNUMBER(Scores!K9)),(COUNTIFS(Scores!$B$5:$B$44,2,Scores!$C$5:$C$44,"Tool condition",Scores!K$5:K$44,Scores!K9)+COUNTIFS(Scores!$B$5:$B$44,2,Scores!$C$5:$C$44,"Paper condition",Scores!K$5:K$44,Scores!K9))^2-1,"")</f>
        <v/>
      </c>
      <c r="AJ9" s="1" t="n">
        <f aca="false">IF(ISNUMBER(Scores!K9),Scores!K9^2,"")</f>
        <v>4</v>
      </c>
      <c r="AK9" s="1" t="n">
        <f aca="false">IF(AND(Scores!$B9=1,Scores!$C9="Tool condition",ISNUMBER(Scores!L9)),COUNTIFS(Scores!$B$5:$B$44,1,Scores!$C$5:$C$44,"Paper condition",Scores!L$5:L$44,"&lt;"&amp;Scores!L9)+0.5*COUNTIFS(Scores!$B$5:$B$44,1,Scores!$C$5:$C$44,"Paper condition",Scores!L$5:L$44,Scores!L9),"")</f>
        <v>6.5</v>
      </c>
      <c r="AL9" s="1" t="n">
        <f aca="false">IF(AND(Scores!$B9=1,OR(Scores!$C9="Tool condition",Scores!$C9="Paper condition"),ISNUMBER(Scores!L9)),(COUNTIFS(Scores!$B$5:$B$44,1,Scores!$C$5:$C$44,"Tool condition",Scores!L$5:L$44,Scores!L9)+COUNTIFS(Scores!$B$5:$B$44,1,Scores!$C$5:$C$44,"Paper condition",Scores!L$5:L$44,Scores!L9))^2-1,"")</f>
        <v>288</v>
      </c>
      <c r="AM9" s="1" t="str">
        <f aca="false">IF(AND(Scores!$B9=2,Scores!$C9="Tool condition",ISNUMBER(Scores!L9)),COUNTIFS(Scores!$B$5:$B$44,2,Scores!$C$5:$C$44,"Paper condition",Scores!L$5:L$44,"&lt;"&amp;Scores!L9)+0.5*COUNTIFS(Scores!$B$5:$B$44,2,Scores!$C$5:$C$44,"Paper condition",Scores!L$5:L$44,Scores!L9),"")</f>
        <v/>
      </c>
      <c r="AN9" s="1" t="str">
        <f aca="false">IF(AND(Scores!$B9=2,OR(Scores!$C9="Tool condition",Scores!$C9="Paper condition"),ISNUMBER(Scores!L9)),(COUNTIFS(Scores!$B$5:$B$44,2,Scores!$C$5:$C$44,"Tool condition",Scores!L$5:L$44,Scores!L9)+COUNTIFS(Scores!$B$5:$B$44,2,Scores!$C$5:$C$44,"Paper condition",Scores!L$5:L$44,Scores!L9))^2-1,"")</f>
        <v/>
      </c>
      <c r="AO9" s="1" t="n">
        <f aca="false">IF(ISNUMBER(Scores!L9),Scores!L9^2,"")</f>
        <v>4</v>
      </c>
      <c r="AP9" s="1" t="n">
        <f aca="false">IF(AND(Scores!$B9=1,Scores!$C9="Tool condition",ISNUMBER(Scores!M9)),COUNTIFS(Scores!$B$5:$B$44,1,Scores!$C$5:$C$44,"Paper condition",Scores!M$5:M$44,"&lt;"&amp;Scores!M9)+0.5*COUNTIFS(Scores!$B$5:$B$44,1,Scores!$C$5:$C$44,"Paper condition",Scores!M$5:M$44,Scores!M9),"")</f>
        <v>6.5</v>
      </c>
      <c r="AQ9" s="1" t="n">
        <f aca="false">IF(AND(Scores!$B9=1,OR(Scores!$C9="Tool condition",Scores!$C9="Paper condition"),ISNUMBER(Scores!M9)),(COUNTIFS(Scores!$B$5:$B$44,1,Scores!$C$5:$C$44,"Tool condition",Scores!M$5:M$44,Scores!M9)+COUNTIFS(Scores!$B$5:$B$44,1,Scores!$C$5:$C$44,"Paper condition",Scores!M$5:M$44,Scores!M9))^2-1,"")</f>
        <v>288</v>
      </c>
      <c r="AR9" s="1" t="str">
        <f aca="false">IF(AND(Scores!$B9=2,Scores!$C9="Tool condition",ISNUMBER(Scores!M9)),COUNTIFS(Scores!$B$5:$B$44,2,Scores!$C$5:$C$44,"Paper condition",Scores!M$5:M$44,"&lt;"&amp;Scores!M9)+0.5*COUNTIFS(Scores!$B$5:$B$44,2,Scores!$C$5:$C$44,"Paper condition",Scores!M$5:M$44,Scores!M9),"")</f>
        <v/>
      </c>
      <c r="AS9" s="1" t="str">
        <f aca="false">IF(AND(Scores!$B9=2,OR(Scores!$C9="Tool condition",Scores!$C9="Paper condition"),ISNUMBER(Scores!M9)),(COUNTIFS(Scores!$B$5:$B$44,2,Scores!$C$5:$C$44,"Tool condition",Scores!M$5:M$44,Scores!M9)+COUNTIFS(Scores!$B$5:$B$44,2,Scores!$C$5:$C$44,"Paper condition",Scores!M$5:M$44,Scores!M9))^2-1,"")</f>
        <v/>
      </c>
      <c r="AT9" s="1" t="n">
        <f aca="false">IF(ISNUMBER(Scores!M9),Scores!M9^2,"")</f>
        <v>4</v>
      </c>
      <c r="AU9" s="1" t="n">
        <f aca="false">IF(AND(Scores!$B9=1,Scores!$C9="Tool condition",ISNUMBER(Scores!N9)),COUNTIFS(Scores!$B$5:$B$44,1,Scores!$C$5:$C$44,"Paper condition",Scores!N$5:N$44,"&lt;"&amp;Scores!N9)+0.5*COUNTIFS(Scores!$B$5:$B$44,1,Scores!$C$5:$C$44,"Paper condition",Scores!N$5:N$44,Scores!N9),"")</f>
        <v>8</v>
      </c>
      <c r="AV9" s="1" t="n">
        <f aca="false">IF(AND(Scores!$B9=1,OR(Scores!$C9="Tool condition",Scores!$C9="Paper condition"),ISNUMBER(Scores!N9)),(COUNTIFS(Scores!$B$5:$B$44,1,Scores!$C$5:$C$44,"Tool condition",Scores!N$5:N$44,Scores!N9)+COUNTIFS(Scores!$B$5:$B$44,1,Scores!$C$5:$C$44,"Paper condition",Scores!N$5:N$44,Scores!N9))^2-1,"")</f>
        <v>195</v>
      </c>
      <c r="AW9" s="1" t="str">
        <f aca="false">IF(AND(Scores!$B9=2,Scores!$C9="Tool condition",ISNUMBER(Scores!N9)),COUNTIFS(Scores!$B$5:$B$44,2,Scores!$C$5:$C$44,"Paper condition",Scores!N$5:N$44,"&lt;"&amp;Scores!N9)+0.5*COUNTIFS(Scores!$B$5:$B$44,2,Scores!$C$5:$C$44,"Paper condition",Scores!N$5:N$44,Scores!N9),"")</f>
        <v/>
      </c>
      <c r="AX9" s="1" t="str">
        <f aca="false">IF(AND(Scores!$B9=2,OR(Scores!$C9="Tool condition",Scores!$C9="Paper condition"),ISNUMBER(Scores!N9)),(COUNTIFS(Scores!$B$5:$B$44,2,Scores!$C$5:$C$44,"Tool condition",Scores!N$5:N$44,Scores!N9)+COUNTIFS(Scores!$B$5:$B$44,2,Scores!$C$5:$C$44,"Paper condition",Scores!N$5:N$44,Scores!N9))^2-1,"")</f>
        <v/>
      </c>
      <c r="AY9" s="1" t="n">
        <f aca="false">IF(ISNUMBER(Scores!N9),Scores!N9^2,"")</f>
        <v>4</v>
      </c>
      <c r="AZ9" s="1" t="n">
        <f aca="false">IF(AND(Scores!$B9=1,Scores!$C9="Tool condition",ISNUMBER(Scores!O9)),COUNTIFS(Scores!$B$5:$B$44,1,Scores!$C$5:$C$44,"Paper condition",Scores!O$5:O$44,"&lt;"&amp;Scores!O9)+0.5*COUNTIFS(Scores!$B$5:$B$44,1,Scores!$C$5:$C$44,"Paper condition",Scores!O$5:O$44,Scores!O9),"")</f>
        <v>7.5</v>
      </c>
      <c r="BA9" s="1" t="n">
        <f aca="false">IF(AND(Scores!$B9=1,OR(Scores!$C9="Tool condition",Scores!$C9="Paper condition"),ISNUMBER(Scores!O9)),(COUNTIFS(Scores!$B$5:$B$44,1,Scores!$C$5:$C$44,"Tool condition",Scores!O$5:O$44,Scores!O9)+COUNTIFS(Scores!$B$5:$B$44,1,Scores!$C$5:$C$44,"Paper condition",Scores!O$5:O$44,Scores!O9))^2-1,"")</f>
        <v>224</v>
      </c>
      <c r="BB9" s="1" t="str">
        <f aca="false">IF(AND(Scores!$B9=2,Scores!$C9="Tool condition",ISNUMBER(Scores!O9)),COUNTIFS(Scores!$B$5:$B$44,2,Scores!$C$5:$C$44,"Paper condition",Scores!O$5:O$44,"&lt;"&amp;Scores!O9)+0.5*COUNTIFS(Scores!$B$5:$B$44,2,Scores!$C$5:$C$44,"Paper condition",Scores!O$5:O$44,Scores!O9),"")</f>
        <v/>
      </c>
      <c r="BC9" s="1" t="str">
        <f aca="false">IF(AND(Scores!$B9=2,OR(Scores!$C9="Tool condition",Scores!$C9="Paper condition"),ISNUMBER(Scores!O9)),(COUNTIFS(Scores!$B$5:$B$44,2,Scores!$C$5:$C$44,"Tool condition",Scores!O$5:O$44,Scores!O9)+COUNTIFS(Scores!$B$5:$B$44,2,Scores!$C$5:$C$44,"Paper condition",Scores!O$5:O$44,Scores!O9))^2-1,"")</f>
        <v/>
      </c>
      <c r="BD9" s="1" t="n">
        <f aca="false">IF(ISNUMBER(Scores!O9),Scores!O9^2,"")</f>
        <v>4</v>
      </c>
      <c r="BE9" s="1" t="n">
        <f aca="false">IF(AND(Scores!$B9=1,Scores!$C9="Tool condition",ISNUMBER(Scores!P9)),COUNTIFS(Scores!$B$5:$B$44,1,Scores!$C$5:$C$44,"Paper condition",Scores!P$5:P$44,"&lt;"&amp;Scores!P9)+0.5*COUNTIFS(Scores!$B$5:$B$44,1,Scores!$C$5:$C$44,"Paper condition",Scores!P$5:P$44,Scores!P9),"")</f>
        <v>8.5</v>
      </c>
      <c r="BF9" s="1" t="n">
        <f aca="false">IF(AND(Scores!$B9=1,OR(Scores!$C9="Tool condition",Scores!$C9="Paper condition"),ISNUMBER(Scores!P9)),(COUNTIFS(Scores!$B$5:$B$44,1,Scores!$C$5:$C$44,"Tool condition",Scores!P$5:P$44,Scores!P9)+COUNTIFS(Scores!$B$5:$B$44,1,Scores!$C$5:$C$44,"Paper condition",Scores!P$5:P$44,Scores!P9))^2-1,"")</f>
        <v>168</v>
      </c>
      <c r="BG9" s="1" t="str">
        <f aca="false">IF(AND(Scores!$B9=2,Scores!$C9="Tool condition",ISNUMBER(Scores!P9)),COUNTIFS(Scores!$B$5:$B$44,2,Scores!$C$5:$C$44,"Paper condition",Scores!P$5:P$44,"&lt;"&amp;Scores!P9)+0.5*COUNTIFS(Scores!$B$5:$B$44,2,Scores!$C$5:$C$44,"Paper condition",Scores!P$5:P$44,Scores!P9),"")</f>
        <v/>
      </c>
      <c r="BH9" s="1" t="str">
        <f aca="false">IF(AND(Scores!$B9=2,OR(Scores!$C9="Tool condition",Scores!$C9="Paper condition"),ISNUMBER(Scores!P9)),(COUNTIFS(Scores!$B$5:$B$44,2,Scores!$C$5:$C$44,"Tool condition",Scores!P$5:P$44,Scores!P9)+COUNTIFS(Scores!$B$5:$B$44,2,Scores!$C$5:$C$44,"Paper condition",Scores!P$5:P$44,Scores!P9))^2-1,"")</f>
        <v/>
      </c>
      <c r="BI9" s="1" t="n">
        <f aca="false">IF(ISNUMBER(Scores!P9),Scores!P9^2,"")</f>
        <v>4</v>
      </c>
      <c r="BJ9" s="1" t="n">
        <f aca="false">IF(AND(R_Scores!$B9=1,R_Scores!$C9="Tool condition",ISNUMBER(R_Scores!E9)),COUNTIFS(R_Scores!$B$5:$B$44,1,R_Scores!$C$5:$C$44,"Paper condition",R_Scores!E$5:E$44,"&lt;"&amp;R_Scores!E9)+0.5*COUNTIFS(R_Scores!$B$5:$B$44,1,R_Scores!$C$5:$C$44,"Paper condition",R_Scores!E$5:E$44,R_Scores!E9),"")</f>
        <v>7</v>
      </c>
      <c r="BK9" s="1" t="n">
        <f aca="false">IF(AND(R_Scores!$B9=1,OR(R_Scores!$C9="Tool condition",R_Scores!$C9="Paper condition"),ISNUMBER(R_Scores!E9)),(COUNTIFS(R_Scores!$B$5:$B$44,1,R_Scores!$C$5:$C$44,"Tool condition",R_Scores!E$5:E$44,R_Scores!E9)+COUNTIFS(R_Scores!$B$5:$B$44,1,R_Scores!$C$5:$C$44,"Paper condition",R_Scores!E$5:E$44,R_Scores!E9))^2-1,"")</f>
        <v>224</v>
      </c>
      <c r="BL9" s="1" t="str">
        <f aca="false">IF(AND(R_Scores!$B9=2,R_Scores!$C9="Tool condition",ISNUMBER(R_Scores!E9)),COUNTIFS(R_Scores!$B$5:$B$44,2,R_Scores!$C$5:$C$44,"Paper condition",R_Scores!E$5:E$44,"&lt;"&amp;R_Scores!E9)+0.5*COUNTIFS(R_Scores!$B$5:$B$44,2,R_Scores!$C$5:$C$44,"Paper condition",R_Scores!E$5:E$44,R_Scores!E9),"")</f>
        <v/>
      </c>
      <c r="BM9" s="1" t="str">
        <f aca="false">IF(AND(R_Scores!$B9=2,OR(R_Scores!$C9="Tool condition",R_Scores!$C9="Paper condition"),ISNUMBER(R_Scores!E9)),(COUNTIFS(R_Scores!$B$5:$B$44,2,R_Scores!$C$5:$C$44,"Tool condition",R_Scores!E$5:E$44,R_Scores!E9)+COUNTIFS(R_Scores!$B$5:$B$44,2,R_Scores!$C$5:$C$44,"Paper condition",R_Scores!E$5:E$44,R_Scores!E9))^2-1,"")</f>
        <v/>
      </c>
      <c r="BN9" s="1" t="n">
        <f aca="false">IF(ISNUMBER(R_Scores!E9),R_Scores!E9^2,"")</f>
        <v>1</v>
      </c>
      <c r="BO9" s="1" t="n">
        <f aca="false">IF(AND(R_Scores!$B9=1,R_Scores!$C9="Tool condition",ISNUMBER(R_Scores!F9)),COUNTIFS(R_Scores!$B$5:$B$44,1,R_Scores!$C$5:$C$44,"Paper condition",R_Scores!F$5:F$44,"&lt;"&amp;R_Scores!F9)+0.5*COUNTIFS(R_Scores!$B$5:$B$44,1,R_Scores!$C$5:$C$44,"Paper condition",R_Scores!F$5:F$44,R_Scores!F9),"")</f>
        <v>2</v>
      </c>
      <c r="BP9" s="1" t="n">
        <f aca="false">IF(AND(R_Scores!$B9=1,OR(R_Scores!$C9="Tool condition",R_Scores!$C9="Paper condition"),ISNUMBER(R_Scores!F9)),(COUNTIFS(R_Scores!$B$5:$B$44,1,R_Scores!$C$5:$C$44,"Tool condition",R_Scores!F$5:F$44,R_Scores!F9)+COUNTIFS(R_Scores!$B$5:$B$44,1,R_Scores!$C$5:$C$44,"Paper condition",R_Scores!F$5:F$44,R_Scores!F9))^2-1,"")</f>
        <v>35</v>
      </c>
      <c r="BQ9" s="1" t="str">
        <f aca="false">IF(AND(R_Scores!$B9=2,R_Scores!$C9="Tool condition",ISNUMBER(R_Scores!F9)),COUNTIFS(R_Scores!$B$5:$B$44,2,R_Scores!$C$5:$C$44,"Paper condition",R_Scores!F$5:F$44,"&lt;"&amp;R_Scores!F9)+0.5*COUNTIFS(R_Scores!$B$5:$B$44,2,R_Scores!$C$5:$C$44,"Paper condition",R_Scores!F$5:F$44,R_Scores!F9),"")</f>
        <v/>
      </c>
      <c r="BR9" s="1" t="str">
        <f aca="false">IF(AND(R_Scores!$B9=2,OR(R_Scores!$C9="Tool condition",R_Scores!$C9="Paper condition"),ISNUMBER(R_Scores!F9)),(COUNTIFS(R_Scores!$B$5:$B$44,2,R_Scores!$C$5:$C$44,"Tool condition",R_Scores!F$5:F$44,R_Scores!F9)+COUNTIFS(R_Scores!$B$5:$B$44,2,R_Scores!$C$5:$C$44,"Paper condition",R_Scores!F$5:F$44,R_Scores!F9))^2-1,"")</f>
        <v/>
      </c>
      <c r="BS9" s="1" t="n">
        <f aca="false">IF(ISNUMBER(R_Scores!F9),R_Scores!F9^2,"")</f>
        <v>0</v>
      </c>
      <c r="BT9" s="1" t="str">
        <f aca="false">IF(AND(R_Scores!$B9=1,R_Scores!$C9="Tool condition",ISNUMBER(R_Scores!G9)),COUNTIFS(R_Scores!$B$5:$B$44,1,R_Scores!$C$5:$C$44,"Paper condition",R_Scores!G$5:G$44,"&lt;"&amp;R_Scores!G9)+0.5*COUNTIFS(R_Scores!$B$5:$B$44,1,R_Scores!$C$5:$C$44,"Paper condition",R_Scores!G$5:G$44,R_Scores!G9),"")</f>
        <v/>
      </c>
      <c r="BU9" s="1" t="str">
        <f aca="false">IF(AND(R_Scores!$B9=1,OR(R_Scores!$C9="Tool condition",R_Scores!$C9="Paper condition"),ISNUMBER(R_Scores!G9)),(COUNTIFS(R_Scores!$B$5:$B$44,1,R_Scores!$C$5:$C$44,"Tool condition",R_Scores!G$5:G$44,R_Scores!G9)+COUNTIFS(R_Scores!$B$5:$B$44,1,R_Scores!$C$5:$C$44,"Paper condition",R_Scores!G$5:G$44,R_Scores!G9))^2-1,"")</f>
        <v/>
      </c>
      <c r="BV9" s="1" t="str">
        <f aca="false">IF(AND(R_Scores!$B9=2,R_Scores!$C9="Tool condition",ISNUMBER(R_Scores!G9)),COUNTIFS(R_Scores!$B$5:$B$44,2,R_Scores!$C$5:$C$44,"Paper condition",R_Scores!G$5:G$44,"&lt;"&amp;R_Scores!G9)+0.5*COUNTIFS(R_Scores!$B$5:$B$44,2,R_Scores!$C$5:$C$44,"Paper condition",R_Scores!G$5:G$44,R_Scores!G9),"")</f>
        <v/>
      </c>
      <c r="BW9" s="1" t="str">
        <f aca="false">IF(AND(R_Scores!$B9=2,OR(R_Scores!$C9="Tool condition",R_Scores!$C9="Paper condition"),ISNUMBER(R_Scores!G9)),(COUNTIFS(R_Scores!$B$5:$B$44,2,R_Scores!$C$5:$C$44,"Tool condition",R_Scores!G$5:G$44,R_Scores!G9)+COUNTIFS(R_Scores!$B$5:$B$44,2,R_Scores!$C$5:$C$44,"Paper condition",R_Scores!G$5:G$44,R_Scores!G9))^2-1,"")</f>
        <v/>
      </c>
      <c r="BX9" s="1" t="str">
        <f aca="false">IF(ISNUMBER(R_Scores!G9),R_Scores!G9^2,"")</f>
        <v/>
      </c>
      <c r="BY9" s="1" t="str">
        <f aca="false">IF(AND(R_Scores!$B9=1,R_Scores!$C9="Tool condition",ISNUMBER(R_Scores!H9)),COUNTIFS(R_Scores!$B$5:$B$44,1,R_Scores!$C$5:$C$44,"Paper condition",R_Scores!H$5:H$44,"&lt;"&amp;R_Scores!H9)+0.5*COUNTIFS(R_Scores!$B$5:$B$44,1,R_Scores!$C$5:$C$44,"Paper condition",R_Scores!H$5:H$44,R_Scores!H9),"")</f>
        <v/>
      </c>
      <c r="BZ9" s="1" t="str">
        <f aca="false">IF(AND(R_Scores!$B9=1,OR(R_Scores!$C9="Tool condition",R_Scores!$C9="Paper condition"),ISNUMBER(R_Scores!H9)),(COUNTIFS(R_Scores!$B$5:$B$44,1,R_Scores!$C$5:$C$44,"Tool condition",R_Scores!H$5:H$44,R_Scores!H9)+COUNTIFS(R_Scores!$B$5:$B$44,1,R_Scores!$C$5:$C$44,"Paper condition",R_Scores!H$5:H$44,R_Scores!H9))^2-1,"")</f>
        <v/>
      </c>
      <c r="CA9" s="1" t="str">
        <f aca="false">IF(AND(R_Scores!$B9=2,R_Scores!$C9="Tool condition",ISNUMBER(R_Scores!H9)),COUNTIFS(R_Scores!$B$5:$B$44,2,R_Scores!$C$5:$C$44,"Paper condition",R_Scores!H$5:H$44,"&lt;"&amp;R_Scores!H9)+0.5*COUNTIFS(R_Scores!$B$5:$B$44,2,R_Scores!$C$5:$C$44,"Paper condition",R_Scores!H$5:H$44,R_Scores!H9),"")</f>
        <v/>
      </c>
      <c r="CB9" s="1" t="str">
        <f aca="false">IF(AND(R_Scores!$B9=2,OR(R_Scores!$C9="Tool condition",R_Scores!$C9="Paper condition"),ISNUMBER(R_Scores!H9)),(COUNTIFS(R_Scores!$B$5:$B$44,2,R_Scores!$C$5:$C$44,"Tool condition",R_Scores!H$5:H$44,R_Scores!H9)+COUNTIFS(R_Scores!$B$5:$B$44,2,R_Scores!$C$5:$C$44,"Paper condition",R_Scores!H$5:H$44,R_Scores!H9))^2-1,"")</f>
        <v/>
      </c>
      <c r="CC9" s="1" t="str">
        <f aca="false">IF(ISNUMBER(R_Scores!H9),R_Scores!H9^2,"")</f>
        <v/>
      </c>
      <c r="CD9" s="1" t="n">
        <f aca="false">IF(AND(R_Scores!$B9=1,R_Scores!$C9="Tool condition",ISNUMBER(R_Scores!I9)),COUNTIFS(R_Scores!$B$5:$B$44,1,R_Scores!$C$5:$C$44,"Paper condition",R_Scores!I$5:I$44,"&lt;"&amp;R_Scores!I9)+0.5*COUNTIFS(R_Scores!$B$5:$B$44,1,R_Scores!$C$5:$C$44,"Paper condition",R_Scores!I$5:I$44,R_Scores!I9),"")</f>
        <v>7.5</v>
      </c>
      <c r="CE9" s="1" t="n">
        <f aca="false">IF(AND(R_Scores!$B9=1,OR(R_Scores!$C9="Tool condition",R_Scores!$C9="Paper condition"),ISNUMBER(R_Scores!I9)),(COUNTIFS(R_Scores!$B$5:$B$44,1,R_Scores!$C$5:$C$44,"Tool condition",R_Scores!I$5:I$44,R_Scores!I9)+COUNTIFS(R_Scores!$B$5:$B$44,1,R_Scores!$C$5:$C$44,"Paper condition",R_Scores!I$5:I$44,R_Scores!I9))^2-1,"")</f>
        <v>168</v>
      </c>
      <c r="CF9" s="1" t="str">
        <f aca="false">IF(AND(R_Scores!$B9=2,R_Scores!$C9="Tool condition",ISNUMBER(R_Scores!I9)),COUNTIFS(R_Scores!$B$5:$B$44,2,R_Scores!$C$5:$C$44,"Paper condition",R_Scores!I$5:I$44,"&lt;"&amp;R_Scores!I9)+0.5*COUNTIFS(R_Scores!$B$5:$B$44,2,R_Scores!$C$5:$C$44,"Paper condition",R_Scores!I$5:I$44,R_Scores!I9),"")</f>
        <v/>
      </c>
      <c r="CG9" s="1" t="str">
        <f aca="false">IF(AND(R_Scores!$B9=2,OR(R_Scores!$C9="Tool condition",R_Scores!$C9="Paper condition"),ISNUMBER(R_Scores!I9)),(COUNTIFS(R_Scores!$B$5:$B$44,2,R_Scores!$C$5:$C$44,"Tool condition",R_Scores!I$5:I$44,R_Scores!I9)+COUNTIFS(R_Scores!$B$5:$B$44,2,R_Scores!$C$5:$C$44,"Paper condition",R_Scores!I$5:I$44,R_Scores!I9))^2-1,"")</f>
        <v/>
      </c>
      <c r="CH9" s="1" t="n">
        <f aca="false">IF(ISNUMBER(R_Scores!I9),R_Scores!I9^2,"")</f>
        <v>1</v>
      </c>
      <c r="CI9" s="1" t="n">
        <f aca="false">IF(AND(R_Scores!$B9=1,R_Scores!$C9="Tool condition",ISNUMBER(R_Scores!J9)),COUNTIFS(R_Scores!$B$5:$B$44,1,R_Scores!$C$5:$C$44,"Paper condition",R_Scores!J$5:J$44,"&lt;"&amp;R_Scores!J9)+0.5*COUNTIFS(R_Scores!$B$5:$B$44,1,R_Scores!$C$5:$C$44,"Paper condition",R_Scores!J$5:J$44,R_Scores!J9),"")</f>
        <v>7</v>
      </c>
      <c r="CJ9" s="1" t="n">
        <f aca="false">IF(AND(R_Scores!$B9=1,OR(R_Scores!$C9="Tool condition",R_Scores!$C9="Paper condition"),ISNUMBER(R_Scores!J9)),(COUNTIFS(R_Scores!$B$5:$B$44,1,R_Scores!$C$5:$C$44,"Tool condition",R_Scores!J$5:J$44,R_Scores!J9)+COUNTIFS(R_Scores!$B$5:$B$44,1,R_Scores!$C$5:$C$44,"Paper condition",R_Scores!J$5:J$44,R_Scores!J9))^2-1,"")</f>
        <v>224</v>
      </c>
      <c r="CK9" s="1" t="str">
        <f aca="false">IF(AND(R_Scores!$B9=2,R_Scores!$C9="Tool condition",ISNUMBER(R_Scores!J9)),COUNTIFS(R_Scores!$B$5:$B$44,2,R_Scores!$C$5:$C$44,"Paper condition",R_Scores!J$5:J$44,"&lt;"&amp;R_Scores!J9)+0.5*COUNTIFS(R_Scores!$B$5:$B$44,2,R_Scores!$C$5:$C$44,"Paper condition",R_Scores!J$5:J$44,R_Scores!J9),"")</f>
        <v/>
      </c>
      <c r="CL9" s="1" t="str">
        <f aca="false">IF(AND(R_Scores!$B9=2,OR(R_Scores!$C9="Tool condition",R_Scores!$C9="Paper condition"),ISNUMBER(R_Scores!J9)),(COUNTIFS(R_Scores!$B$5:$B$44,2,R_Scores!$C$5:$C$44,"Tool condition",R_Scores!J$5:J$44,R_Scores!J9)+COUNTIFS(R_Scores!$B$5:$B$44,2,R_Scores!$C$5:$C$44,"Paper condition",R_Scores!J$5:J$44,R_Scores!J9))^2-1,"")</f>
        <v/>
      </c>
      <c r="CM9" s="1" t="n">
        <f aca="false">IF(ISNUMBER(R_Scores!J9),R_Scores!J9^2,"")</f>
        <v>1</v>
      </c>
      <c r="CN9" s="1" t="str">
        <f aca="false">IF(AND(R_Scores!$B9=1,R_Scores!$C9="Tool condition",ISNUMBER(R_Scores!K9)),COUNTIFS(R_Scores!$B$5:$B$44,1,R_Scores!$C$5:$C$44,"Paper condition",R_Scores!K$5:K$44,"&lt;"&amp;R_Scores!K9)+0.5*COUNTIFS(R_Scores!$B$5:$B$44,1,R_Scores!$C$5:$C$44,"Paper condition",R_Scores!K$5:K$44,R_Scores!K9),"")</f>
        <v/>
      </c>
      <c r="CO9" s="1" t="str">
        <f aca="false">IF(AND(R_Scores!$B9=1,OR(R_Scores!$C9="Tool condition",R_Scores!$C9="Paper condition"),ISNUMBER(R_Scores!K9)),(COUNTIFS(R_Scores!$B$5:$B$44,1,R_Scores!$C$5:$C$44,"Tool condition",R_Scores!K$5:K$44,R_Scores!K9)+COUNTIFS(R_Scores!$B$5:$B$44,1,R_Scores!$C$5:$C$44,"Paper condition",R_Scores!K$5:K$44,R_Scores!K9))^2-1,"")</f>
        <v/>
      </c>
      <c r="CP9" s="1" t="str">
        <f aca="false">IF(AND(R_Scores!$B9=2,R_Scores!$C9="Tool condition",ISNUMBER(R_Scores!K9)),COUNTIFS(R_Scores!$B$5:$B$44,2,R_Scores!$C$5:$C$44,"Paper condition",R_Scores!K$5:K$44,"&lt;"&amp;R_Scores!K9)+0.5*COUNTIFS(R_Scores!$B$5:$B$44,2,R_Scores!$C$5:$C$44,"Paper condition",R_Scores!K$5:K$44,R_Scores!K9),"")</f>
        <v/>
      </c>
      <c r="CQ9" s="1" t="str">
        <f aca="false">IF(AND(R_Scores!$B9=2,OR(R_Scores!$C9="Tool condition",R_Scores!$C9="Paper condition"),ISNUMBER(R_Scores!K9)),(COUNTIFS(R_Scores!$B$5:$B$44,2,R_Scores!$C$5:$C$44,"Tool condition",R_Scores!K$5:K$44,R_Scores!K9)+COUNTIFS(R_Scores!$B$5:$B$44,2,R_Scores!$C$5:$C$44,"Paper condition",R_Scores!K$5:K$44,R_Scores!K9))^2-1,"")</f>
        <v/>
      </c>
      <c r="CR9" s="1" t="str">
        <f aca="false">IF(ISNUMBER(R_Scores!K9),R_Scores!K9^2,"")</f>
        <v/>
      </c>
      <c r="CS9" s="1" t="str">
        <f aca="false">IF(AND(R_Scores!$B9=1,R_Scores!$C9="Tool condition",ISNUMBER(R_Scores!L9)),COUNTIFS(R_Scores!$B$5:$B$44,1,R_Scores!$C$5:$C$44,"Paper condition",R_Scores!L$5:L$44,"&lt;"&amp;R_Scores!L9)+0.5*COUNTIFS(R_Scores!$B$5:$B$44,1,R_Scores!$C$5:$C$44,"Paper condition",R_Scores!L$5:L$44,R_Scores!L9),"")</f>
        <v/>
      </c>
      <c r="CT9" s="1" t="str">
        <f aca="false">IF(AND(R_Scores!$B9=1,OR(R_Scores!$C9="Tool condition",R_Scores!$C9="Paper condition"),ISNUMBER(R_Scores!L9)),(COUNTIFS(R_Scores!$B$5:$B$44,1,R_Scores!$C$5:$C$44,"Tool condition",R_Scores!L$5:L$44,R_Scores!L9)+COUNTIFS(R_Scores!$B$5:$B$44,1,R_Scores!$C$5:$C$44,"Paper condition",R_Scores!L$5:L$44,R_Scores!L9))^2-1,"")</f>
        <v/>
      </c>
      <c r="CU9" s="1" t="str">
        <f aca="false">IF(AND(R_Scores!$B9=2,R_Scores!$C9="Tool condition",ISNUMBER(R_Scores!L9)),COUNTIFS(R_Scores!$B$5:$B$44,2,R_Scores!$C$5:$C$44,"Paper condition",R_Scores!L$5:L$44,"&lt;"&amp;R_Scores!L9)+0.5*COUNTIFS(R_Scores!$B$5:$B$44,2,R_Scores!$C$5:$C$44,"Paper condition",R_Scores!L$5:L$44,R_Scores!L9),"")</f>
        <v/>
      </c>
      <c r="CV9" s="1" t="str">
        <f aca="false">IF(AND(R_Scores!$B9=2,OR(R_Scores!$C9="Tool condition",R_Scores!$C9="Paper condition"),ISNUMBER(R_Scores!L9)),(COUNTIFS(R_Scores!$B$5:$B$44,2,R_Scores!$C$5:$C$44,"Tool condition",R_Scores!L$5:L$44,R_Scores!L9)+COUNTIFS(R_Scores!$B$5:$B$44,2,R_Scores!$C$5:$C$44,"Paper condition",R_Scores!L$5:L$44,R_Scores!L9))^2-1,"")</f>
        <v/>
      </c>
      <c r="CW9" s="1" t="str">
        <f aca="false">IF(ISNUMBER(R_Scores!L9),R_Scores!L9^2,"")</f>
        <v/>
      </c>
      <c r="CX9" s="1" t="str">
        <f aca="false">IF(AND(R_Scores!$B9=1,R_Scores!$C9="Tool condition",ISNUMBER(R_Scores!M9)),COUNTIFS(R_Scores!$B$5:$B$44,1,R_Scores!$C$5:$C$44,"Paper condition",R_Scores!M$5:M$44,"&lt;"&amp;R_Scores!M9)+0.5*COUNTIFS(R_Scores!$B$5:$B$44,1,R_Scores!$C$5:$C$44,"Paper condition",R_Scores!M$5:M$44,R_Scores!M9),"")</f>
        <v/>
      </c>
      <c r="CY9" s="1" t="str">
        <f aca="false">IF(AND(R_Scores!$B9=1,OR(R_Scores!$C9="Tool condition",R_Scores!$C9="Paper condition"),ISNUMBER(R_Scores!M9)),(COUNTIFS(R_Scores!$B$5:$B$44,1,R_Scores!$C$5:$C$44,"Tool condition",R_Scores!M$5:M$44,R_Scores!M9)+COUNTIFS(R_Scores!$B$5:$B$44,1,R_Scores!$C$5:$C$44,"Paper condition",R_Scores!M$5:M$44,R_Scores!M9))^2-1,"")</f>
        <v/>
      </c>
      <c r="CZ9" s="1" t="str">
        <f aca="false">IF(AND(R_Scores!$B9=2,R_Scores!$C9="Tool condition",ISNUMBER(R_Scores!M9)),COUNTIFS(R_Scores!$B$5:$B$44,2,R_Scores!$C$5:$C$44,"Paper condition",R_Scores!M$5:M$44,"&lt;"&amp;R_Scores!M9)+0.5*COUNTIFS(R_Scores!$B$5:$B$44,2,R_Scores!$C$5:$C$44,"Paper condition",R_Scores!M$5:M$44,R_Scores!M9),"")</f>
        <v/>
      </c>
      <c r="DA9" s="1" t="str">
        <f aca="false">IF(AND(R_Scores!$B9=2,OR(R_Scores!$C9="Tool condition",R_Scores!$C9="Paper condition"),ISNUMBER(R_Scores!M9)),(COUNTIFS(R_Scores!$B$5:$B$44,2,R_Scores!$C$5:$C$44,"Tool condition",R_Scores!M$5:M$44,R_Scores!M9)+COUNTIFS(R_Scores!$B$5:$B$44,2,R_Scores!$C$5:$C$44,"Paper condition",R_Scores!M$5:M$44,R_Scores!M9))^2-1,"")</f>
        <v/>
      </c>
      <c r="DB9" s="1" t="str">
        <f aca="false">IF(ISNUMBER(R_Scores!M9),R_Scores!M9^2,"")</f>
        <v/>
      </c>
      <c r="DC9" s="1" t="n">
        <f aca="false">IF(AND(R_Scores!$B9=1,R_Scores!$C9="Tool condition",ISNUMBER(R_Scores!N9)),COUNTIFS(R_Scores!$B$5:$B$44,1,R_Scores!$C$5:$C$44,"Paper condition",R_Scores!N$5:N$44,"&lt;"&amp;R_Scores!N9)+0.5*COUNTIFS(R_Scores!$B$5:$B$44,1,R_Scores!$C$5:$C$44,"Paper condition",R_Scores!N$5:N$44,R_Scores!N9),"")</f>
        <v>8</v>
      </c>
      <c r="DD9" s="1" t="n">
        <f aca="false">IF(AND(R_Scores!$B9=1,OR(R_Scores!$C9="Tool condition",R_Scores!$C9="Paper condition"),ISNUMBER(R_Scores!N9)),(COUNTIFS(R_Scores!$B$5:$B$44,1,R_Scores!$C$5:$C$44,"Tool condition",R_Scores!N$5:N$44,R_Scores!N9)+COUNTIFS(R_Scores!$B$5:$B$44,1,R_Scores!$C$5:$C$44,"Paper condition",R_Scores!N$5:N$44,R_Scores!N9))^2-1,"")</f>
        <v>143</v>
      </c>
      <c r="DE9" s="1" t="str">
        <f aca="false">IF(AND(R_Scores!$B9=2,R_Scores!$C9="Tool condition",ISNUMBER(R_Scores!N9)),COUNTIFS(R_Scores!$B$5:$B$44,2,R_Scores!$C$5:$C$44,"Paper condition",R_Scores!N$5:N$44,"&lt;"&amp;R_Scores!N9)+0.5*COUNTIFS(R_Scores!$B$5:$B$44,2,R_Scores!$C$5:$C$44,"Paper condition",R_Scores!N$5:N$44,R_Scores!N9),"")</f>
        <v/>
      </c>
      <c r="DF9" s="1" t="str">
        <f aca="false">IF(AND(R_Scores!$B9=2,OR(R_Scores!$C9="Tool condition",R_Scores!$C9="Paper condition"),ISNUMBER(R_Scores!N9)),(COUNTIFS(R_Scores!$B$5:$B$44,2,R_Scores!$C$5:$C$44,"Tool condition",R_Scores!N$5:N$44,R_Scores!N9)+COUNTIFS(R_Scores!$B$5:$B$44,2,R_Scores!$C$5:$C$44,"Paper condition",R_Scores!N$5:N$44,R_Scores!N9))^2-1,"")</f>
        <v/>
      </c>
      <c r="DG9" s="1" t="n">
        <f aca="false">IF(ISNUMBER(R_Scores!N9),R_Scores!N9^2,"")</f>
        <v>1</v>
      </c>
      <c r="DH9" s="1" t="n">
        <f aca="false">IF(AND(R_Scores!$B9=1,R_Scores!$C9="Tool condition",ISNUMBER(R_Scores!O9)),COUNTIFS(R_Scores!$B$5:$B$44,1,R_Scores!$C$5:$C$44,"Paper condition",R_Scores!O$5:O$44,"&lt;"&amp;R_Scores!O9)+0.5*COUNTIFS(R_Scores!$B$5:$B$44,1,R_Scores!$C$5:$C$44,"Paper condition",R_Scores!O$5:O$44,R_Scores!O9),"")</f>
        <v>7.5</v>
      </c>
      <c r="DI9" s="1" t="n">
        <f aca="false">IF(AND(R_Scores!$B9=1,OR(R_Scores!$C9="Tool condition",R_Scores!$C9="Paper condition"),ISNUMBER(R_Scores!O9)),(COUNTIFS(R_Scores!$B$5:$B$44,1,R_Scores!$C$5:$C$44,"Tool condition",R_Scores!O$5:O$44,R_Scores!O9)+COUNTIFS(R_Scores!$B$5:$B$44,1,R_Scores!$C$5:$C$44,"Paper condition",R_Scores!O$5:O$44,R_Scores!O9))^2-1,"")</f>
        <v>168</v>
      </c>
      <c r="DJ9" s="1" t="str">
        <f aca="false">IF(AND(R_Scores!$B9=2,R_Scores!$C9="Tool condition",ISNUMBER(R_Scores!O9)),COUNTIFS(R_Scores!$B$5:$B$44,2,R_Scores!$C$5:$C$44,"Paper condition",R_Scores!O$5:O$44,"&lt;"&amp;R_Scores!O9)+0.5*COUNTIFS(R_Scores!$B$5:$B$44,2,R_Scores!$C$5:$C$44,"Paper condition",R_Scores!O$5:O$44,R_Scores!O9),"")</f>
        <v/>
      </c>
      <c r="DK9" s="1" t="str">
        <f aca="false">IF(AND(R_Scores!$B9=2,OR(R_Scores!$C9="Tool condition",R_Scores!$C9="Paper condition"),ISNUMBER(R_Scores!O9)),(COUNTIFS(R_Scores!$B$5:$B$44,2,R_Scores!$C$5:$C$44,"Tool condition",R_Scores!O$5:O$44,R_Scores!O9)+COUNTIFS(R_Scores!$B$5:$B$44,2,R_Scores!$C$5:$C$44,"Paper condition",R_Scores!O$5:O$44,R_Scores!O9))^2-1,"")</f>
        <v/>
      </c>
      <c r="DL9" s="1" t="n">
        <f aca="false">IF(ISNUMBER(R_Scores!O9),R_Scores!O9^2,"")</f>
        <v>1</v>
      </c>
      <c r="DM9" s="1" t="n">
        <f aca="false">IF(AND(R_Scores!$B9=1,R_Scores!$C9="Tool condition",ISNUMBER(R_Scores!P9)),COUNTIFS(R_Scores!$B$5:$B$44,1,R_Scores!$C$5:$C$44,"Paper condition",R_Scores!P$5:P$44,"&lt;"&amp;R_Scores!P9)+0.5*COUNTIFS(R_Scores!$B$5:$B$44,1,R_Scores!$C$5:$C$44,"Paper condition",R_Scores!P$5:P$44,R_Scores!P9),"")</f>
        <v>8.5</v>
      </c>
      <c r="DN9" s="1" t="n">
        <f aca="false">IF(AND(R_Scores!$B9=1,OR(R_Scores!$C9="Tool condition",R_Scores!$C9="Paper condition"),ISNUMBER(R_Scores!P9)),(COUNTIFS(R_Scores!$B$5:$B$44,1,R_Scores!$C$5:$C$44,"Tool condition",R_Scores!P$5:P$44,R_Scores!P9)+COUNTIFS(R_Scores!$B$5:$B$44,1,R_Scores!$C$5:$C$44,"Paper condition",R_Scores!P$5:P$44,R_Scores!P9))^2-1,"")</f>
        <v>120</v>
      </c>
      <c r="DO9" s="1" t="str">
        <f aca="false">IF(AND(R_Scores!$B9=2,R_Scores!$C9="Tool condition",ISNUMBER(R_Scores!P9)),COUNTIFS(R_Scores!$B$5:$B$44,2,R_Scores!$C$5:$C$44,"Paper condition",R_Scores!P$5:P$44,"&lt;"&amp;R_Scores!P9)+0.5*COUNTIFS(R_Scores!$B$5:$B$44,2,R_Scores!$C$5:$C$44,"Paper condition",R_Scores!P$5:P$44,R_Scores!P9),"")</f>
        <v/>
      </c>
      <c r="DP9" s="1" t="str">
        <f aca="false">IF(AND(R_Scores!$B9=2,OR(R_Scores!$C9="Tool condition",R_Scores!$C9="Paper condition"),ISNUMBER(R_Scores!P9)),(COUNTIFS(R_Scores!$B$5:$B$44,2,R_Scores!$C$5:$C$44,"Tool condition",R_Scores!P$5:P$44,R_Scores!P9)+COUNTIFS(R_Scores!$B$5:$B$44,2,R_Scores!$C$5:$C$44,"Paper condition",R_Scores!P$5:P$44,R_Scores!P9))^2-1,"")</f>
        <v/>
      </c>
      <c r="DQ9" s="1" t="n">
        <f aca="false">IF(ISNUMBER(R_Scores!P9),R_Scores!P9^2,"")</f>
        <v>1</v>
      </c>
      <c r="DR9" s="1" t="n">
        <f aca="false">IF(AND(Scores!$B9=1,Scores!$C9="Tool condition",ISNUMBER(Scores!Q9)),COUNTIFS(Scores!$B$5:$B$44,1,Scores!$C$5:$C$44,"Paper condition",Scores!Q$5:Q$44,"&lt;"&amp;Scores!Q9)+0.5*COUNTIFS(Scores!$B$5:$B$44,1,Scores!$C$5:$C$44,"Paper condition",Scores!Q$5:Q$44,Scores!Q9),"")</f>
        <v>10</v>
      </c>
      <c r="DS9" s="1" t="n">
        <f aca="false">IF(AND(Scores!$B9=1,OR(Scores!$C9="Tool condition",Scores!$C9="Paper condition"),ISNUMBER(Scores!Q9)),(COUNTIFS(Scores!$B$5:$B$44,1,Scores!$C$5:$C$44,"Tool condition",Scores!Q$5:Q$44,Scores!Q9)+COUNTIFS(Scores!$B$5:$B$44,1,Scores!$C$5:$C$44,"Paper condition",Scores!Q$5:Q$44,Scores!Q9))^2-1,"")</f>
        <v>99</v>
      </c>
      <c r="DT9" s="1" t="str">
        <f aca="false">IF(AND(Scores!$B9=2,Scores!$C9="Tool condition",ISNUMBER(Scores!Q9)),COUNTIFS(Scores!$B$5:$B$44,2,Scores!$C$5:$C$44,"Paper condition",Scores!Q$5:Q$44,"&lt;"&amp;Scores!Q9)+0.5*COUNTIFS(Scores!$B$5:$B$44,2,Scores!$C$5:$C$44,"Paper condition",Scores!Q$5:Q$44,Scores!Q9),"")</f>
        <v/>
      </c>
      <c r="DU9" s="1" t="str">
        <f aca="false">IF(AND(Scores!$B9=2,OR(Scores!$C9="Tool condition",Scores!$C9="Paper condition"),ISNUMBER(Scores!Q9)),(COUNTIFS(Scores!$B$5:$B$44,2,Scores!$C$5:$C$44,"Tool condition",Scores!Q$5:Q$44,Scores!Q9)+COUNTIFS(Scores!$B$5:$B$44,2,Scores!$C$5:$C$44,"Paper condition",Scores!Q$5:Q$44,Scores!Q9))^2-1,"")</f>
        <v/>
      </c>
      <c r="DV9" s="1" t="n">
        <f aca="false">IF(ISNUMBER(Scores!Q9),Scores!Q9^2,"")</f>
        <v>576</v>
      </c>
      <c r="DW9" s="1" t="n">
        <f aca="false">IF(AND(Scores!$B9=1,Scores!$C9="Tool condition",ISNUMBER(Scores!R9)),COUNTIFS(Scores!$B$5:$B$44,1,Scores!$C$5:$C$44,"Paper condition",Scores!R$5:R$44,"&lt;"&amp;Scores!R9)+0.5*COUNTIFS(Scores!$B$5:$B$44,1,Scores!$C$5:$C$44,"Paper condition",Scores!R$5:R$44,Scores!R9),"")</f>
        <v>9.5</v>
      </c>
      <c r="DX9" s="1" t="n">
        <f aca="false">IF(AND(Scores!$B9=1,OR(Scores!$C9="Tool condition",Scores!$C9="Paper condition"),ISNUMBER(Scores!R9)),(COUNTIFS(Scores!$B$5:$B$44,1,Scores!$C$5:$C$44,"Tool condition",Scores!R$5:R$44,Scores!R9)+COUNTIFS(Scores!$B$5:$B$44,1,Scores!$C$5:$C$44,"Paper condition",Scores!R$5:R$44,Scores!R9))^2-1,"")</f>
        <v>120</v>
      </c>
      <c r="DY9" s="1" t="str">
        <f aca="false">IF(AND(Scores!$B9=2,Scores!$C9="Tool condition",ISNUMBER(Scores!R9)),COUNTIFS(Scores!$B$5:$B$44,2,Scores!$C$5:$C$44,"Paper condition",Scores!R$5:R$44,"&lt;"&amp;Scores!R9)+0.5*COUNTIFS(Scores!$B$5:$B$44,2,Scores!$C$5:$C$44,"Paper condition",Scores!R$5:R$44,Scores!R9),"")</f>
        <v/>
      </c>
      <c r="DZ9" s="1" t="str">
        <f aca="false">IF(AND(Scores!$B9=2,OR(Scores!$C9="Tool condition",Scores!$C9="Paper condition"),ISNUMBER(Scores!R9)),(COUNTIFS(Scores!$B$5:$B$44,2,Scores!$C$5:$C$44,"Tool condition",Scores!R$5:R$44,Scores!R9)+COUNTIFS(Scores!$B$5:$B$44,2,Scores!$C$5:$C$44,"Paper condition",Scores!R$5:R$44,Scores!R9))^2-1,"")</f>
        <v/>
      </c>
      <c r="EA9" s="1" t="n">
        <f aca="false">IF(ISNUMBER(Scores!R9),Scores!R9^2,"")</f>
        <v>196</v>
      </c>
      <c r="EB9" s="1" t="n">
        <f aca="false">IF(AND(Scores!$B9=1,Scores!$C9="Tool condition",ISNUMBER(Scores!S9)),COUNTIFS(Scores!$B$5:$B$44,1,Scores!$C$5:$C$44,"Paper condition",Scores!S$5:S$44,"&lt;"&amp;Scores!S9)+0.5*COUNTIFS(Scores!$B$5:$B$44,1,Scores!$C$5:$C$44,"Paper condition",Scores!S$5:S$44,Scores!S9),"")</f>
        <v>9</v>
      </c>
      <c r="EC9" s="1" t="n">
        <f aca="false">IF(AND(Scores!$B9=1,OR(Scores!$C9="Tool condition",Scores!$C9="Paper condition"),ISNUMBER(Scores!S9)),(COUNTIFS(Scores!$B$5:$B$44,1,Scores!$C$5:$C$44,"Tool condition",Scores!S$5:S$44,Scores!S9)+COUNTIFS(Scores!$B$5:$B$44,1,Scores!$C$5:$C$44,"Paper condition",Scores!S$5:S$44,Scores!S9))^2-1,"")</f>
        <v>143</v>
      </c>
      <c r="ED9" s="1" t="str">
        <f aca="false">IF(AND(Scores!$B9=2,Scores!$C9="Tool condition",ISNUMBER(Scores!S9)),COUNTIFS(Scores!$B$5:$B$44,2,Scores!$C$5:$C$44,"Paper condition",Scores!S$5:S$44,"&lt;"&amp;Scores!S9)+0.5*COUNTIFS(Scores!$B$5:$B$44,2,Scores!$C$5:$C$44,"Paper condition",Scores!S$5:S$44,Scores!S9),"")</f>
        <v/>
      </c>
      <c r="EE9" s="1" t="str">
        <f aca="false">IF(AND(Scores!$B9=2,OR(Scores!$C9="Tool condition",Scores!$C9="Paper condition"),ISNUMBER(Scores!S9)),(COUNTIFS(Scores!$B$5:$B$44,2,Scores!$C$5:$C$44,"Tool condition",Scores!S$5:S$44,Scores!S9)+COUNTIFS(Scores!$B$5:$B$44,2,Scores!$C$5:$C$44,"Paper condition",Scores!S$5:S$44,Scores!S9))^2-1,"")</f>
        <v/>
      </c>
      <c r="EF9" s="1" t="n">
        <f aca="false">IF(ISNUMBER(Scores!S9),Scores!S9^2,"")</f>
        <v>100</v>
      </c>
      <c r="EG9" s="1" t="n">
        <f aca="false">IF(AND(Scores!$B9=1,Scores!$C9="Tool condition",ISNUMBER(Scores!T9)),COUNTIFS(Scores!$B$5:$B$44,1,Scores!$C$5:$C$44,"Paper condition",Scores!T$5:T$44,"&lt;"&amp;Scores!T9)+0.5*COUNTIFS(Scores!$B$5:$B$44,1,Scores!$C$5:$C$44,"Paper condition",Scores!T$5:T$44,Scores!T9),"")</f>
        <v>8.5</v>
      </c>
      <c r="EH9" s="1" t="n">
        <f aca="false">IF(AND(Scores!$B9=1,OR(Scores!$C9="Tool condition",Scores!$C9="Paper condition"),ISNUMBER(Scores!T9)),(COUNTIFS(Scores!$B$5:$B$44,1,Scores!$C$5:$C$44,"Tool condition",Scores!T$5:T$44,Scores!T9)+COUNTIFS(Scores!$B$5:$B$44,1,Scores!$C$5:$C$44,"Paper condition",Scores!T$5:T$44,Scores!T9))^2-1,"")</f>
        <v>168</v>
      </c>
      <c r="EI9" s="1" t="str">
        <f aca="false">IF(AND(Scores!$B9=2,Scores!$C9="Tool condition",ISNUMBER(Scores!T9)),COUNTIFS(Scores!$B$5:$B$44,2,Scores!$C$5:$C$44,"Paper condition",Scores!T$5:T$44,"&lt;"&amp;Scores!T9)+0.5*COUNTIFS(Scores!$B$5:$B$44,2,Scores!$C$5:$C$44,"Paper condition",Scores!T$5:T$44,Scores!T9),"")</f>
        <v/>
      </c>
      <c r="EJ9" s="1" t="str">
        <f aca="false">IF(AND(Scores!$B9=2,OR(Scores!$C9="Tool condition",Scores!$C9="Paper condition"),ISNUMBER(Scores!T9)),(COUNTIFS(Scores!$B$5:$B$44,2,Scores!$C$5:$C$44,"Tool condition",Scores!T$5:T$44,Scores!T9)+COUNTIFS(Scores!$B$5:$B$44,2,Scores!$C$5:$C$44,"Paper condition",Scores!T$5:T$44,Scores!T9))^2-1,"")</f>
        <v/>
      </c>
      <c r="EK9" s="1" t="n">
        <f aca="false">IF(ISNUMBER(Scores!T9),Scores!T9^2,"")</f>
        <v>64</v>
      </c>
      <c r="EL9" s="1" t="n">
        <f aca="false">IF(AND(Scores!$B9=1,Scores!$C9="Tool condition",ISNUMBER(Scores!U9)),COUNTIFS(Scores!$B$5:$B$44,1,Scores!$C$5:$C$44,"Paper condition",Scores!U$5:U$44,"&lt;"&amp;Scores!U9)+0.5*COUNTIFS(Scores!$B$5:$B$44,1,Scores!$C$5:$C$44,"Paper condition",Scores!U$5:U$44,Scores!U9),"")</f>
        <v>8.5</v>
      </c>
      <c r="EM9" s="1" t="n">
        <f aca="false">IF(AND(Scores!$B9=1,OR(Scores!$C9="Tool condition",Scores!$C9="Paper condition"),ISNUMBER(Scores!U9)),(COUNTIFS(Scores!$B$5:$B$44,1,Scores!$C$5:$C$44,"Tool condition",Scores!U$5:U$44,Scores!U9)+COUNTIFS(Scores!$B$5:$B$44,1,Scores!$C$5:$C$44,"Paper condition",Scores!U$5:U$44,Scores!U9))^2-1,"")</f>
        <v>168</v>
      </c>
      <c r="EN9" s="1" t="str">
        <f aca="false">IF(AND(Scores!$B9=2,Scores!$C9="Tool condition",ISNUMBER(Scores!U9)),COUNTIFS(Scores!$B$5:$B$44,2,Scores!$C$5:$C$44,"Paper condition",Scores!U$5:U$44,"&lt;"&amp;Scores!U9)+0.5*COUNTIFS(Scores!$B$5:$B$44,2,Scores!$C$5:$C$44,"Paper condition",Scores!U$5:U$44,Scores!U9),"")</f>
        <v/>
      </c>
      <c r="EO9" s="1" t="str">
        <f aca="false">IF(AND(Scores!$B9=2,OR(Scores!$C9="Tool condition",Scores!$C9="Paper condition"),ISNUMBER(Scores!U9)),(COUNTIFS(Scores!$B$5:$B$44,2,Scores!$C$5:$C$44,"Tool condition",Scores!U$5:U$44,Scores!U9)+COUNTIFS(Scores!$B$5:$B$44,2,Scores!$C$5:$C$44,"Paper condition",Scores!U$5:U$44,Scores!U9))^2-1,"")</f>
        <v/>
      </c>
      <c r="EP9" s="1" t="n">
        <f aca="false">IF(ISNUMBER(Scores!U9),Scores!U9^2,"")</f>
        <v>36</v>
      </c>
      <c r="EQ9" s="1" t="n">
        <f aca="false">IF(AND(Scores!$B9=1,Scores!$C9="Tool condition",ISNUMBER(Scores!V9)),COUNTIFS(Scores!$B$5:$B$44,1,Scores!$C$5:$C$44,"Paper condition",Scores!V$5:V$44,"&lt;"&amp;Scores!V9)+0.5*COUNTIFS(Scores!$B$5:$B$44,1,Scores!$C$5:$C$44,"Paper condition",Scores!V$5:V$44,Scores!V9),"")</f>
        <v>10</v>
      </c>
      <c r="ER9" s="1" t="n">
        <f aca="false">IF(AND(Scores!$B9=1,OR(Scores!$C9="Tool condition",Scores!$C9="Paper condition"),ISNUMBER(Scores!V9)),(COUNTIFS(Scores!$B$5:$B$44,1,Scores!$C$5:$C$44,"Tool condition",Scores!V$5:V$44,Scores!V9)+COUNTIFS(Scores!$B$5:$B$44,1,Scores!$C$5:$C$44,"Paper condition",Scores!V$5:V$44,Scores!V9))^2-1,"")</f>
        <v>99</v>
      </c>
      <c r="ES9" s="1" t="str">
        <f aca="false">IF(AND(Scores!$B9=2,Scores!$C9="Tool condition",ISNUMBER(Scores!V9)),COUNTIFS(Scores!$B$5:$B$44,2,Scores!$C$5:$C$44,"Paper condition",Scores!V$5:V$44,"&lt;"&amp;Scores!V9)+0.5*COUNTIFS(Scores!$B$5:$B$44,2,Scores!$C$5:$C$44,"Paper condition",Scores!V$5:V$44,Scores!V9),"")</f>
        <v/>
      </c>
      <c r="ET9" s="1" t="str">
        <f aca="false">IF(AND(Scores!$B9=2,OR(Scores!$C9="Tool condition",Scores!$C9="Paper condition"),ISNUMBER(Scores!V9)),(COUNTIFS(Scores!$B$5:$B$44,2,Scores!$C$5:$C$44,"Tool condition",Scores!V$5:V$44,Scores!V9)+COUNTIFS(Scores!$B$5:$B$44,2,Scores!$C$5:$C$44,"Paper condition",Scores!V$5:V$44,Scores!V9))^2-1,"")</f>
        <v/>
      </c>
      <c r="EU9" s="1" t="n">
        <f aca="false">IF(ISNUMBER(Scores!V9),Scores!V9^2,"")</f>
        <v>100</v>
      </c>
      <c r="EV9" s="1" t="n">
        <f aca="false">IF(AND(R_Scores!$B9=1,R_Scores!$C9="Tool condition",ISNUMBER(R_Scores!Q9)),COUNTIFS(R_Scores!$B$5:$B$44,1,R_Scores!$C$5:$C$44,"Paper condition",R_Scores!Q$5:Q$44,"&lt;"&amp;R_Scores!Q9)+0.5*COUNTIFS(R_Scores!$B$5:$B$44,1,R_Scores!$C$5:$C$44,"Paper condition",R_Scores!Q$5:Q$44,R_Scores!Q9),"")</f>
        <v>7.5</v>
      </c>
      <c r="EW9" s="1" t="n">
        <f aca="false">IF(AND(R_Scores!$B9=1,OR(R_Scores!$C9="Tool condition",R_Scores!$C9="Paper condition"),ISNUMBER(R_Scores!Q9)),(COUNTIFS(R_Scores!$B$5:$B$44,1,R_Scores!$C$5:$C$44,"Tool condition",R_Scores!Q$5:Q$44,R_Scores!Q9)+COUNTIFS(R_Scores!$B$5:$B$44,1,R_Scores!$C$5:$C$44,"Paper condition",R_Scores!Q$5:Q$44,R_Scores!Q9))^2-1,"")</f>
        <v>80</v>
      </c>
      <c r="EX9" s="1" t="str">
        <f aca="false">IF(AND(R_Scores!$B9=2,R_Scores!$C9="Tool condition",ISNUMBER(R_Scores!Q9)),COUNTIFS(R_Scores!$B$5:$B$44,2,R_Scores!$C$5:$C$44,"Paper condition",R_Scores!Q$5:Q$44,"&lt;"&amp;R_Scores!Q9)+0.5*COUNTIFS(R_Scores!$B$5:$B$44,2,R_Scores!$C$5:$C$44,"Paper condition",R_Scores!Q$5:Q$44,R_Scores!Q9),"")</f>
        <v/>
      </c>
      <c r="EY9" s="1" t="str">
        <f aca="false">IF(AND(R_Scores!$B9=2,OR(R_Scores!$C9="Tool condition",R_Scores!$C9="Paper condition"),ISNUMBER(R_Scores!Q9)),(COUNTIFS(R_Scores!$B$5:$B$44,2,R_Scores!$C$5:$C$44,"Tool condition",R_Scores!Q$5:Q$44,R_Scores!Q9)+COUNTIFS(R_Scores!$B$5:$B$44,2,R_Scores!$C$5:$C$44,"Paper condition",R_Scores!Q$5:Q$44,R_Scores!Q9))^2-1,"")</f>
        <v/>
      </c>
      <c r="EZ9" s="1" t="n">
        <f aca="false">IF(ISNUMBER(R_Scores!Q9),R_Scores!Q9^2,"")</f>
        <v>36</v>
      </c>
      <c r="FA9" s="1" t="n">
        <f aca="false">IF(AND(R_Scores!$B9=1,R_Scores!$C9="Tool condition",ISNUMBER(R_Scores!R9)),COUNTIFS(R_Scores!$B$5:$B$44,1,R_Scores!$C$5:$C$44,"Paper condition",R_Scores!R$5:R$44,"&lt;"&amp;R_Scores!R9)+0.5*COUNTIFS(R_Scores!$B$5:$B$44,1,R_Scores!$C$5:$C$44,"Paper condition",R_Scores!R$5:R$44,R_Scores!R9),"")</f>
        <v>10</v>
      </c>
      <c r="FB9" s="1" t="n">
        <f aca="false">IF(AND(R_Scores!$B9=1,OR(R_Scores!$C9="Tool condition",R_Scores!$C9="Paper condition"),ISNUMBER(R_Scores!R9)),(COUNTIFS(R_Scores!$B$5:$B$44,1,R_Scores!$C$5:$C$44,"Tool condition",R_Scores!R$5:R$44,R_Scores!R9)+COUNTIFS(R_Scores!$B$5:$B$44,1,R_Scores!$C$5:$C$44,"Paper condition",R_Scores!R$5:R$44,R_Scores!R9))^2-1,"")</f>
        <v>35</v>
      </c>
      <c r="FC9" s="1" t="str">
        <f aca="false">IF(AND(R_Scores!$B9=2,R_Scores!$C9="Tool condition",ISNUMBER(R_Scores!R9)),COUNTIFS(R_Scores!$B$5:$B$44,2,R_Scores!$C$5:$C$44,"Paper condition",R_Scores!R$5:R$44,"&lt;"&amp;R_Scores!R9)+0.5*COUNTIFS(R_Scores!$B$5:$B$44,2,R_Scores!$C$5:$C$44,"Paper condition",R_Scores!R$5:R$44,R_Scores!R9),"")</f>
        <v/>
      </c>
      <c r="FD9" s="1" t="str">
        <f aca="false">IF(AND(R_Scores!$B9=2,OR(R_Scores!$C9="Tool condition",R_Scores!$C9="Paper condition"),ISNUMBER(R_Scores!R9)),(COUNTIFS(R_Scores!$B$5:$B$44,2,R_Scores!$C$5:$C$44,"Tool condition",R_Scores!R$5:R$44,R_Scores!R9)+COUNTIFS(R_Scores!$B$5:$B$44,2,R_Scores!$C$5:$C$44,"Paper condition",R_Scores!R$5:R$44,R_Scores!R9))^2-1,"")</f>
        <v/>
      </c>
      <c r="FE9" s="1" t="n">
        <f aca="false">IF(ISNUMBER(R_Scores!R9),R_Scores!R9^2,"")</f>
        <v>900</v>
      </c>
    </row>
    <row r="10" customFormat="false" ht="14.25" hidden="false" customHeight="true" outlineLevel="0" collapsed="false">
      <c r="B10" s="1" t="n">
        <f aca="false">IF(AND(Scores!$B10=1,Scores!$C10="Tool condition",ISNUMBER(Scores!E10)),COUNTIFS(Scores!$B$5:$B$44,1,Scores!$C$5:$C$44,"Paper condition",Scores!E$5:E$44,"&lt;"&amp;Scores!E10)+0.5*COUNTIFS(Scores!$B$5:$B$44,1,Scores!$C$5:$C$44,"Paper condition",Scores!E$5:E$44,Scores!E10),"")</f>
        <v>7</v>
      </c>
      <c r="C10" s="1" t="n">
        <f aca="false">IF(AND(Scores!$B10=1,OR(Scores!$C10="Tool condition",Scores!$C10="Paper condition"),ISNUMBER(Scores!E10)),(COUNTIFS(Scores!$B$5:$B$44,1,Scores!$C$5:$C$44,"Tool condition",Scores!E$5:E$44,Scores!E10)+COUNTIFS(Scores!$B$5:$B$44,1,Scores!$C$5:$C$44,"Paper condition",Scores!E$5:E$44,Scores!E10))^2-1,"")</f>
        <v>255</v>
      </c>
      <c r="D10" s="1" t="str">
        <f aca="false">IF(AND(Scores!$B10=2,Scores!$C10="Tool condition",ISNUMBER(Scores!E10)),COUNTIFS(Scores!$B$5:$B$44,2,Scores!$C$5:$C$44,"Paper condition",Scores!E$5:E$44,"&lt;"&amp;Scores!E10)+0.5*COUNTIFS(Scores!$B$5:$B$44,2,Scores!$C$5:$C$44,"Paper condition",Scores!E$5:E$44,Scores!E10),"")</f>
        <v/>
      </c>
      <c r="E10" s="1" t="str">
        <f aca="false">IF(AND(Scores!$B10=2,OR(Scores!$C10="Tool condition",Scores!$C10="Paper condition"),ISNUMBER(Scores!E10)),(COUNTIFS(Scores!$B$5:$B$44,2,Scores!$C$5:$C$44,"Tool condition",Scores!E$5:E$44,Scores!E10)+COUNTIFS(Scores!$B$5:$B$44,2,Scores!$C$5:$C$44,"Paper condition",Scores!E$5:E$44,Scores!E10))^2-1,"")</f>
        <v/>
      </c>
      <c r="F10" s="1" t="n">
        <f aca="false">IF(ISNUMBER(Scores!E10),Scores!E10^2,"")</f>
        <v>4</v>
      </c>
      <c r="G10" s="1" t="n">
        <f aca="false">IF(AND(Scores!$B10=1,Scores!$C10="Tool condition",ISNUMBER(Scores!F10)),COUNTIFS(Scores!$B$5:$B$44,1,Scores!$C$5:$C$44,"Paper condition",Scores!F$5:F$44,"&lt;"&amp;Scores!F10)+0.5*COUNTIFS(Scores!$B$5:$B$44,1,Scores!$C$5:$C$44,"Paper condition",Scores!F$5:F$44,Scores!F10),"")</f>
        <v>8</v>
      </c>
      <c r="H10" s="1" t="n">
        <f aca="false">IF(AND(Scores!$B10=1,OR(Scores!$C10="Tool condition",Scores!$C10="Paper condition"),ISNUMBER(Scores!F10)),(COUNTIFS(Scores!$B$5:$B$44,1,Scores!$C$5:$C$44,"Tool condition",Scores!F$5:F$44,Scores!F10)+COUNTIFS(Scores!$B$5:$B$44,1,Scores!$C$5:$C$44,"Paper condition",Scores!F$5:F$44,Scores!F10))^2-1,"")</f>
        <v>195</v>
      </c>
      <c r="I10" s="1" t="str">
        <f aca="false">IF(AND(Scores!$B10=2,Scores!$C10="Tool condition",ISNUMBER(Scores!F10)),COUNTIFS(Scores!$B$5:$B$44,2,Scores!$C$5:$C$44,"Paper condition",Scores!F$5:F$44,"&lt;"&amp;Scores!F10)+0.5*COUNTIFS(Scores!$B$5:$B$44,2,Scores!$C$5:$C$44,"Paper condition",Scores!F$5:F$44,Scores!F10),"")</f>
        <v/>
      </c>
      <c r="J10" s="1" t="str">
        <f aca="false">IF(AND(Scores!$B10=2,OR(Scores!$C10="Tool condition",Scores!$C10="Paper condition"),ISNUMBER(Scores!F10)),(COUNTIFS(Scores!$B$5:$B$44,2,Scores!$C$5:$C$44,"Tool condition",Scores!F$5:F$44,Scores!F10)+COUNTIFS(Scores!$B$5:$B$44,2,Scores!$C$5:$C$44,"Paper condition",Scores!F$5:F$44,Scores!F10))^2-1,"")</f>
        <v/>
      </c>
      <c r="K10" s="1" t="n">
        <f aca="false">IF(ISNUMBER(Scores!F10),Scores!F10^2,"")</f>
        <v>4</v>
      </c>
      <c r="L10" s="1" t="n">
        <f aca="false">IF(AND(Scores!$B10=1,Scores!$C10="Tool condition",ISNUMBER(Scores!G10)),COUNTIFS(Scores!$B$5:$B$44,1,Scores!$C$5:$C$44,"Paper condition",Scores!G$5:G$44,"&lt;"&amp;Scores!G10)+0.5*COUNTIFS(Scores!$B$5:$B$44,1,Scores!$C$5:$C$44,"Paper condition",Scores!G$5:G$44,Scores!G10),"")</f>
        <v>6.5</v>
      </c>
      <c r="M10" s="1" t="n">
        <f aca="false">IF(AND(Scores!$B10=1,OR(Scores!$C10="Tool condition",Scores!$C10="Paper condition"),ISNUMBER(Scores!G10)),(COUNTIFS(Scores!$B$5:$B$44,1,Scores!$C$5:$C$44,"Tool condition",Scores!G$5:G$44,Scores!G10)+COUNTIFS(Scores!$B$5:$B$44,1,Scores!$C$5:$C$44,"Paper condition",Scores!G$5:G$44,Scores!G10))^2-1,"")</f>
        <v>288</v>
      </c>
      <c r="N10" s="1" t="str">
        <f aca="false">IF(AND(Scores!$B10=2,Scores!$C10="Tool condition",ISNUMBER(Scores!G10)),COUNTIFS(Scores!$B$5:$B$44,2,Scores!$C$5:$C$44,"Paper condition",Scores!G$5:G$44,"&lt;"&amp;Scores!G10)+0.5*COUNTIFS(Scores!$B$5:$B$44,2,Scores!$C$5:$C$44,"Paper condition",Scores!G$5:G$44,Scores!G10),"")</f>
        <v/>
      </c>
      <c r="O10" s="1" t="str">
        <f aca="false">IF(AND(Scores!$B10=2,OR(Scores!$C10="Tool condition",Scores!$C10="Paper condition"),ISNUMBER(Scores!G10)),(COUNTIFS(Scores!$B$5:$B$44,2,Scores!$C$5:$C$44,"Tool condition",Scores!G$5:G$44,Scores!G10)+COUNTIFS(Scores!$B$5:$B$44,2,Scores!$C$5:$C$44,"Paper condition",Scores!G$5:G$44,Scores!G10))^2-1,"")</f>
        <v/>
      </c>
      <c r="P10" s="1" t="n">
        <f aca="false">IF(ISNUMBER(Scores!G10),Scores!G10^2,"")</f>
        <v>4</v>
      </c>
      <c r="Q10" s="1" t="n">
        <f aca="false">IF(AND(Scores!$B10=1,Scores!$C10="Tool condition",ISNUMBER(Scores!H10)),COUNTIFS(Scores!$B$5:$B$44,1,Scores!$C$5:$C$44,"Paper condition",Scores!H$5:H$44,"&lt;"&amp;Scores!H10)+0.5*COUNTIFS(Scores!$B$5:$B$44,1,Scores!$C$5:$C$44,"Paper condition",Scores!H$5:H$44,Scores!H10),"")</f>
        <v>7</v>
      </c>
      <c r="R10" s="1" t="n">
        <f aca="false">IF(AND(Scores!$B10=1,OR(Scores!$C10="Tool condition",Scores!$C10="Paper condition"),ISNUMBER(Scores!H10)),(COUNTIFS(Scores!$B$5:$B$44,1,Scores!$C$5:$C$44,"Tool condition",Scores!H$5:H$44,Scores!H10)+COUNTIFS(Scores!$B$5:$B$44,1,Scores!$C$5:$C$44,"Paper condition",Scores!H$5:H$44,Scores!H10))^2-1,"")</f>
        <v>255</v>
      </c>
      <c r="S10" s="1" t="str">
        <f aca="false">IF(AND(Scores!$B10=2,Scores!$C10="Tool condition",ISNUMBER(Scores!H10)),COUNTIFS(Scores!$B$5:$B$44,2,Scores!$C$5:$C$44,"Paper condition",Scores!H$5:H$44,"&lt;"&amp;Scores!H10)+0.5*COUNTIFS(Scores!$B$5:$B$44,2,Scores!$C$5:$C$44,"Paper condition",Scores!H$5:H$44,Scores!H10),"")</f>
        <v/>
      </c>
      <c r="T10" s="1" t="str">
        <f aca="false">IF(AND(Scores!$B10=2,OR(Scores!$C10="Tool condition",Scores!$C10="Paper condition"),ISNUMBER(Scores!H10)),(COUNTIFS(Scores!$B$5:$B$44,2,Scores!$C$5:$C$44,"Tool condition",Scores!H$5:H$44,Scores!H10)+COUNTIFS(Scores!$B$5:$B$44,2,Scores!$C$5:$C$44,"Paper condition",Scores!H$5:H$44,Scores!H10))^2-1,"")</f>
        <v/>
      </c>
      <c r="U10" s="1" t="n">
        <f aca="false">IF(ISNUMBER(Scores!H10),Scores!H10^2,"")</f>
        <v>4</v>
      </c>
      <c r="V10" s="1" t="n">
        <f aca="false">IF(AND(Scores!$B10=1,Scores!$C10="Tool condition",ISNUMBER(Scores!I10)),COUNTIFS(Scores!$B$5:$B$44,1,Scores!$C$5:$C$44,"Paper condition",Scores!I$5:I$44,"&lt;"&amp;Scores!I10)+0.5*COUNTIFS(Scores!$B$5:$B$44,1,Scores!$C$5:$C$44,"Paper condition",Scores!I$5:I$44,Scores!I10),"")</f>
        <v>8</v>
      </c>
      <c r="W10" s="1" t="n">
        <f aca="false">IF(AND(Scores!$B10=1,OR(Scores!$C10="Tool condition",Scores!$C10="Paper condition"),ISNUMBER(Scores!I10)),(COUNTIFS(Scores!$B$5:$B$44,1,Scores!$C$5:$C$44,"Tool condition",Scores!I$5:I$44,Scores!I10)+COUNTIFS(Scores!$B$5:$B$44,1,Scores!$C$5:$C$44,"Paper condition",Scores!I$5:I$44,Scores!I10))^2-1,"")</f>
        <v>195</v>
      </c>
      <c r="X10" s="1" t="str">
        <f aca="false">IF(AND(Scores!$B10=2,Scores!$C10="Tool condition",ISNUMBER(Scores!I10)),COUNTIFS(Scores!$B$5:$B$44,2,Scores!$C$5:$C$44,"Paper condition",Scores!I$5:I$44,"&lt;"&amp;Scores!I10)+0.5*COUNTIFS(Scores!$B$5:$B$44,2,Scores!$C$5:$C$44,"Paper condition",Scores!I$5:I$44,Scores!I10),"")</f>
        <v/>
      </c>
      <c r="Y10" s="1" t="str">
        <f aca="false">IF(AND(Scores!$B10=2,OR(Scores!$C10="Tool condition",Scores!$C10="Paper condition"),ISNUMBER(Scores!I10)),(COUNTIFS(Scores!$B$5:$B$44,2,Scores!$C$5:$C$44,"Tool condition",Scores!I$5:I$44,Scores!I10)+COUNTIFS(Scores!$B$5:$B$44,2,Scores!$C$5:$C$44,"Paper condition",Scores!I$5:I$44,Scores!I10))^2-1,"")</f>
        <v/>
      </c>
      <c r="Z10" s="1" t="n">
        <f aca="false">IF(ISNUMBER(Scores!I10),Scores!I10^2,"")</f>
        <v>4</v>
      </c>
      <c r="AA10" s="1" t="n">
        <f aca="false">IF(AND(Scores!$B10=1,Scores!$C10="Tool condition",ISNUMBER(Scores!J10)),COUNTIFS(Scores!$B$5:$B$44,1,Scores!$C$5:$C$44,"Paper condition",Scores!J$5:J$44,"&lt;"&amp;Scores!J10)+0.5*COUNTIFS(Scores!$B$5:$B$44,1,Scores!$C$5:$C$44,"Paper condition",Scores!J$5:J$44,Scores!J10),"")</f>
        <v>7.5</v>
      </c>
      <c r="AB10" s="1" t="n">
        <f aca="false">IF(AND(Scores!$B10=1,OR(Scores!$C10="Tool condition",Scores!$C10="Paper condition"),ISNUMBER(Scores!J10)),(COUNTIFS(Scores!$B$5:$B$44,1,Scores!$C$5:$C$44,"Tool condition",Scores!J$5:J$44,Scores!J10)+COUNTIFS(Scores!$B$5:$B$44,1,Scores!$C$5:$C$44,"Paper condition",Scores!J$5:J$44,Scores!J10))^2-1,"")</f>
        <v>224</v>
      </c>
      <c r="AC10" s="1" t="str">
        <f aca="false">IF(AND(Scores!$B10=2,Scores!$C10="Tool condition",ISNUMBER(Scores!J10)),COUNTIFS(Scores!$B$5:$B$44,2,Scores!$C$5:$C$44,"Paper condition",Scores!J$5:J$44,"&lt;"&amp;Scores!J10)+0.5*COUNTIFS(Scores!$B$5:$B$44,2,Scores!$C$5:$C$44,"Paper condition",Scores!J$5:J$44,Scores!J10),"")</f>
        <v/>
      </c>
      <c r="AD10" s="1" t="str">
        <f aca="false">IF(AND(Scores!$B10=2,OR(Scores!$C10="Tool condition",Scores!$C10="Paper condition"),ISNUMBER(Scores!J10)),(COUNTIFS(Scores!$B$5:$B$44,2,Scores!$C$5:$C$44,"Tool condition",Scores!J$5:J$44,Scores!J10)+COUNTIFS(Scores!$B$5:$B$44,2,Scores!$C$5:$C$44,"Paper condition",Scores!J$5:J$44,Scores!J10))^2-1,"")</f>
        <v/>
      </c>
      <c r="AE10" s="1" t="n">
        <f aca="false">IF(ISNUMBER(Scores!J10),Scores!J10^2,"")</f>
        <v>4</v>
      </c>
      <c r="AF10" s="1" t="n">
        <f aca="false">IF(AND(Scores!$B10=1,Scores!$C10="Tool condition",ISNUMBER(Scores!K10)),COUNTIFS(Scores!$B$5:$B$44,1,Scores!$C$5:$C$44,"Paper condition",Scores!K$5:K$44,"&lt;"&amp;Scores!K10)+0.5*COUNTIFS(Scores!$B$5:$B$44,1,Scores!$C$5:$C$44,"Paper condition",Scores!K$5:K$44,Scores!K10),"")</f>
        <v>7</v>
      </c>
      <c r="AG10" s="1" t="n">
        <f aca="false">IF(AND(Scores!$B10=1,OR(Scores!$C10="Tool condition",Scores!$C10="Paper condition"),ISNUMBER(Scores!K10)),(COUNTIFS(Scores!$B$5:$B$44,1,Scores!$C$5:$C$44,"Tool condition",Scores!K$5:K$44,Scores!K10)+COUNTIFS(Scores!$B$5:$B$44,1,Scores!$C$5:$C$44,"Paper condition",Scores!K$5:K$44,Scores!K10))^2-1,"")</f>
        <v>255</v>
      </c>
      <c r="AH10" s="1" t="str">
        <f aca="false">IF(AND(Scores!$B10=2,Scores!$C10="Tool condition",ISNUMBER(Scores!K10)),COUNTIFS(Scores!$B$5:$B$44,2,Scores!$C$5:$C$44,"Paper condition",Scores!K$5:K$44,"&lt;"&amp;Scores!K10)+0.5*COUNTIFS(Scores!$B$5:$B$44,2,Scores!$C$5:$C$44,"Paper condition",Scores!K$5:K$44,Scores!K10),"")</f>
        <v/>
      </c>
      <c r="AI10" s="1" t="str">
        <f aca="false">IF(AND(Scores!$B10=2,OR(Scores!$C10="Tool condition",Scores!$C10="Paper condition"),ISNUMBER(Scores!K10)),(COUNTIFS(Scores!$B$5:$B$44,2,Scores!$C$5:$C$44,"Tool condition",Scores!K$5:K$44,Scores!K10)+COUNTIFS(Scores!$B$5:$B$44,2,Scores!$C$5:$C$44,"Paper condition",Scores!K$5:K$44,Scores!K10))^2-1,"")</f>
        <v/>
      </c>
      <c r="AJ10" s="1" t="n">
        <f aca="false">IF(ISNUMBER(Scores!K10),Scores!K10^2,"")</f>
        <v>4</v>
      </c>
      <c r="AK10" s="1" t="n">
        <f aca="false">IF(AND(Scores!$B10=1,Scores!$C10="Tool condition",ISNUMBER(Scores!L10)),COUNTIFS(Scores!$B$5:$B$44,1,Scores!$C$5:$C$44,"Paper condition",Scores!L$5:L$44,"&lt;"&amp;Scores!L10)+0.5*COUNTIFS(Scores!$B$5:$B$44,1,Scores!$C$5:$C$44,"Paper condition",Scores!L$5:L$44,Scores!L10),"")</f>
        <v>6.5</v>
      </c>
      <c r="AL10" s="1" t="n">
        <f aca="false">IF(AND(Scores!$B10=1,OR(Scores!$C10="Tool condition",Scores!$C10="Paper condition"),ISNUMBER(Scores!L10)),(COUNTIFS(Scores!$B$5:$B$44,1,Scores!$C$5:$C$44,"Tool condition",Scores!L$5:L$44,Scores!L10)+COUNTIFS(Scores!$B$5:$B$44,1,Scores!$C$5:$C$44,"Paper condition",Scores!L$5:L$44,Scores!L10))^2-1,"")</f>
        <v>288</v>
      </c>
      <c r="AM10" s="1" t="str">
        <f aca="false">IF(AND(Scores!$B10=2,Scores!$C10="Tool condition",ISNUMBER(Scores!L10)),COUNTIFS(Scores!$B$5:$B$44,2,Scores!$C$5:$C$44,"Paper condition",Scores!L$5:L$44,"&lt;"&amp;Scores!L10)+0.5*COUNTIFS(Scores!$B$5:$B$44,2,Scores!$C$5:$C$44,"Paper condition",Scores!L$5:L$44,Scores!L10),"")</f>
        <v/>
      </c>
      <c r="AN10" s="1" t="str">
        <f aca="false">IF(AND(Scores!$B10=2,OR(Scores!$C10="Tool condition",Scores!$C10="Paper condition"),ISNUMBER(Scores!L10)),(COUNTIFS(Scores!$B$5:$B$44,2,Scores!$C$5:$C$44,"Tool condition",Scores!L$5:L$44,Scores!L10)+COUNTIFS(Scores!$B$5:$B$44,2,Scores!$C$5:$C$44,"Paper condition",Scores!L$5:L$44,Scores!L10))^2-1,"")</f>
        <v/>
      </c>
      <c r="AO10" s="1" t="n">
        <f aca="false">IF(ISNUMBER(Scores!L10),Scores!L10^2,"")</f>
        <v>4</v>
      </c>
      <c r="AP10" s="1" t="n">
        <f aca="false">IF(AND(Scores!$B10=1,Scores!$C10="Tool condition",ISNUMBER(Scores!M10)),COUNTIFS(Scores!$B$5:$B$44,1,Scores!$C$5:$C$44,"Paper condition",Scores!M$5:M$44,"&lt;"&amp;Scores!M10)+0.5*COUNTIFS(Scores!$B$5:$B$44,1,Scores!$C$5:$C$44,"Paper condition",Scores!M$5:M$44,Scores!M10),"")</f>
        <v>6.5</v>
      </c>
      <c r="AQ10" s="1" t="n">
        <f aca="false">IF(AND(Scores!$B10=1,OR(Scores!$C10="Tool condition",Scores!$C10="Paper condition"),ISNUMBER(Scores!M10)),(COUNTIFS(Scores!$B$5:$B$44,1,Scores!$C$5:$C$44,"Tool condition",Scores!M$5:M$44,Scores!M10)+COUNTIFS(Scores!$B$5:$B$44,1,Scores!$C$5:$C$44,"Paper condition",Scores!M$5:M$44,Scores!M10))^2-1,"")</f>
        <v>288</v>
      </c>
      <c r="AR10" s="1" t="str">
        <f aca="false">IF(AND(Scores!$B10=2,Scores!$C10="Tool condition",ISNUMBER(Scores!M10)),COUNTIFS(Scores!$B$5:$B$44,2,Scores!$C$5:$C$44,"Paper condition",Scores!M$5:M$44,"&lt;"&amp;Scores!M10)+0.5*COUNTIFS(Scores!$B$5:$B$44,2,Scores!$C$5:$C$44,"Paper condition",Scores!M$5:M$44,Scores!M10),"")</f>
        <v/>
      </c>
      <c r="AS10" s="1" t="str">
        <f aca="false">IF(AND(Scores!$B10=2,OR(Scores!$C10="Tool condition",Scores!$C10="Paper condition"),ISNUMBER(Scores!M10)),(COUNTIFS(Scores!$B$5:$B$44,2,Scores!$C$5:$C$44,"Tool condition",Scores!M$5:M$44,Scores!M10)+COUNTIFS(Scores!$B$5:$B$44,2,Scores!$C$5:$C$44,"Paper condition",Scores!M$5:M$44,Scores!M10))^2-1,"")</f>
        <v/>
      </c>
      <c r="AT10" s="1" t="n">
        <f aca="false">IF(ISNUMBER(Scores!M10),Scores!M10^2,"")</f>
        <v>4</v>
      </c>
      <c r="AU10" s="1" t="n">
        <f aca="false">IF(AND(Scores!$B10=1,Scores!$C10="Tool condition",ISNUMBER(Scores!N10)),COUNTIFS(Scores!$B$5:$B$44,1,Scores!$C$5:$C$44,"Paper condition",Scores!N$5:N$44,"&lt;"&amp;Scores!N10)+0.5*COUNTIFS(Scores!$B$5:$B$44,1,Scores!$C$5:$C$44,"Paper condition",Scores!N$5:N$44,Scores!N10),"")</f>
        <v>8</v>
      </c>
      <c r="AV10" s="1" t="n">
        <f aca="false">IF(AND(Scores!$B10=1,OR(Scores!$C10="Tool condition",Scores!$C10="Paper condition"),ISNUMBER(Scores!N10)),(COUNTIFS(Scores!$B$5:$B$44,1,Scores!$C$5:$C$44,"Tool condition",Scores!N$5:N$44,Scores!N10)+COUNTIFS(Scores!$B$5:$B$44,1,Scores!$C$5:$C$44,"Paper condition",Scores!N$5:N$44,Scores!N10))^2-1,"")</f>
        <v>195</v>
      </c>
      <c r="AW10" s="1" t="str">
        <f aca="false">IF(AND(Scores!$B10=2,Scores!$C10="Tool condition",ISNUMBER(Scores!N10)),COUNTIFS(Scores!$B$5:$B$44,2,Scores!$C$5:$C$44,"Paper condition",Scores!N$5:N$44,"&lt;"&amp;Scores!N10)+0.5*COUNTIFS(Scores!$B$5:$B$44,2,Scores!$C$5:$C$44,"Paper condition",Scores!N$5:N$44,Scores!N10),"")</f>
        <v/>
      </c>
      <c r="AX10" s="1" t="str">
        <f aca="false">IF(AND(Scores!$B10=2,OR(Scores!$C10="Tool condition",Scores!$C10="Paper condition"),ISNUMBER(Scores!N10)),(COUNTIFS(Scores!$B$5:$B$44,2,Scores!$C$5:$C$44,"Tool condition",Scores!N$5:N$44,Scores!N10)+COUNTIFS(Scores!$B$5:$B$44,2,Scores!$C$5:$C$44,"Paper condition",Scores!N$5:N$44,Scores!N10))^2-1,"")</f>
        <v/>
      </c>
      <c r="AY10" s="1" t="n">
        <f aca="false">IF(ISNUMBER(Scores!N10),Scores!N10^2,"")</f>
        <v>4</v>
      </c>
      <c r="AZ10" s="1" t="n">
        <f aca="false">IF(AND(Scores!$B10=1,Scores!$C10="Tool condition",ISNUMBER(Scores!O10)),COUNTIFS(Scores!$B$5:$B$44,1,Scores!$C$5:$C$44,"Paper condition",Scores!O$5:O$44,"&lt;"&amp;Scores!O10)+0.5*COUNTIFS(Scores!$B$5:$B$44,1,Scores!$C$5:$C$44,"Paper condition",Scores!O$5:O$44,Scores!O10),"")</f>
        <v>7.5</v>
      </c>
      <c r="BA10" s="1" t="n">
        <f aca="false">IF(AND(Scores!$B10=1,OR(Scores!$C10="Tool condition",Scores!$C10="Paper condition"),ISNUMBER(Scores!O10)),(COUNTIFS(Scores!$B$5:$B$44,1,Scores!$C$5:$C$44,"Tool condition",Scores!O$5:O$44,Scores!O10)+COUNTIFS(Scores!$B$5:$B$44,1,Scores!$C$5:$C$44,"Paper condition",Scores!O$5:O$44,Scores!O10))^2-1,"")</f>
        <v>224</v>
      </c>
      <c r="BB10" s="1" t="str">
        <f aca="false">IF(AND(Scores!$B10=2,Scores!$C10="Tool condition",ISNUMBER(Scores!O10)),COUNTIFS(Scores!$B$5:$B$44,2,Scores!$C$5:$C$44,"Paper condition",Scores!O$5:O$44,"&lt;"&amp;Scores!O10)+0.5*COUNTIFS(Scores!$B$5:$B$44,2,Scores!$C$5:$C$44,"Paper condition",Scores!O$5:O$44,Scores!O10),"")</f>
        <v/>
      </c>
      <c r="BC10" s="1" t="str">
        <f aca="false">IF(AND(Scores!$B10=2,OR(Scores!$C10="Tool condition",Scores!$C10="Paper condition"),ISNUMBER(Scores!O10)),(COUNTIFS(Scores!$B$5:$B$44,2,Scores!$C$5:$C$44,"Tool condition",Scores!O$5:O$44,Scores!O10)+COUNTIFS(Scores!$B$5:$B$44,2,Scores!$C$5:$C$44,"Paper condition",Scores!O$5:O$44,Scores!O10))^2-1,"")</f>
        <v/>
      </c>
      <c r="BD10" s="1" t="n">
        <f aca="false">IF(ISNUMBER(Scores!O10),Scores!O10^2,"")</f>
        <v>4</v>
      </c>
      <c r="BE10" s="1" t="n">
        <f aca="false">IF(AND(Scores!$B10=1,Scores!$C10="Tool condition",ISNUMBER(Scores!P10)),COUNTIFS(Scores!$B$5:$B$44,1,Scores!$C$5:$C$44,"Paper condition",Scores!P$5:P$44,"&lt;"&amp;Scores!P10)+0.5*COUNTIFS(Scores!$B$5:$B$44,1,Scores!$C$5:$C$44,"Paper condition",Scores!P$5:P$44,Scores!P10),"")</f>
        <v>8.5</v>
      </c>
      <c r="BF10" s="1" t="n">
        <f aca="false">IF(AND(Scores!$B10=1,OR(Scores!$C10="Tool condition",Scores!$C10="Paper condition"),ISNUMBER(Scores!P10)),(COUNTIFS(Scores!$B$5:$B$44,1,Scores!$C$5:$C$44,"Tool condition",Scores!P$5:P$44,Scores!P10)+COUNTIFS(Scores!$B$5:$B$44,1,Scores!$C$5:$C$44,"Paper condition",Scores!P$5:P$44,Scores!P10))^2-1,"")</f>
        <v>168</v>
      </c>
      <c r="BG10" s="1" t="str">
        <f aca="false">IF(AND(Scores!$B10=2,Scores!$C10="Tool condition",ISNUMBER(Scores!P10)),COUNTIFS(Scores!$B$5:$B$44,2,Scores!$C$5:$C$44,"Paper condition",Scores!P$5:P$44,"&lt;"&amp;Scores!P10)+0.5*COUNTIFS(Scores!$B$5:$B$44,2,Scores!$C$5:$C$44,"Paper condition",Scores!P$5:P$44,Scores!P10),"")</f>
        <v/>
      </c>
      <c r="BH10" s="1" t="str">
        <f aca="false">IF(AND(Scores!$B10=2,OR(Scores!$C10="Tool condition",Scores!$C10="Paper condition"),ISNUMBER(Scores!P10)),(COUNTIFS(Scores!$B$5:$B$44,2,Scores!$C$5:$C$44,"Tool condition",Scores!P$5:P$44,Scores!P10)+COUNTIFS(Scores!$B$5:$B$44,2,Scores!$C$5:$C$44,"Paper condition",Scores!P$5:P$44,Scores!P10))^2-1,"")</f>
        <v/>
      </c>
      <c r="BI10" s="1" t="n">
        <f aca="false">IF(ISNUMBER(Scores!P10),Scores!P10^2,"")</f>
        <v>4</v>
      </c>
      <c r="BJ10" s="1" t="n">
        <f aca="false">IF(AND(R_Scores!$B10=1,R_Scores!$C10="Tool condition",ISNUMBER(R_Scores!E10)),COUNTIFS(R_Scores!$B$5:$B$44,1,R_Scores!$C$5:$C$44,"Paper condition",R_Scores!E$5:E$44,"&lt;"&amp;R_Scores!E10)+0.5*COUNTIFS(R_Scores!$B$5:$B$44,1,R_Scores!$C$5:$C$44,"Paper condition",R_Scores!E$5:E$44,R_Scores!E10),"")</f>
        <v>7</v>
      </c>
      <c r="BK10" s="1" t="n">
        <f aca="false">IF(AND(R_Scores!$B10=1,OR(R_Scores!$C10="Tool condition",R_Scores!$C10="Paper condition"),ISNUMBER(R_Scores!E10)),(COUNTIFS(R_Scores!$B$5:$B$44,1,R_Scores!$C$5:$C$44,"Tool condition",R_Scores!E$5:E$44,R_Scores!E10)+COUNTIFS(R_Scores!$B$5:$B$44,1,R_Scores!$C$5:$C$44,"Paper condition",R_Scores!E$5:E$44,R_Scores!E10))^2-1,"")</f>
        <v>224</v>
      </c>
      <c r="BL10" s="1" t="str">
        <f aca="false">IF(AND(R_Scores!$B10=2,R_Scores!$C10="Tool condition",ISNUMBER(R_Scores!E10)),COUNTIFS(R_Scores!$B$5:$B$44,2,R_Scores!$C$5:$C$44,"Paper condition",R_Scores!E$5:E$44,"&lt;"&amp;R_Scores!E10)+0.5*COUNTIFS(R_Scores!$B$5:$B$44,2,R_Scores!$C$5:$C$44,"Paper condition",R_Scores!E$5:E$44,R_Scores!E10),"")</f>
        <v/>
      </c>
      <c r="BM10" s="1" t="str">
        <f aca="false">IF(AND(R_Scores!$B10=2,OR(R_Scores!$C10="Tool condition",R_Scores!$C10="Paper condition"),ISNUMBER(R_Scores!E10)),(COUNTIFS(R_Scores!$B$5:$B$44,2,R_Scores!$C$5:$C$44,"Tool condition",R_Scores!E$5:E$44,R_Scores!E10)+COUNTIFS(R_Scores!$B$5:$B$44,2,R_Scores!$C$5:$C$44,"Paper condition",R_Scores!E$5:E$44,R_Scores!E10))^2-1,"")</f>
        <v/>
      </c>
      <c r="BN10" s="1" t="n">
        <f aca="false">IF(ISNUMBER(R_Scores!E10),R_Scores!E10^2,"")</f>
        <v>1</v>
      </c>
      <c r="BO10" s="1" t="n">
        <f aca="false">IF(AND(R_Scores!$B10=1,R_Scores!$C10="Tool condition",ISNUMBER(R_Scores!F10)),COUNTIFS(R_Scores!$B$5:$B$44,1,R_Scores!$C$5:$C$44,"Paper condition",R_Scores!F$5:F$44,"&lt;"&amp;R_Scores!F10)+0.5*COUNTIFS(R_Scores!$B$5:$B$44,1,R_Scores!$C$5:$C$44,"Paper condition",R_Scores!F$5:F$44,R_Scores!F10),"")</f>
        <v>7</v>
      </c>
      <c r="BP10" s="1" t="n">
        <f aca="false">IF(AND(R_Scores!$B10=1,OR(R_Scores!$C10="Tool condition",R_Scores!$C10="Paper condition"),ISNUMBER(R_Scores!F10)),(COUNTIFS(R_Scores!$B$5:$B$44,1,R_Scores!$C$5:$C$44,"Tool condition",R_Scores!F$5:F$44,R_Scores!F10)+COUNTIFS(R_Scores!$B$5:$B$44,1,R_Scores!$C$5:$C$44,"Paper condition",R_Scores!F$5:F$44,R_Scores!F10))^2-1,"")</f>
        <v>195</v>
      </c>
      <c r="BQ10" s="1" t="str">
        <f aca="false">IF(AND(R_Scores!$B10=2,R_Scores!$C10="Tool condition",ISNUMBER(R_Scores!F10)),COUNTIFS(R_Scores!$B$5:$B$44,2,R_Scores!$C$5:$C$44,"Paper condition",R_Scores!F$5:F$44,"&lt;"&amp;R_Scores!F10)+0.5*COUNTIFS(R_Scores!$B$5:$B$44,2,R_Scores!$C$5:$C$44,"Paper condition",R_Scores!F$5:F$44,R_Scores!F10),"")</f>
        <v/>
      </c>
      <c r="BR10" s="1" t="str">
        <f aca="false">IF(AND(R_Scores!$B10=2,OR(R_Scores!$C10="Tool condition",R_Scores!$C10="Paper condition"),ISNUMBER(R_Scores!F10)),(COUNTIFS(R_Scores!$B$5:$B$44,2,R_Scores!$C$5:$C$44,"Tool condition",R_Scores!F$5:F$44,R_Scores!F10)+COUNTIFS(R_Scores!$B$5:$B$44,2,R_Scores!$C$5:$C$44,"Paper condition",R_Scores!F$5:F$44,R_Scores!F10))^2-1,"")</f>
        <v/>
      </c>
      <c r="BS10" s="1" t="n">
        <f aca="false">IF(ISNUMBER(R_Scores!F10),R_Scores!F10^2,"")</f>
        <v>1</v>
      </c>
      <c r="BT10" s="1" t="str">
        <f aca="false">IF(AND(R_Scores!$B10=1,R_Scores!$C10="Tool condition",ISNUMBER(R_Scores!G10)),COUNTIFS(R_Scores!$B$5:$B$44,1,R_Scores!$C$5:$C$44,"Paper condition",R_Scores!G$5:G$44,"&lt;"&amp;R_Scores!G10)+0.5*COUNTIFS(R_Scores!$B$5:$B$44,1,R_Scores!$C$5:$C$44,"Paper condition",R_Scores!G$5:G$44,R_Scores!G10),"")</f>
        <v/>
      </c>
      <c r="BU10" s="1" t="str">
        <f aca="false">IF(AND(R_Scores!$B10=1,OR(R_Scores!$C10="Tool condition",R_Scores!$C10="Paper condition"),ISNUMBER(R_Scores!G10)),(COUNTIFS(R_Scores!$B$5:$B$44,1,R_Scores!$C$5:$C$44,"Tool condition",R_Scores!G$5:G$44,R_Scores!G10)+COUNTIFS(R_Scores!$B$5:$B$44,1,R_Scores!$C$5:$C$44,"Paper condition",R_Scores!G$5:G$44,R_Scores!G10))^2-1,"")</f>
        <v/>
      </c>
      <c r="BV10" s="1" t="str">
        <f aca="false">IF(AND(R_Scores!$B10=2,R_Scores!$C10="Tool condition",ISNUMBER(R_Scores!G10)),COUNTIFS(R_Scores!$B$5:$B$44,2,R_Scores!$C$5:$C$44,"Paper condition",R_Scores!G$5:G$44,"&lt;"&amp;R_Scores!G10)+0.5*COUNTIFS(R_Scores!$B$5:$B$44,2,R_Scores!$C$5:$C$44,"Paper condition",R_Scores!G$5:G$44,R_Scores!G10),"")</f>
        <v/>
      </c>
      <c r="BW10" s="1" t="str">
        <f aca="false">IF(AND(R_Scores!$B10=2,OR(R_Scores!$C10="Tool condition",R_Scores!$C10="Paper condition"),ISNUMBER(R_Scores!G10)),(COUNTIFS(R_Scores!$B$5:$B$44,2,R_Scores!$C$5:$C$44,"Tool condition",R_Scores!G$5:G$44,R_Scores!G10)+COUNTIFS(R_Scores!$B$5:$B$44,2,R_Scores!$C$5:$C$44,"Paper condition",R_Scores!G$5:G$44,R_Scores!G10))^2-1,"")</f>
        <v/>
      </c>
      <c r="BX10" s="1" t="str">
        <f aca="false">IF(ISNUMBER(R_Scores!G10),R_Scores!G10^2,"")</f>
        <v/>
      </c>
      <c r="BY10" s="1" t="str">
        <f aca="false">IF(AND(R_Scores!$B10=1,R_Scores!$C10="Tool condition",ISNUMBER(R_Scores!H10)),COUNTIFS(R_Scores!$B$5:$B$44,1,R_Scores!$C$5:$C$44,"Paper condition",R_Scores!H$5:H$44,"&lt;"&amp;R_Scores!H10)+0.5*COUNTIFS(R_Scores!$B$5:$B$44,1,R_Scores!$C$5:$C$44,"Paper condition",R_Scores!H$5:H$44,R_Scores!H10),"")</f>
        <v/>
      </c>
      <c r="BZ10" s="1" t="str">
        <f aca="false">IF(AND(R_Scores!$B10=1,OR(R_Scores!$C10="Tool condition",R_Scores!$C10="Paper condition"),ISNUMBER(R_Scores!H10)),(COUNTIFS(R_Scores!$B$5:$B$44,1,R_Scores!$C$5:$C$44,"Tool condition",R_Scores!H$5:H$44,R_Scores!H10)+COUNTIFS(R_Scores!$B$5:$B$44,1,R_Scores!$C$5:$C$44,"Paper condition",R_Scores!H$5:H$44,R_Scores!H10))^2-1,"")</f>
        <v/>
      </c>
      <c r="CA10" s="1" t="str">
        <f aca="false">IF(AND(R_Scores!$B10=2,R_Scores!$C10="Tool condition",ISNUMBER(R_Scores!H10)),COUNTIFS(R_Scores!$B$5:$B$44,2,R_Scores!$C$5:$C$44,"Paper condition",R_Scores!H$5:H$44,"&lt;"&amp;R_Scores!H10)+0.5*COUNTIFS(R_Scores!$B$5:$B$44,2,R_Scores!$C$5:$C$44,"Paper condition",R_Scores!H$5:H$44,R_Scores!H10),"")</f>
        <v/>
      </c>
      <c r="CB10" s="1" t="str">
        <f aca="false">IF(AND(R_Scores!$B10=2,OR(R_Scores!$C10="Tool condition",R_Scores!$C10="Paper condition"),ISNUMBER(R_Scores!H10)),(COUNTIFS(R_Scores!$B$5:$B$44,2,R_Scores!$C$5:$C$44,"Tool condition",R_Scores!H$5:H$44,R_Scores!H10)+COUNTIFS(R_Scores!$B$5:$B$44,2,R_Scores!$C$5:$C$44,"Paper condition",R_Scores!H$5:H$44,R_Scores!H10))^2-1,"")</f>
        <v/>
      </c>
      <c r="CC10" s="1" t="str">
        <f aca="false">IF(ISNUMBER(R_Scores!H10),R_Scores!H10^2,"")</f>
        <v/>
      </c>
      <c r="CD10" s="1" t="n">
        <f aca="false">IF(AND(R_Scores!$B10=1,R_Scores!$C10="Tool condition",ISNUMBER(R_Scores!I10)),COUNTIFS(R_Scores!$B$5:$B$44,1,R_Scores!$C$5:$C$44,"Paper condition",R_Scores!I$5:I$44,"&lt;"&amp;R_Scores!I10)+0.5*COUNTIFS(R_Scores!$B$5:$B$44,1,R_Scores!$C$5:$C$44,"Paper condition",R_Scores!I$5:I$44,R_Scores!I10),"")</f>
        <v>7.5</v>
      </c>
      <c r="CE10" s="1" t="n">
        <f aca="false">IF(AND(R_Scores!$B10=1,OR(R_Scores!$C10="Tool condition",R_Scores!$C10="Paper condition"),ISNUMBER(R_Scores!I10)),(COUNTIFS(R_Scores!$B$5:$B$44,1,R_Scores!$C$5:$C$44,"Tool condition",R_Scores!I$5:I$44,R_Scores!I10)+COUNTIFS(R_Scores!$B$5:$B$44,1,R_Scores!$C$5:$C$44,"Paper condition",R_Scores!I$5:I$44,R_Scores!I10))^2-1,"")</f>
        <v>168</v>
      </c>
      <c r="CF10" s="1" t="str">
        <f aca="false">IF(AND(R_Scores!$B10=2,R_Scores!$C10="Tool condition",ISNUMBER(R_Scores!I10)),COUNTIFS(R_Scores!$B$5:$B$44,2,R_Scores!$C$5:$C$44,"Paper condition",R_Scores!I$5:I$44,"&lt;"&amp;R_Scores!I10)+0.5*COUNTIFS(R_Scores!$B$5:$B$44,2,R_Scores!$C$5:$C$44,"Paper condition",R_Scores!I$5:I$44,R_Scores!I10),"")</f>
        <v/>
      </c>
      <c r="CG10" s="1" t="str">
        <f aca="false">IF(AND(R_Scores!$B10=2,OR(R_Scores!$C10="Tool condition",R_Scores!$C10="Paper condition"),ISNUMBER(R_Scores!I10)),(COUNTIFS(R_Scores!$B$5:$B$44,2,R_Scores!$C$5:$C$44,"Tool condition",R_Scores!I$5:I$44,R_Scores!I10)+COUNTIFS(R_Scores!$B$5:$B$44,2,R_Scores!$C$5:$C$44,"Paper condition",R_Scores!I$5:I$44,R_Scores!I10))^2-1,"")</f>
        <v/>
      </c>
      <c r="CH10" s="1" t="n">
        <f aca="false">IF(ISNUMBER(R_Scores!I10),R_Scores!I10^2,"")</f>
        <v>1</v>
      </c>
      <c r="CI10" s="1" t="n">
        <f aca="false">IF(AND(R_Scores!$B10=1,R_Scores!$C10="Tool condition",ISNUMBER(R_Scores!J10)),COUNTIFS(R_Scores!$B$5:$B$44,1,R_Scores!$C$5:$C$44,"Paper condition",R_Scores!J$5:J$44,"&lt;"&amp;R_Scores!J10)+0.5*COUNTIFS(R_Scores!$B$5:$B$44,1,R_Scores!$C$5:$C$44,"Paper condition",R_Scores!J$5:J$44,R_Scores!J10),"")</f>
        <v>7</v>
      </c>
      <c r="CJ10" s="1" t="n">
        <f aca="false">IF(AND(R_Scores!$B10=1,OR(R_Scores!$C10="Tool condition",R_Scores!$C10="Paper condition"),ISNUMBER(R_Scores!J10)),(COUNTIFS(R_Scores!$B$5:$B$44,1,R_Scores!$C$5:$C$44,"Tool condition",R_Scores!J$5:J$44,R_Scores!J10)+COUNTIFS(R_Scores!$B$5:$B$44,1,R_Scores!$C$5:$C$44,"Paper condition",R_Scores!J$5:J$44,R_Scores!J10))^2-1,"")</f>
        <v>224</v>
      </c>
      <c r="CK10" s="1" t="str">
        <f aca="false">IF(AND(R_Scores!$B10=2,R_Scores!$C10="Tool condition",ISNUMBER(R_Scores!J10)),COUNTIFS(R_Scores!$B$5:$B$44,2,R_Scores!$C$5:$C$44,"Paper condition",R_Scores!J$5:J$44,"&lt;"&amp;R_Scores!J10)+0.5*COUNTIFS(R_Scores!$B$5:$B$44,2,R_Scores!$C$5:$C$44,"Paper condition",R_Scores!J$5:J$44,R_Scores!J10),"")</f>
        <v/>
      </c>
      <c r="CL10" s="1" t="str">
        <f aca="false">IF(AND(R_Scores!$B10=2,OR(R_Scores!$C10="Tool condition",R_Scores!$C10="Paper condition"),ISNUMBER(R_Scores!J10)),(COUNTIFS(R_Scores!$B$5:$B$44,2,R_Scores!$C$5:$C$44,"Tool condition",R_Scores!J$5:J$44,R_Scores!J10)+COUNTIFS(R_Scores!$B$5:$B$44,2,R_Scores!$C$5:$C$44,"Paper condition",R_Scores!J$5:J$44,R_Scores!J10))^2-1,"")</f>
        <v/>
      </c>
      <c r="CM10" s="1" t="n">
        <f aca="false">IF(ISNUMBER(R_Scores!J10),R_Scores!J10^2,"")</f>
        <v>1</v>
      </c>
      <c r="CN10" s="1" t="str">
        <f aca="false">IF(AND(R_Scores!$B10=1,R_Scores!$C10="Tool condition",ISNUMBER(R_Scores!K10)),COUNTIFS(R_Scores!$B$5:$B$44,1,R_Scores!$C$5:$C$44,"Paper condition",R_Scores!K$5:K$44,"&lt;"&amp;R_Scores!K10)+0.5*COUNTIFS(R_Scores!$B$5:$B$44,1,R_Scores!$C$5:$C$44,"Paper condition",R_Scores!K$5:K$44,R_Scores!K10),"")</f>
        <v/>
      </c>
      <c r="CO10" s="1" t="str">
        <f aca="false">IF(AND(R_Scores!$B10=1,OR(R_Scores!$C10="Tool condition",R_Scores!$C10="Paper condition"),ISNUMBER(R_Scores!K10)),(COUNTIFS(R_Scores!$B$5:$B$44,1,R_Scores!$C$5:$C$44,"Tool condition",R_Scores!K$5:K$44,R_Scores!K10)+COUNTIFS(R_Scores!$B$5:$B$44,1,R_Scores!$C$5:$C$44,"Paper condition",R_Scores!K$5:K$44,R_Scores!K10))^2-1,"")</f>
        <v/>
      </c>
      <c r="CP10" s="1" t="str">
        <f aca="false">IF(AND(R_Scores!$B10=2,R_Scores!$C10="Tool condition",ISNUMBER(R_Scores!K10)),COUNTIFS(R_Scores!$B$5:$B$44,2,R_Scores!$C$5:$C$44,"Paper condition",R_Scores!K$5:K$44,"&lt;"&amp;R_Scores!K10)+0.5*COUNTIFS(R_Scores!$B$5:$B$44,2,R_Scores!$C$5:$C$44,"Paper condition",R_Scores!K$5:K$44,R_Scores!K10),"")</f>
        <v/>
      </c>
      <c r="CQ10" s="1" t="str">
        <f aca="false">IF(AND(R_Scores!$B10=2,OR(R_Scores!$C10="Tool condition",R_Scores!$C10="Paper condition"),ISNUMBER(R_Scores!K10)),(COUNTIFS(R_Scores!$B$5:$B$44,2,R_Scores!$C$5:$C$44,"Tool condition",R_Scores!K$5:K$44,R_Scores!K10)+COUNTIFS(R_Scores!$B$5:$B$44,2,R_Scores!$C$5:$C$44,"Paper condition",R_Scores!K$5:K$44,R_Scores!K10))^2-1,"")</f>
        <v/>
      </c>
      <c r="CR10" s="1" t="str">
        <f aca="false">IF(ISNUMBER(R_Scores!K10),R_Scores!K10^2,"")</f>
        <v/>
      </c>
      <c r="CS10" s="1" t="str">
        <f aca="false">IF(AND(R_Scores!$B10=1,R_Scores!$C10="Tool condition",ISNUMBER(R_Scores!L10)),COUNTIFS(R_Scores!$B$5:$B$44,1,R_Scores!$C$5:$C$44,"Paper condition",R_Scores!L$5:L$44,"&lt;"&amp;R_Scores!L10)+0.5*COUNTIFS(R_Scores!$B$5:$B$44,1,R_Scores!$C$5:$C$44,"Paper condition",R_Scores!L$5:L$44,R_Scores!L10),"")</f>
        <v/>
      </c>
      <c r="CT10" s="1" t="str">
        <f aca="false">IF(AND(R_Scores!$B10=1,OR(R_Scores!$C10="Tool condition",R_Scores!$C10="Paper condition"),ISNUMBER(R_Scores!L10)),(COUNTIFS(R_Scores!$B$5:$B$44,1,R_Scores!$C$5:$C$44,"Tool condition",R_Scores!L$5:L$44,R_Scores!L10)+COUNTIFS(R_Scores!$B$5:$B$44,1,R_Scores!$C$5:$C$44,"Paper condition",R_Scores!L$5:L$44,R_Scores!L10))^2-1,"")</f>
        <v/>
      </c>
      <c r="CU10" s="1" t="str">
        <f aca="false">IF(AND(R_Scores!$B10=2,R_Scores!$C10="Tool condition",ISNUMBER(R_Scores!L10)),COUNTIFS(R_Scores!$B$5:$B$44,2,R_Scores!$C$5:$C$44,"Paper condition",R_Scores!L$5:L$44,"&lt;"&amp;R_Scores!L10)+0.5*COUNTIFS(R_Scores!$B$5:$B$44,2,R_Scores!$C$5:$C$44,"Paper condition",R_Scores!L$5:L$44,R_Scores!L10),"")</f>
        <v/>
      </c>
      <c r="CV10" s="1" t="str">
        <f aca="false">IF(AND(R_Scores!$B10=2,OR(R_Scores!$C10="Tool condition",R_Scores!$C10="Paper condition"),ISNUMBER(R_Scores!L10)),(COUNTIFS(R_Scores!$B$5:$B$44,2,R_Scores!$C$5:$C$44,"Tool condition",R_Scores!L$5:L$44,R_Scores!L10)+COUNTIFS(R_Scores!$B$5:$B$44,2,R_Scores!$C$5:$C$44,"Paper condition",R_Scores!L$5:L$44,R_Scores!L10))^2-1,"")</f>
        <v/>
      </c>
      <c r="CW10" s="1" t="str">
        <f aca="false">IF(ISNUMBER(R_Scores!L10),R_Scores!L10^2,"")</f>
        <v/>
      </c>
      <c r="CX10" s="1" t="str">
        <f aca="false">IF(AND(R_Scores!$B10=1,R_Scores!$C10="Tool condition",ISNUMBER(R_Scores!M10)),COUNTIFS(R_Scores!$B$5:$B$44,1,R_Scores!$C$5:$C$44,"Paper condition",R_Scores!M$5:M$44,"&lt;"&amp;R_Scores!M10)+0.5*COUNTIFS(R_Scores!$B$5:$B$44,1,R_Scores!$C$5:$C$44,"Paper condition",R_Scores!M$5:M$44,R_Scores!M10),"")</f>
        <v/>
      </c>
      <c r="CY10" s="1" t="str">
        <f aca="false">IF(AND(R_Scores!$B10=1,OR(R_Scores!$C10="Tool condition",R_Scores!$C10="Paper condition"),ISNUMBER(R_Scores!M10)),(COUNTIFS(R_Scores!$B$5:$B$44,1,R_Scores!$C$5:$C$44,"Tool condition",R_Scores!M$5:M$44,R_Scores!M10)+COUNTIFS(R_Scores!$B$5:$B$44,1,R_Scores!$C$5:$C$44,"Paper condition",R_Scores!M$5:M$44,R_Scores!M10))^2-1,"")</f>
        <v/>
      </c>
      <c r="CZ10" s="1" t="str">
        <f aca="false">IF(AND(R_Scores!$B10=2,R_Scores!$C10="Tool condition",ISNUMBER(R_Scores!M10)),COUNTIFS(R_Scores!$B$5:$B$44,2,R_Scores!$C$5:$C$44,"Paper condition",R_Scores!M$5:M$44,"&lt;"&amp;R_Scores!M10)+0.5*COUNTIFS(R_Scores!$B$5:$B$44,2,R_Scores!$C$5:$C$44,"Paper condition",R_Scores!M$5:M$44,R_Scores!M10),"")</f>
        <v/>
      </c>
      <c r="DA10" s="1" t="str">
        <f aca="false">IF(AND(R_Scores!$B10=2,OR(R_Scores!$C10="Tool condition",R_Scores!$C10="Paper condition"),ISNUMBER(R_Scores!M10)),(COUNTIFS(R_Scores!$B$5:$B$44,2,R_Scores!$C$5:$C$44,"Tool condition",R_Scores!M$5:M$44,R_Scores!M10)+COUNTIFS(R_Scores!$B$5:$B$44,2,R_Scores!$C$5:$C$44,"Paper condition",R_Scores!M$5:M$44,R_Scores!M10))^2-1,"")</f>
        <v/>
      </c>
      <c r="DB10" s="1" t="str">
        <f aca="false">IF(ISNUMBER(R_Scores!M10),R_Scores!M10^2,"")</f>
        <v/>
      </c>
      <c r="DC10" s="1" t="n">
        <f aca="false">IF(AND(R_Scores!$B10=1,R_Scores!$C10="Tool condition",ISNUMBER(R_Scores!N10)),COUNTIFS(R_Scores!$B$5:$B$44,1,R_Scores!$C$5:$C$44,"Paper condition",R_Scores!N$5:N$44,"&lt;"&amp;R_Scores!N10)+0.5*COUNTIFS(R_Scores!$B$5:$B$44,1,R_Scores!$C$5:$C$44,"Paper condition",R_Scores!N$5:N$44,R_Scores!N10),"")</f>
        <v>8</v>
      </c>
      <c r="DD10" s="1" t="n">
        <f aca="false">IF(AND(R_Scores!$B10=1,OR(R_Scores!$C10="Tool condition",R_Scores!$C10="Paper condition"),ISNUMBER(R_Scores!N10)),(COUNTIFS(R_Scores!$B$5:$B$44,1,R_Scores!$C$5:$C$44,"Tool condition",R_Scores!N$5:N$44,R_Scores!N10)+COUNTIFS(R_Scores!$B$5:$B$44,1,R_Scores!$C$5:$C$44,"Paper condition",R_Scores!N$5:N$44,R_Scores!N10))^2-1,"")</f>
        <v>143</v>
      </c>
      <c r="DE10" s="1" t="str">
        <f aca="false">IF(AND(R_Scores!$B10=2,R_Scores!$C10="Tool condition",ISNUMBER(R_Scores!N10)),COUNTIFS(R_Scores!$B$5:$B$44,2,R_Scores!$C$5:$C$44,"Paper condition",R_Scores!N$5:N$44,"&lt;"&amp;R_Scores!N10)+0.5*COUNTIFS(R_Scores!$B$5:$B$44,2,R_Scores!$C$5:$C$44,"Paper condition",R_Scores!N$5:N$44,R_Scores!N10),"")</f>
        <v/>
      </c>
      <c r="DF10" s="1" t="str">
        <f aca="false">IF(AND(R_Scores!$B10=2,OR(R_Scores!$C10="Tool condition",R_Scores!$C10="Paper condition"),ISNUMBER(R_Scores!N10)),(COUNTIFS(R_Scores!$B$5:$B$44,2,R_Scores!$C$5:$C$44,"Tool condition",R_Scores!N$5:N$44,R_Scores!N10)+COUNTIFS(R_Scores!$B$5:$B$44,2,R_Scores!$C$5:$C$44,"Paper condition",R_Scores!N$5:N$44,R_Scores!N10))^2-1,"")</f>
        <v/>
      </c>
      <c r="DG10" s="1" t="n">
        <f aca="false">IF(ISNUMBER(R_Scores!N10),R_Scores!N10^2,"")</f>
        <v>1</v>
      </c>
      <c r="DH10" s="1" t="n">
        <f aca="false">IF(AND(R_Scores!$B10=1,R_Scores!$C10="Tool condition",ISNUMBER(R_Scores!O10)),COUNTIFS(R_Scores!$B$5:$B$44,1,R_Scores!$C$5:$C$44,"Paper condition",R_Scores!O$5:O$44,"&lt;"&amp;R_Scores!O10)+0.5*COUNTIFS(R_Scores!$B$5:$B$44,1,R_Scores!$C$5:$C$44,"Paper condition",R_Scores!O$5:O$44,R_Scores!O10),"")</f>
        <v>2.5</v>
      </c>
      <c r="DI10" s="1" t="n">
        <f aca="false">IF(AND(R_Scores!$B10=1,OR(R_Scores!$C10="Tool condition",R_Scores!$C10="Paper condition"),ISNUMBER(R_Scores!O10)),(COUNTIFS(R_Scores!$B$5:$B$44,1,R_Scores!$C$5:$C$44,"Tool condition",R_Scores!O$5:O$44,R_Scores!O10)+COUNTIFS(R_Scores!$B$5:$B$44,1,R_Scores!$C$5:$C$44,"Paper condition",R_Scores!O$5:O$44,R_Scores!O10))^2-1,"")</f>
        <v>48</v>
      </c>
      <c r="DJ10" s="1" t="str">
        <f aca="false">IF(AND(R_Scores!$B10=2,R_Scores!$C10="Tool condition",ISNUMBER(R_Scores!O10)),COUNTIFS(R_Scores!$B$5:$B$44,2,R_Scores!$C$5:$C$44,"Paper condition",R_Scores!O$5:O$44,"&lt;"&amp;R_Scores!O10)+0.5*COUNTIFS(R_Scores!$B$5:$B$44,2,R_Scores!$C$5:$C$44,"Paper condition",R_Scores!O$5:O$44,R_Scores!O10),"")</f>
        <v/>
      </c>
      <c r="DK10" s="1" t="str">
        <f aca="false">IF(AND(R_Scores!$B10=2,OR(R_Scores!$C10="Tool condition",R_Scores!$C10="Paper condition"),ISNUMBER(R_Scores!O10)),(COUNTIFS(R_Scores!$B$5:$B$44,2,R_Scores!$C$5:$C$44,"Tool condition",R_Scores!O$5:O$44,R_Scores!O10)+COUNTIFS(R_Scores!$B$5:$B$44,2,R_Scores!$C$5:$C$44,"Paper condition",R_Scores!O$5:O$44,R_Scores!O10))^2-1,"")</f>
        <v/>
      </c>
      <c r="DL10" s="1" t="n">
        <f aca="false">IF(ISNUMBER(R_Scores!O10),R_Scores!O10^2,"")</f>
        <v>0</v>
      </c>
      <c r="DM10" s="1" t="n">
        <f aca="false">IF(AND(R_Scores!$B10=1,R_Scores!$C10="Tool condition",ISNUMBER(R_Scores!P10)),COUNTIFS(R_Scores!$B$5:$B$44,1,R_Scores!$C$5:$C$44,"Paper condition",R_Scores!P$5:P$44,"&lt;"&amp;R_Scores!P10)+0.5*COUNTIFS(R_Scores!$B$5:$B$44,1,R_Scores!$C$5:$C$44,"Paper condition",R_Scores!P$5:P$44,R_Scores!P10),"")</f>
        <v>8.5</v>
      </c>
      <c r="DN10" s="1" t="n">
        <f aca="false">IF(AND(R_Scores!$B10=1,OR(R_Scores!$C10="Tool condition",R_Scores!$C10="Paper condition"),ISNUMBER(R_Scores!P10)),(COUNTIFS(R_Scores!$B$5:$B$44,1,R_Scores!$C$5:$C$44,"Tool condition",R_Scores!P$5:P$44,R_Scores!P10)+COUNTIFS(R_Scores!$B$5:$B$44,1,R_Scores!$C$5:$C$44,"Paper condition",R_Scores!P$5:P$44,R_Scores!P10))^2-1,"")</f>
        <v>120</v>
      </c>
      <c r="DO10" s="1" t="str">
        <f aca="false">IF(AND(R_Scores!$B10=2,R_Scores!$C10="Tool condition",ISNUMBER(R_Scores!P10)),COUNTIFS(R_Scores!$B$5:$B$44,2,R_Scores!$C$5:$C$44,"Paper condition",R_Scores!P$5:P$44,"&lt;"&amp;R_Scores!P10)+0.5*COUNTIFS(R_Scores!$B$5:$B$44,2,R_Scores!$C$5:$C$44,"Paper condition",R_Scores!P$5:P$44,R_Scores!P10),"")</f>
        <v/>
      </c>
      <c r="DP10" s="1" t="str">
        <f aca="false">IF(AND(R_Scores!$B10=2,OR(R_Scores!$C10="Tool condition",R_Scores!$C10="Paper condition"),ISNUMBER(R_Scores!P10)),(COUNTIFS(R_Scores!$B$5:$B$44,2,R_Scores!$C$5:$C$44,"Tool condition",R_Scores!P$5:P$44,R_Scores!P10)+COUNTIFS(R_Scores!$B$5:$B$44,2,R_Scores!$C$5:$C$44,"Paper condition",R_Scores!P$5:P$44,R_Scores!P10))^2-1,"")</f>
        <v/>
      </c>
      <c r="DQ10" s="1" t="n">
        <f aca="false">IF(ISNUMBER(R_Scores!P10),R_Scores!P10^2,"")</f>
        <v>1</v>
      </c>
      <c r="DR10" s="1" t="n">
        <f aca="false">IF(AND(Scores!$B10=1,Scores!$C10="Tool condition",ISNUMBER(Scores!Q10)),COUNTIFS(Scores!$B$5:$B$44,1,Scores!$C$5:$C$44,"Paper condition",Scores!Q$5:Q$44,"&lt;"&amp;Scores!Q10)+0.5*COUNTIFS(Scores!$B$5:$B$44,1,Scores!$C$5:$C$44,"Paper condition",Scores!Q$5:Q$44,Scores!Q10),"")</f>
        <v>10</v>
      </c>
      <c r="DS10" s="1" t="n">
        <f aca="false">IF(AND(Scores!$B10=1,OR(Scores!$C10="Tool condition",Scores!$C10="Paper condition"),ISNUMBER(Scores!Q10)),(COUNTIFS(Scores!$B$5:$B$44,1,Scores!$C$5:$C$44,"Tool condition",Scores!Q$5:Q$44,Scores!Q10)+COUNTIFS(Scores!$B$5:$B$44,1,Scores!$C$5:$C$44,"Paper condition",Scores!Q$5:Q$44,Scores!Q10))^2-1,"")</f>
        <v>99</v>
      </c>
      <c r="DT10" s="1" t="str">
        <f aca="false">IF(AND(Scores!$B10=2,Scores!$C10="Tool condition",ISNUMBER(Scores!Q10)),COUNTIFS(Scores!$B$5:$B$44,2,Scores!$C$5:$C$44,"Paper condition",Scores!Q$5:Q$44,"&lt;"&amp;Scores!Q10)+0.5*COUNTIFS(Scores!$B$5:$B$44,2,Scores!$C$5:$C$44,"Paper condition",Scores!Q$5:Q$44,Scores!Q10),"")</f>
        <v/>
      </c>
      <c r="DU10" s="1" t="str">
        <f aca="false">IF(AND(Scores!$B10=2,OR(Scores!$C10="Tool condition",Scores!$C10="Paper condition"),ISNUMBER(Scores!Q10)),(COUNTIFS(Scores!$B$5:$B$44,2,Scores!$C$5:$C$44,"Tool condition",Scores!Q$5:Q$44,Scores!Q10)+COUNTIFS(Scores!$B$5:$B$44,2,Scores!$C$5:$C$44,"Paper condition",Scores!Q$5:Q$44,Scores!Q10))^2-1,"")</f>
        <v/>
      </c>
      <c r="DV10" s="1" t="n">
        <f aca="false">IF(ISNUMBER(Scores!Q10),Scores!Q10^2,"")</f>
        <v>576</v>
      </c>
      <c r="DW10" s="1" t="n">
        <f aca="false">IF(AND(Scores!$B10=1,Scores!$C10="Tool condition",ISNUMBER(Scores!R10)),COUNTIFS(Scores!$B$5:$B$44,1,Scores!$C$5:$C$44,"Paper condition",Scores!R$5:R$44,"&lt;"&amp;Scores!R10)+0.5*COUNTIFS(Scores!$B$5:$B$44,1,Scores!$C$5:$C$44,"Paper condition",Scores!R$5:R$44,Scores!R10),"")</f>
        <v>9.5</v>
      </c>
      <c r="DX10" s="1" t="n">
        <f aca="false">IF(AND(Scores!$B10=1,OR(Scores!$C10="Tool condition",Scores!$C10="Paper condition"),ISNUMBER(Scores!R10)),(COUNTIFS(Scores!$B$5:$B$44,1,Scores!$C$5:$C$44,"Tool condition",Scores!R$5:R$44,Scores!R10)+COUNTIFS(Scores!$B$5:$B$44,1,Scores!$C$5:$C$44,"Paper condition",Scores!R$5:R$44,Scores!R10))^2-1,"")</f>
        <v>120</v>
      </c>
      <c r="DY10" s="1" t="str">
        <f aca="false">IF(AND(Scores!$B10=2,Scores!$C10="Tool condition",ISNUMBER(Scores!R10)),COUNTIFS(Scores!$B$5:$B$44,2,Scores!$C$5:$C$44,"Paper condition",Scores!R$5:R$44,"&lt;"&amp;Scores!R10)+0.5*COUNTIFS(Scores!$B$5:$B$44,2,Scores!$C$5:$C$44,"Paper condition",Scores!R$5:R$44,Scores!R10),"")</f>
        <v/>
      </c>
      <c r="DZ10" s="1" t="str">
        <f aca="false">IF(AND(Scores!$B10=2,OR(Scores!$C10="Tool condition",Scores!$C10="Paper condition"),ISNUMBER(Scores!R10)),(COUNTIFS(Scores!$B$5:$B$44,2,Scores!$C$5:$C$44,"Tool condition",Scores!R$5:R$44,Scores!R10)+COUNTIFS(Scores!$B$5:$B$44,2,Scores!$C$5:$C$44,"Paper condition",Scores!R$5:R$44,Scores!R10))^2-1,"")</f>
        <v/>
      </c>
      <c r="EA10" s="1" t="n">
        <f aca="false">IF(ISNUMBER(Scores!R10),Scores!R10^2,"")</f>
        <v>196</v>
      </c>
      <c r="EB10" s="1" t="n">
        <f aca="false">IF(AND(Scores!$B10=1,Scores!$C10="Tool condition",ISNUMBER(Scores!S10)),COUNTIFS(Scores!$B$5:$B$44,1,Scores!$C$5:$C$44,"Paper condition",Scores!S$5:S$44,"&lt;"&amp;Scores!S10)+0.5*COUNTIFS(Scores!$B$5:$B$44,1,Scores!$C$5:$C$44,"Paper condition",Scores!S$5:S$44,Scores!S10),"")</f>
        <v>9</v>
      </c>
      <c r="EC10" s="1" t="n">
        <f aca="false">IF(AND(Scores!$B10=1,OR(Scores!$C10="Tool condition",Scores!$C10="Paper condition"),ISNUMBER(Scores!S10)),(COUNTIFS(Scores!$B$5:$B$44,1,Scores!$C$5:$C$44,"Tool condition",Scores!S$5:S$44,Scores!S10)+COUNTIFS(Scores!$B$5:$B$44,1,Scores!$C$5:$C$44,"Paper condition",Scores!S$5:S$44,Scores!S10))^2-1,"")</f>
        <v>143</v>
      </c>
      <c r="ED10" s="1" t="str">
        <f aca="false">IF(AND(Scores!$B10=2,Scores!$C10="Tool condition",ISNUMBER(Scores!S10)),COUNTIFS(Scores!$B$5:$B$44,2,Scores!$C$5:$C$44,"Paper condition",Scores!S$5:S$44,"&lt;"&amp;Scores!S10)+0.5*COUNTIFS(Scores!$B$5:$B$44,2,Scores!$C$5:$C$44,"Paper condition",Scores!S$5:S$44,Scores!S10),"")</f>
        <v/>
      </c>
      <c r="EE10" s="1" t="str">
        <f aca="false">IF(AND(Scores!$B10=2,OR(Scores!$C10="Tool condition",Scores!$C10="Paper condition"),ISNUMBER(Scores!S10)),(COUNTIFS(Scores!$B$5:$B$44,2,Scores!$C$5:$C$44,"Tool condition",Scores!S$5:S$44,Scores!S10)+COUNTIFS(Scores!$B$5:$B$44,2,Scores!$C$5:$C$44,"Paper condition",Scores!S$5:S$44,Scores!S10))^2-1,"")</f>
        <v/>
      </c>
      <c r="EF10" s="1" t="n">
        <f aca="false">IF(ISNUMBER(Scores!S10),Scores!S10^2,"")</f>
        <v>100</v>
      </c>
      <c r="EG10" s="1" t="n">
        <f aca="false">IF(AND(Scores!$B10=1,Scores!$C10="Tool condition",ISNUMBER(Scores!T10)),COUNTIFS(Scores!$B$5:$B$44,1,Scores!$C$5:$C$44,"Paper condition",Scores!T$5:T$44,"&lt;"&amp;Scores!T10)+0.5*COUNTIFS(Scores!$B$5:$B$44,1,Scores!$C$5:$C$44,"Paper condition",Scores!T$5:T$44,Scores!T10),"")</f>
        <v>8.5</v>
      </c>
      <c r="EH10" s="1" t="n">
        <f aca="false">IF(AND(Scores!$B10=1,OR(Scores!$C10="Tool condition",Scores!$C10="Paper condition"),ISNUMBER(Scores!T10)),(COUNTIFS(Scores!$B$5:$B$44,1,Scores!$C$5:$C$44,"Tool condition",Scores!T$5:T$44,Scores!T10)+COUNTIFS(Scores!$B$5:$B$44,1,Scores!$C$5:$C$44,"Paper condition",Scores!T$5:T$44,Scores!T10))^2-1,"")</f>
        <v>168</v>
      </c>
      <c r="EI10" s="1" t="str">
        <f aca="false">IF(AND(Scores!$B10=2,Scores!$C10="Tool condition",ISNUMBER(Scores!T10)),COUNTIFS(Scores!$B$5:$B$44,2,Scores!$C$5:$C$44,"Paper condition",Scores!T$5:T$44,"&lt;"&amp;Scores!T10)+0.5*COUNTIFS(Scores!$B$5:$B$44,2,Scores!$C$5:$C$44,"Paper condition",Scores!T$5:T$44,Scores!T10),"")</f>
        <v/>
      </c>
      <c r="EJ10" s="1" t="str">
        <f aca="false">IF(AND(Scores!$B10=2,OR(Scores!$C10="Tool condition",Scores!$C10="Paper condition"),ISNUMBER(Scores!T10)),(COUNTIFS(Scores!$B$5:$B$44,2,Scores!$C$5:$C$44,"Tool condition",Scores!T$5:T$44,Scores!T10)+COUNTIFS(Scores!$B$5:$B$44,2,Scores!$C$5:$C$44,"Paper condition",Scores!T$5:T$44,Scores!T10))^2-1,"")</f>
        <v/>
      </c>
      <c r="EK10" s="1" t="n">
        <f aca="false">IF(ISNUMBER(Scores!T10),Scores!T10^2,"")</f>
        <v>64</v>
      </c>
      <c r="EL10" s="1" t="n">
        <f aca="false">IF(AND(Scores!$B10=1,Scores!$C10="Tool condition",ISNUMBER(Scores!U10)),COUNTIFS(Scores!$B$5:$B$44,1,Scores!$C$5:$C$44,"Paper condition",Scores!U$5:U$44,"&lt;"&amp;Scores!U10)+0.5*COUNTIFS(Scores!$B$5:$B$44,1,Scores!$C$5:$C$44,"Paper condition",Scores!U$5:U$44,Scores!U10),"")</f>
        <v>8.5</v>
      </c>
      <c r="EM10" s="1" t="n">
        <f aca="false">IF(AND(Scores!$B10=1,OR(Scores!$C10="Tool condition",Scores!$C10="Paper condition"),ISNUMBER(Scores!U10)),(COUNTIFS(Scores!$B$5:$B$44,1,Scores!$C$5:$C$44,"Tool condition",Scores!U$5:U$44,Scores!U10)+COUNTIFS(Scores!$B$5:$B$44,1,Scores!$C$5:$C$44,"Paper condition",Scores!U$5:U$44,Scores!U10))^2-1,"")</f>
        <v>168</v>
      </c>
      <c r="EN10" s="1" t="str">
        <f aca="false">IF(AND(Scores!$B10=2,Scores!$C10="Tool condition",ISNUMBER(Scores!U10)),COUNTIFS(Scores!$B$5:$B$44,2,Scores!$C$5:$C$44,"Paper condition",Scores!U$5:U$44,"&lt;"&amp;Scores!U10)+0.5*COUNTIFS(Scores!$B$5:$B$44,2,Scores!$C$5:$C$44,"Paper condition",Scores!U$5:U$44,Scores!U10),"")</f>
        <v/>
      </c>
      <c r="EO10" s="1" t="str">
        <f aca="false">IF(AND(Scores!$B10=2,OR(Scores!$C10="Tool condition",Scores!$C10="Paper condition"),ISNUMBER(Scores!U10)),(COUNTIFS(Scores!$B$5:$B$44,2,Scores!$C$5:$C$44,"Tool condition",Scores!U$5:U$44,Scores!U10)+COUNTIFS(Scores!$B$5:$B$44,2,Scores!$C$5:$C$44,"Paper condition",Scores!U$5:U$44,Scores!U10))^2-1,"")</f>
        <v/>
      </c>
      <c r="EP10" s="1" t="n">
        <f aca="false">IF(ISNUMBER(Scores!U10),Scores!U10^2,"")</f>
        <v>36</v>
      </c>
      <c r="EQ10" s="1" t="n">
        <f aca="false">IF(AND(Scores!$B10=1,Scores!$C10="Tool condition",ISNUMBER(Scores!V10)),COUNTIFS(Scores!$B$5:$B$44,1,Scores!$C$5:$C$44,"Paper condition",Scores!V$5:V$44,"&lt;"&amp;Scores!V10)+0.5*COUNTIFS(Scores!$B$5:$B$44,1,Scores!$C$5:$C$44,"Paper condition",Scores!V$5:V$44,Scores!V10),"")</f>
        <v>10</v>
      </c>
      <c r="ER10" s="1" t="n">
        <f aca="false">IF(AND(Scores!$B10=1,OR(Scores!$C10="Tool condition",Scores!$C10="Paper condition"),ISNUMBER(Scores!V10)),(COUNTIFS(Scores!$B$5:$B$44,1,Scores!$C$5:$C$44,"Tool condition",Scores!V$5:V$44,Scores!V10)+COUNTIFS(Scores!$B$5:$B$44,1,Scores!$C$5:$C$44,"Paper condition",Scores!V$5:V$44,Scores!V10))^2-1,"")</f>
        <v>99</v>
      </c>
      <c r="ES10" s="1" t="str">
        <f aca="false">IF(AND(Scores!$B10=2,Scores!$C10="Tool condition",ISNUMBER(Scores!V10)),COUNTIFS(Scores!$B$5:$B$44,2,Scores!$C$5:$C$44,"Paper condition",Scores!V$5:V$44,"&lt;"&amp;Scores!V10)+0.5*COUNTIFS(Scores!$B$5:$B$44,2,Scores!$C$5:$C$44,"Paper condition",Scores!V$5:V$44,Scores!V10),"")</f>
        <v/>
      </c>
      <c r="ET10" s="1" t="str">
        <f aca="false">IF(AND(Scores!$B10=2,OR(Scores!$C10="Tool condition",Scores!$C10="Paper condition"),ISNUMBER(Scores!V10)),(COUNTIFS(Scores!$B$5:$B$44,2,Scores!$C$5:$C$44,"Tool condition",Scores!V$5:V$44,Scores!V10)+COUNTIFS(Scores!$B$5:$B$44,2,Scores!$C$5:$C$44,"Paper condition",Scores!V$5:V$44,Scores!V10))^2-1,"")</f>
        <v/>
      </c>
      <c r="EU10" s="1" t="n">
        <f aca="false">IF(ISNUMBER(Scores!V10),Scores!V10^2,"")</f>
        <v>100</v>
      </c>
      <c r="EV10" s="1" t="n">
        <f aca="false">IF(AND(R_Scores!$B10=1,R_Scores!$C10="Tool condition",ISNUMBER(R_Scores!Q10)),COUNTIFS(R_Scores!$B$5:$B$44,1,R_Scores!$C$5:$C$44,"Paper condition",R_Scores!Q$5:Q$44,"&lt;"&amp;R_Scores!Q10)+0.5*COUNTIFS(R_Scores!$B$5:$B$44,1,R_Scores!$C$5:$C$44,"Paper condition",R_Scores!Q$5:Q$44,R_Scores!Q10),"")</f>
        <v>7.5</v>
      </c>
      <c r="EW10" s="1" t="n">
        <f aca="false">IF(AND(R_Scores!$B10=1,OR(R_Scores!$C10="Tool condition",R_Scores!$C10="Paper condition"),ISNUMBER(R_Scores!Q10)),(COUNTIFS(R_Scores!$B$5:$B$44,1,R_Scores!$C$5:$C$44,"Tool condition",R_Scores!Q$5:Q$44,R_Scores!Q10)+COUNTIFS(R_Scores!$B$5:$B$44,1,R_Scores!$C$5:$C$44,"Paper condition",R_Scores!Q$5:Q$44,R_Scores!Q10))^2-1,"")</f>
        <v>80</v>
      </c>
      <c r="EX10" s="1" t="str">
        <f aca="false">IF(AND(R_Scores!$B10=2,R_Scores!$C10="Tool condition",ISNUMBER(R_Scores!Q10)),COUNTIFS(R_Scores!$B$5:$B$44,2,R_Scores!$C$5:$C$44,"Paper condition",R_Scores!Q$5:Q$44,"&lt;"&amp;R_Scores!Q10)+0.5*COUNTIFS(R_Scores!$B$5:$B$44,2,R_Scores!$C$5:$C$44,"Paper condition",R_Scores!Q$5:Q$44,R_Scores!Q10),"")</f>
        <v/>
      </c>
      <c r="EY10" s="1" t="str">
        <f aca="false">IF(AND(R_Scores!$B10=2,OR(R_Scores!$C10="Tool condition",R_Scores!$C10="Paper condition"),ISNUMBER(R_Scores!Q10)),(COUNTIFS(R_Scores!$B$5:$B$44,2,R_Scores!$C$5:$C$44,"Tool condition",R_Scores!Q$5:Q$44,R_Scores!Q10)+COUNTIFS(R_Scores!$B$5:$B$44,2,R_Scores!$C$5:$C$44,"Paper condition",R_Scores!Q$5:Q$44,R_Scores!Q10))^2-1,"")</f>
        <v/>
      </c>
      <c r="EZ10" s="1" t="n">
        <f aca="false">IF(ISNUMBER(R_Scores!Q10),R_Scores!Q10^2,"")</f>
        <v>36</v>
      </c>
      <c r="FA10" s="1" t="n">
        <f aca="false">IF(AND(R_Scores!$B10=1,R_Scores!$C10="Tool condition",ISNUMBER(R_Scores!R10)),COUNTIFS(R_Scores!$B$5:$B$44,1,R_Scores!$C$5:$C$44,"Paper condition",R_Scores!R$5:R$44,"&lt;"&amp;R_Scores!R10)+0.5*COUNTIFS(R_Scores!$B$5:$B$44,1,R_Scores!$C$5:$C$44,"Paper condition",R_Scores!R$5:R$44,R_Scores!R10),"")</f>
        <v>10</v>
      </c>
      <c r="FB10" s="1" t="n">
        <f aca="false">IF(AND(R_Scores!$B10=1,OR(R_Scores!$C10="Tool condition",R_Scores!$C10="Paper condition"),ISNUMBER(R_Scores!R10)),(COUNTIFS(R_Scores!$B$5:$B$44,1,R_Scores!$C$5:$C$44,"Tool condition",R_Scores!R$5:R$44,R_Scores!R10)+COUNTIFS(R_Scores!$B$5:$B$44,1,R_Scores!$C$5:$C$44,"Paper condition",R_Scores!R$5:R$44,R_Scores!R10))^2-1,"")</f>
        <v>35</v>
      </c>
      <c r="FC10" s="1" t="str">
        <f aca="false">IF(AND(R_Scores!$B10=2,R_Scores!$C10="Tool condition",ISNUMBER(R_Scores!R10)),COUNTIFS(R_Scores!$B$5:$B$44,2,R_Scores!$C$5:$C$44,"Paper condition",R_Scores!R$5:R$44,"&lt;"&amp;R_Scores!R10)+0.5*COUNTIFS(R_Scores!$B$5:$B$44,2,R_Scores!$C$5:$C$44,"Paper condition",R_Scores!R$5:R$44,R_Scores!R10),"")</f>
        <v/>
      </c>
      <c r="FD10" s="1" t="str">
        <f aca="false">IF(AND(R_Scores!$B10=2,OR(R_Scores!$C10="Tool condition",R_Scores!$C10="Paper condition"),ISNUMBER(R_Scores!R10)),(COUNTIFS(R_Scores!$B$5:$B$44,2,R_Scores!$C$5:$C$44,"Tool condition",R_Scores!R$5:R$44,R_Scores!R10)+COUNTIFS(R_Scores!$B$5:$B$44,2,R_Scores!$C$5:$C$44,"Paper condition",R_Scores!R$5:R$44,R_Scores!R10))^2-1,"")</f>
        <v/>
      </c>
      <c r="FE10" s="1" t="n">
        <f aca="false">IF(ISNUMBER(R_Scores!R10),R_Scores!R10^2,"")</f>
        <v>900</v>
      </c>
    </row>
    <row r="11" customFormat="false" ht="14.25" hidden="false" customHeight="true" outlineLevel="0" collapsed="false">
      <c r="B11" s="1" t="n">
        <f aca="false">IF(AND(Scores!$B11=1,Scores!$C11="Tool condition",ISNUMBER(Scores!E11)),COUNTIFS(Scores!$B$5:$B$44,1,Scores!$C$5:$C$44,"Paper condition",Scores!E$5:E$44,"&lt;"&amp;Scores!E11)+0.5*COUNTIFS(Scores!$B$5:$B$44,1,Scores!$C$5:$C$44,"Paper condition",Scores!E$5:E$44,Scores!E11),"")</f>
        <v>7</v>
      </c>
      <c r="C11" s="1" t="n">
        <f aca="false">IF(AND(Scores!$B11=1,OR(Scores!$C11="Tool condition",Scores!$C11="Paper condition"),ISNUMBER(Scores!E11)),(COUNTIFS(Scores!$B$5:$B$44,1,Scores!$C$5:$C$44,"Tool condition",Scores!E$5:E$44,Scores!E11)+COUNTIFS(Scores!$B$5:$B$44,1,Scores!$C$5:$C$44,"Paper condition",Scores!E$5:E$44,Scores!E11))^2-1,"")</f>
        <v>255</v>
      </c>
      <c r="D11" s="1" t="str">
        <f aca="false">IF(AND(Scores!$B11=2,Scores!$C11="Tool condition",ISNUMBER(Scores!E11)),COUNTIFS(Scores!$B$5:$B$44,2,Scores!$C$5:$C$44,"Paper condition",Scores!E$5:E$44,"&lt;"&amp;Scores!E11)+0.5*COUNTIFS(Scores!$B$5:$B$44,2,Scores!$C$5:$C$44,"Paper condition",Scores!E$5:E$44,Scores!E11),"")</f>
        <v/>
      </c>
      <c r="E11" s="1" t="str">
        <f aca="false">IF(AND(Scores!$B11=2,OR(Scores!$C11="Tool condition",Scores!$C11="Paper condition"),ISNUMBER(Scores!E11)),(COUNTIFS(Scores!$B$5:$B$44,2,Scores!$C$5:$C$44,"Tool condition",Scores!E$5:E$44,Scores!E11)+COUNTIFS(Scores!$B$5:$B$44,2,Scores!$C$5:$C$44,"Paper condition",Scores!E$5:E$44,Scores!E11))^2-1,"")</f>
        <v/>
      </c>
      <c r="F11" s="1" t="n">
        <f aca="false">IF(ISNUMBER(Scores!E11),Scores!E11^2,"")</f>
        <v>4</v>
      </c>
      <c r="G11" s="1" t="n">
        <f aca="false">IF(AND(Scores!$B11=1,Scores!$C11="Tool condition",ISNUMBER(Scores!F11)),COUNTIFS(Scores!$B$5:$B$44,1,Scores!$C$5:$C$44,"Paper condition",Scores!F$5:F$44,"&lt;"&amp;Scores!F11)+0.5*COUNTIFS(Scores!$B$5:$B$44,1,Scores!$C$5:$C$44,"Paper condition",Scores!F$5:F$44,Scores!F11),"")</f>
        <v>8</v>
      </c>
      <c r="H11" s="1" t="n">
        <f aca="false">IF(AND(Scores!$B11=1,OR(Scores!$C11="Tool condition",Scores!$C11="Paper condition"),ISNUMBER(Scores!F11)),(COUNTIFS(Scores!$B$5:$B$44,1,Scores!$C$5:$C$44,"Tool condition",Scores!F$5:F$44,Scores!F11)+COUNTIFS(Scores!$B$5:$B$44,1,Scores!$C$5:$C$44,"Paper condition",Scores!F$5:F$44,Scores!F11))^2-1,"")</f>
        <v>195</v>
      </c>
      <c r="I11" s="1" t="str">
        <f aca="false">IF(AND(Scores!$B11=2,Scores!$C11="Tool condition",ISNUMBER(Scores!F11)),COUNTIFS(Scores!$B$5:$B$44,2,Scores!$C$5:$C$44,"Paper condition",Scores!F$5:F$44,"&lt;"&amp;Scores!F11)+0.5*COUNTIFS(Scores!$B$5:$B$44,2,Scores!$C$5:$C$44,"Paper condition",Scores!F$5:F$44,Scores!F11),"")</f>
        <v/>
      </c>
      <c r="J11" s="1" t="str">
        <f aca="false">IF(AND(Scores!$B11=2,OR(Scores!$C11="Tool condition",Scores!$C11="Paper condition"),ISNUMBER(Scores!F11)),(COUNTIFS(Scores!$B$5:$B$44,2,Scores!$C$5:$C$44,"Tool condition",Scores!F$5:F$44,Scores!F11)+COUNTIFS(Scores!$B$5:$B$44,2,Scores!$C$5:$C$44,"Paper condition",Scores!F$5:F$44,Scores!F11))^2-1,"")</f>
        <v/>
      </c>
      <c r="K11" s="1" t="n">
        <f aca="false">IF(ISNUMBER(Scores!F11),Scores!F11^2,"")</f>
        <v>4</v>
      </c>
      <c r="L11" s="1" t="n">
        <f aca="false">IF(AND(Scores!$B11=1,Scores!$C11="Tool condition",ISNUMBER(Scores!G11)),COUNTIFS(Scores!$B$5:$B$44,1,Scores!$C$5:$C$44,"Paper condition",Scores!G$5:G$44,"&lt;"&amp;Scores!G11)+0.5*COUNTIFS(Scores!$B$5:$B$44,1,Scores!$C$5:$C$44,"Paper condition",Scores!G$5:G$44,Scores!G11),"")</f>
        <v>6.5</v>
      </c>
      <c r="M11" s="1" t="n">
        <f aca="false">IF(AND(Scores!$B11=1,OR(Scores!$C11="Tool condition",Scores!$C11="Paper condition"),ISNUMBER(Scores!G11)),(COUNTIFS(Scores!$B$5:$B$44,1,Scores!$C$5:$C$44,"Tool condition",Scores!G$5:G$44,Scores!G11)+COUNTIFS(Scores!$B$5:$B$44,1,Scores!$C$5:$C$44,"Paper condition",Scores!G$5:G$44,Scores!G11))^2-1,"")</f>
        <v>288</v>
      </c>
      <c r="N11" s="1" t="str">
        <f aca="false">IF(AND(Scores!$B11=2,Scores!$C11="Tool condition",ISNUMBER(Scores!G11)),COUNTIFS(Scores!$B$5:$B$44,2,Scores!$C$5:$C$44,"Paper condition",Scores!G$5:G$44,"&lt;"&amp;Scores!G11)+0.5*COUNTIFS(Scores!$B$5:$B$44,2,Scores!$C$5:$C$44,"Paper condition",Scores!G$5:G$44,Scores!G11),"")</f>
        <v/>
      </c>
      <c r="O11" s="1" t="str">
        <f aca="false">IF(AND(Scores!$B11=2,OR(Scores!$C11="Tool condition",Scores!$C11="Paper condition"),ISNUMBER(Scores!G11)),(COUNTIFS(Scores!$B$5:$B$44,2,Scores!$C$5:$C$44,"Tool condition",Scores!G$5:G$44,Scores!G11)+COUNTIFS(Scores!$B$5:$B$44,2,Scores!$C$5:$C$44,"Paper condition",Scores!G$5:G$44,Scores!G11))^2-1,"")</f>
        <v/>
      </c>
      <c r="P11" s="1" t="n">
        <f aca="false">IF(ISNUMBER(Scores!G11),Scores!G11^2,"")</f>
        <v>4</v>
      </c>
      <c r="Q11" s="1" t="n">
        <f aca="false">IF(AND(Scores!$B11=1,Scores!$C11="Tool condition",ISNUMBER(Scores!H11)),COUNTIFS(Scores!$B$5:$B$44,1,Scores!$C$5:$C$44,"Paper condition",Scores!H$5:H$44,"&lt;"&amp;Scores!H11)+0.5*COUNTIFS(Scores!$B$5:$B$44,1,Scores!$C$5:$C$44,"Paper condition",Scores!H$5:H$44,Scores!H11),"")</f>
        <v>7</v>
      </c>
      <c r="R11" s="1" t="n">
        <f aca="false">IF(AND(Scores!$B11=1,OR(Scores!$C11="Tool condition",Scores!$C11="Paper condition"),ISNUMBER(Scores!H11)),(COUNTIFS(Scores!$B$5:$B$44,1,Scores!$C$5:$C$44,"Tool condition",Scores!H$5:H$44,Scores!H11)+COUNTIFS(Scores!$B$5:$B$44,1,Scores!$C$5:$C$44,"Paper condition",Scores!H$5:H$44,Scores!H11))^2-1,"")</f>
        <v>255</v>
      </c>
      <c r="S11" s="1" t="str">
        <f aca="false">IF(AND(Scores!$B11=2,Scores!$C11="Tool condition",ISNUMBER(Scores!H11)),COUNTIFS(Scores!$B$5:$B$44,2,Scores!$C$5:$C$44,"Paper condition",Scores!H$5:H$44,"&lt;"&amp;Scores!H11)+0.5*COUNTIFS(Scores!$B$5:$B$44,2,Scores!$C$5:$C$44,"Paper condition",Scores!H$5:H$44,Scores!H11),"")</f>
        <v/>
      </c>
      <c r="T11" s="1" t="str">
        <f aca="false">IF(AND(Scores!$B11=2,OR(Scores!$C11="Tool condition",Scores!$C11="Paper condition"),ISNUMBER(Scores!H11)),(COUNTIFS(Scores!$B$5:$B$44,2,Scores!$C$5:$C$44,"Tool condition",Scores!H$5:H$44,Scores!H11)+COUNTIFS(Scores!$B$5:$B$44,2,Scores!$C$5:$C$44,"Paper condition",Scores!H$5:H$44,Scores!H11))^2-1,"")</f>
        <v/>
      </c>
      <c r="U11" s="1" t="n">
        <f aca="false">IF(ISNUMBER(Scores!H11),Scores!H11^2,"")</f>
        <v>4</v>
      </c>
      <c r="V11" s="1" t="n">
        <f aca="false">IF(AND(Scores!$B11=1,Scores!$C11="Tool condition",ISNUMBER(Scores!I11)),COUNTIFS(Scores!$B$5:$B$44,1,Scores!$C$5:$C$44,"Paper condition",Scores!I$5:I$44,"&lt;"&amp;Scores!I11)+0.5*COUNTIFS(Scores!$B$5:$B$44,1,Scores!$C$5:$C$44,"Paper condition",Scores!I$5:I$44,Scores!I11),"")</f>
        <v>8</v>
      </c>
      <c r="W11" s="1" t="n">
        <f aca="false">IF(AND(Scores!$B11=1,OR(Scores!$C11="Tool condition",Scores!$C11="Paper condition"),ISNUMBER(Scores!I11)),(COUNTIFS(Scores!$B$5:$B$44,1,Scores!$C$5:$C$44,"Tool condition",Scores!I$5:I$44,Scores!I11)+COUNTIFS(Scores!$B$5:$B$44,1,Scores!$C$5:$C$44,"Paper condition",Scores!I$5:I$44,Scores!I11))^2-1,"")</f>
        <v>195</v>
      </c>
      <c r="X11" s="1" t="str">
        <f aca="false">IF(AND(Scores!$B11=2,Scores!$C11="Tool condition",ISNUMBER(Scores!I11)),COUNTIFS(Scores!$B$5:$B$44,2,Scores!$C$5:$C$44,"Paper condition",Scores!I$5:I$44,"&lt;"&amp;Scores!I11)+0.5*COUNTIFS(Scores!$B$5:$B$44,2,Scores!$C$5:$C$44,"Paper condition",Scores!I$5:I$44,Scores!I11),"")</f>
        <v/>
      </c>
      <c r="Y11" s="1" t="str">
        <f aca="false">IF(AND(Scores!$B11=2,OR(Scores!$C11="Tool condition",Scores!$C11="Paper condition"),ISNUMBER(Scores!I11)),(COUNTIFS(Scores!$B$5:$B$44,2,Scores!$C$5:$C$44,"Tool condition",Scores!I$5:I$44,Scores!I11)+COUNTIFS(Scores!$B$5:$B$44,2,Scores!$C$5:$C$44,"Paper condition",Scores!I$5:I$44,Scores!I11))^2-1,"")</f>
        <v/>
      </c>
      <c r="Z11" s="1" t="n">
        <f aca="false">IF(ISNUMBER(Scores!I11),Scores!I11^2,"")</f>
        <v>4</v>
      </c>
      <c r="AA11" s="1" t="n">
        <f aca="false">IF(AND(Scores!$B11=1,Scores!$C11="Tool condition",ISNUMBER(Scores!J11)),COUNTIFS(Scores!$B$5:$B$44,1,Scores!$C$5:$C$44,"Paper condition",Scores!J$5:J$44,"&lt;"&amp;Scores!J11)+0.5*COUNTIFS(Scores!$B$5:$B$44,1,Scores!$C$5:$C$44,"Paper condition",Scores!J$5:J$44,Scores!J11),"")</f>
        <v>7.5</v>
      </c>
      <c r="AB11" s="1" t="n">
        <f aca="false">IF(AND(Scores!$B11=1,OR(Scores!$C11="Tool condition",Scores!$C11="Paper condition"),ISNUMBER(Scores!J11)),(COUNTIFS(Scores!$B$5:$B$44,1,Scores!$C$5:$C$44,"Tool condition",Scores!J$5:J$44,Scores!J11)+COUNTIFS(Scores!$B$5:$B$44,1,Scores!$C$5:$C$44,"Paper condition",Scores!J$5:J$44,Scores!J11))^2-1,"")</f>
        <v>224</v>
      </c>
      <c r="AC11" s="1" t="str">
        <f aca="false">IF(AND(Scores!$B11=2,Scores!$C11="Tool condition",ISNUMBER(Scores!J11)),COUNTIFS(Scores!$B$5:$B$44,2,Scores!$C$5:$C$44,"Paper condition",Scores!J$5:J$44,"&lt;"&amp;Scores!J11)+0.5*COUNTIFS(Scores!$B$5:$B$44,2,Scores!$C$5:$C$44,"Paper condition",Scores!J$5:J$44,Scores!J11),"")</f>
        <v/>
      </c>
      <c r="AD11" s="1" t="str">
        <f aca="false">IF(AND(Scores!$B11=2,OR(Scores!$C11="Tool condition",Scores!$C11="Paper condition"),ISNUMBER(Scores!J11)),(COUNTIFS(Scores!$B$5:$B$44,2,Scores!$C$5:$C$44,"Tool condition",Scores!J$5:J$44,Scores!J11)+COUNTIFS(Scores!$B$5:$B$44,2,Scores!$C$5:$C$44,"Paper condition",Scores!J$5:J$44,Scores!J11))^2-1,"")</f>
        <v/>
      </c>
      <c r="AE11" s="1" t="n">
        <f aca="false">IF(ISNUMBER(Scores!J11),Scores!J11^2,"")</f>
        <v>4</v>
      </c>
      <c r="AF11" s="1" t="n">
        <f aca="false">IF(AND(Scores!$B11=1,Scores!$C11="Tool condition",ISNUMBER(Scores!K11)),COUNTIFS(Scores!$B$5:$B$44,1,Scores!$C$5:$C$44,"Paper condition",Scores!K$5:K$44,"&lt;"&amp;Scores!K11)+0.5*COUNTIFS(Scores!$B$5:$B$44,1,Scores!$C$5:$C$44,"Paper condition",Scores!K$5:K$44,Scores!K11),"")</f>
        <v>7</v>
      </c>
      <c r="AG11" s="1" t="n">
        <f aca="false">IF(AND(Scores!$B11=1,OR(Scores!$C11="Tool condition",Scores!$C11="Paper condition"),ISNUMBER(Scores!K11)),(COUNTIFS(Scores!$B$5:$B$44,1,Scores!$C$5:$C$44,"Tool condition",Scores!K$5:K$44,Scores!K11)+COUNTIFS(Scores!$B$5:$B$44,1,Scores!$C$5:$C$44,"Paper condition",Scores!K$5:K$44,Scores!K11))^2-1,"")</f>
        <v>255</v>
      </c>
      <c r="AH11" s="1" t="str">
        <f aca="false">IF(AND(Scores!$B11=2,Scores!$C11="Tool condition",ISNUMBER(Scores!K11)),COUNTIFS(Scores!$B$5:$B$44,2,Scores!$C$5:$C$44,"Paper condition",Scores!K$5:K$44,"&lt;"&amp;Scores!K11)+0.5*COUNTIFS(Scores!$B$5:$B$44,2,Scores!$C$5:$C$44,"Paper condition",Scores!K$5:K$44,Scores!K11),"")</f>
        <v/>
      </c>
      <c r="AI11" s="1" t="str">
        <f aca="false">IF(AND(Scores!$B11=2,OR(Scores!$C11="Tool condition",Scores!$C11="Paper condition"),ISNUMBER(Scores!K11)),(COUNTIFS(Scores!$B$5:$B$44,2,Scores!$C$5:$C$44,"Tool condition",Scores!K$5:K$44,Scores!K11)+COUNTIFS(Scores!$B$5:$B$44,2,Scores!$C$5:$C$44,"Paper condition",Scores!K$5:K$44,Scores!K11))^2-1,"")</f>
        <v/>
      </c>
      <c r="AJ11" s="1" t="n">
        <f aca="false">IF(ISNUMBER(Scores!K11),Scores!K11^2,"")</f>
        <v>4</v>
      </c>
      <c r="AK11" s="1" t="n">
        <f aca="false">IF(AND(Scores!$B11=1,Scores!$C11="Tool condition",ISNUMBER(Scores!L11)),COUNTIFS(Scores!$B$5:$B$44,1,Scores!$C$5:$C$44,"Paper condition",Scores!L$5:L$44,"&lt;"&amp;Scores!L11)+0.5*COUNTIFS(Scores!$B$5:$B$44,1,Scores!$C$5:$C$44,"Paper condition",Scores!L$5:L$44,Scores!L11),"")</f>
        <v>6.5</v>
      </c>
      <c r="AL11" s="1" t="n">
        <f aca="false">IF(AND(Scores!$B11=1,OR(Scores!$C11="Tool condition",Scores!$C11="Paper condition"),ISNUMBER(Scores!L11)),(COUNTIFS(Scores!$B$5:$B$44,1,Scores!$C$5:$C$44,"Tool condition",Scores!L$5:L$44,Scores!L11)+COUNTIFS(Scores!$B$5:$B$44,1,Scores!$C$5:$C$44,"Paper condition",Scores!L$5:L$44,Scores!L11))^2-1,"")</f>
        <v>288</v>
      </c>
      <c r="AM11" s="1" t="str">
        <f aca="false">IF(AND(Scores!$B11=2,Scores!$C11="Tool condition",ISNUMBER(Scores!L11)),COUNTIFS(Scores!$B$5:$B$44,2,Scores!$C$5:$C$44,"Paper condition",Scores!L$5:L$44,"&lt;"&amp;Scores!L11)+0.5*COUNTIFS(Scores!$B$5:$B$44,2,Scores!$C$5:$C$44,"Paper condition",Scores!L$5:L$44,Scores!L11),"")</f>
        <v/>
      </c>
      <c r="AN11" s="1" t="str">
        <f aca="false">IF(AND(Scores!$B11=2,OR(Scores!$C11="Tool condition",Scores!$C11="Paper condition"),ISNUMBER(Scores!L11)),(COUNTIFS(Scores!$B$5:$B$44,2,Scores!$C$5:$C$44,"Tool condition",Scores!L$5:L$44,Scores!L11)+COUNTIFS(Scores!$B$5:$B$44,2,Scores!$C$5:$C$44,"Paper condition",Scores!L$5:L$44,Scores!L11))^2-1,"")</f>
        <v/>
      </c>
      <c r="AO11" s="1" t="n">
        <f aca="false">IF(ISNUMBER(Scores!L11),Scores!L11^2,"")</f>
        <v>4</v>
      </c>
      <c r="AP11" s="1" t="n">
        <f aca="false">IF(AND(Scores!$B11=1,Scores!$C11="Tool condition",ISNUMBER(Scores!M11)),COUNTIFS(Scores!$B$5:$B$44,1,Scores!$C$5:$C$44,"Paper condition",Scores!M$5:M$44,"&lt;"&amp;Scores!M11)+0.5*COUNTIFS(Scores!$B$5:$B$44,1,Scores!$C$5:$C$44,"Paper condition",Scores!M$5:M$44,Scores!M11),"")</f>
        <v>6.5</v>
      </c>
      <c r="AQ11" s="1" t="n">
        <f aca="false">IF(AND(Scores!$B11=1,OR(Scores!$C11="Tool condition",Scores!$C11="Paper condition"),ISNUMBER(Scores!M11)),(COUNTIFS(Scores!$B$5:$B$44,1,Scores!$C$5:$C$44,"Tool condition",Scores!M$5:M$44,Scores!M11)+COUNTIFS(Scores!$B$5:$B$44,1,Scores!$C$5:$C$44,"Paper condition",Scores!M$5:M$44,Scores!M11))^2-1,"")</f>
        <v>288</v>
      </c>
      <c r="AR11" s="1" t="str">
        <f aca="false">IF(AND(Scores!$B11=2,Scores!$C11="Tool condition",ISNUMBER(Scores!M11)),COUNTIFS(Scores!$B$5:$B$44,2,Scores!$C$5:$C$44,"Paper condition",Scores!M$5:M$44,"&lt;"&amp;Scores!M11)+0.5*COUNTIFS(Scores!$B$5:$B$44,2,Scores!$C$5:$C$44,"Paper condition",Scores!M$5:M$44,Scores!M11),"")</f>
        <v/>
      </c>
      <c r="AS11" s="1" t="str">
        <f aca="false">IF(AND(Scores!$B11=2,OR(Scores!$C11="Tool condition",Scores!$C11="Paper condition"),ISNUMBER(Scores!M11)),(COUNTIFS(Scores!$B$5:$B$44,2,Scores!$C$5:$C$44,"Tool condition",Scores!M$5:M$44,Scores!M11)+COUNTIFS(Scores!$B$5:$B$44,2,Scores!$C$5:$C$44,"Paper condition",Scores!M$5:M$44,Scores!M11))^2-1,"")</f>
        <v/>
      </c>
      <c r="AT11" s="1" t="n">
        <f aca="false">IF(ISNUMBER(Scores!M11),Scores!M11^2,"")</f>
        <v>4</v>
      </c>
      <c r="AU11" s="1" t="n">
        <f aca="false">IF(AND(Scores!$B11=1,Scores!$C11="Tool condition",ISNUMBER(Scores!N11)),COUNTIFS(Scores!$B$5:$B$44,1,Scores!$C$5:$C$44,"Paper condition",Scores!N$5:N$44,"&lt;"&amp;Scores!N11)+0.5*COUNTIFS(Scores!$B$5:$B$44,1,Scores!$C$5:$C$44,"Paper condition",Scores!N$5:N$44,Scores!N11),"")</f>
        <v>8</v>
      </c>
      <c r="AV11" s="1" t="n">
        <f aca="false">IF(AND(Scores!$B11=1,OR(Scores!$C11="Tool condition",Scores!$C11="Paper condition"),ISNUMBER(Scores!N11)),(COUNTIFS(Scores!$B$5:$B$44,1,Scores!$C$5:$C$44,"Tool condition",Scores!N$5:N$44,Scores!N11)+COUNTIFS(Scores!$B$5:$B$44,1,Scores!$C$5:$C$44,"Paper condition",Scores!N$5:N$44,Scores!N11))^2-1,"")</f>
        <v>195</v>
      </c>
      <c r="AW11" s="1" t="str">
        <f aca="false">IF(AND(Scores!$B11=2,Scores!$C11="Tool condition",ISNUMBER(Scores!N11)),COUNTIFS(Scores!$B$5:$B$44,2,Scores!$C$5:$C$44,"Paper condition",Scores!N$5:N$44,"&lt;"&amp;Scores!N11)+0.5*COUNTIFS(Scores!$B$5:$B$44,2,Scores!$C$5:$C$44,"Paper condition",Scores!N$5:N$44,Scores!N11),"")</f>
        <v/>
      </c>
      <c r="AX11" s="1" t="str">
        <f aca="false">IF(AND(Scores!$B11=2,OR(Scores!$C11="Tool condition",Scores!$C11="Paper condition"),ISNUMBER(Scores!N11)),(COUNTIFS(Scores!$B$5:$B$44,2,Scores!$C$5:$C$44,"Tool condition",Scores!N$5:N$44,Scores!N11)+COUNTIFS(Scores!$B$5:$B$44,2,Scores!$C$5:$C$44,"Paper condition",Scores!N$5:N$44,Scores!N11))^2-1,"")</f>
        <v/>
      </c>
      <c r="AY11" s="1" t="n">
        <f aca="false">IF(ISNUMBER(Scores!N11),Scores!N11^2,"")</f>
        <v>4</v>
      </c>
      <c r="AZ11" s="1" t="n">
        <f aca="false">IF(AND(Scores!$B11=1,Scores!$C11="Tool condition",ISNUMBER(Scores!O11)),COUNTIFS(Scores!$B$5:$B$44,1,Scores!$C$5:$C$44,"Paper condition",Scores!O$5:O$44,"&lt;"&amp;Scores!O11)+0.5*COUNTIFS(Scores!$B$5:$B$44,1,Scores!$C$5:$C$44,"Paper condition",Scores!O$5:O$44,Scores!O11),"")</f>
        <v>7.5</v>
      </c>
      <c r="BA11" s="1" t="n">
        <f aca="false">IF(AND(Scores!$B11=1,OR(Scores!$C11="Tool condition",Scores!$C11="Paper condition"),ISNUMBER(Scores!O11)),(COUNTIFS(Scores!$B$5:$B$44,1,Scores!$C$5:$C$44,"Tool condition",Scores!O$5:O$44,Scores!O11)+COUNTIFS(Scores!$B$5:$B$44,1,Scores!$C$5:$C$44,"Paper condition",Scores!O$5:O$44,Scores!O11))^2-1,"")</f>
        <v>224</v>
      </c>
      <c r="BB11" s="1" t="str">
        <f aca="false">IF(AND(Scores!$B11=2,Scores!$C11="Tool condition",ISNUMBER(Scores!O11)),COUNTIFS(Scores!$B$5:$B$44,2,Scores!$C$5:$C$44,"Paper condition",Scores!O$5:O$44,"&lt;"&amp;Scores!O11)+0.5*COUNTIFS(Scores!$B$5:$B$44,2,Scores!$C$5:$C$44,"Paper condition",Scores!O$5:O$44,Scores!O11),"")</f>
        <v/>
      </c>
      <c r="BC11" s="1" t="str">
        <f aca="false">IF(AND(Scores!$B11=2,OR(Scores!$C11="Tool condition",Scores!$C11="Paper condition"),ISNUMBER(Scores!O11)),(COUNTIFS(Scores!$B$5:$B$44,2,Scores!$C$5:$C$44,"Tool condition",Scores!O$5:O$44,Scores!O11)+COUNTIFS(Scores!$B$5:$B$44,2,Scores!$C$5:$C$44,"Paper condition",Scores!O$5:O$44,Scores!O11))^2-1,"")</f>
        <v/>
      </c>
      <c r="BD11" s="1" t="n">
        <f aca="false">IF(ISNUMBER(Scores!O11),Scores!O11^2,"")</f>
        <v>4</v>
      </c>
      <c r="BE11" s="1" t="n">
        <f aca="false">IF(AND(Scores!$B11=1,Scores!$C11="Tool condition",ISNUMBER(Scores!P11)),COUNTIFS(Scores!$B$5:$B$44,1,Scores!$C$5:$C$44,"Paper condition",Scores!P$5:P$44,"&lt;"&amp;Scores!P11)+0.5*COUNTIFS(Scores!$B$5:$B$44,1,Scores!$C$5:$C$44,"Paper condition",Scores!P$5:P$44,Scores!P11),"")</f>
        <v>8.5</v>
      </c>
      <c r="BF11" s="1" t="n">
        <f aca="false">IF(AND(Scores!$B11=1,OR(Scores!$C11="Tool condition",Scores!$C11="Paper condition"),ISNUMBER(Scores!P11)),(COUNTIFS(Scores!$B$5:$B$44,1,Scores!$C$5:$C$44,"Tool condition",Scores!P$5:P$44,Scores!P11)+COUNTIFS(Scores!$B$5:$B$44,1,Scores!$C$5:$C$44,"Paper condition",Scores!P$5:P$44,Scores!P11))^2-1,"")</f>
        <v>168</v>
      </c>
      <c r="BG11" s="1" t="str">
        <f aca="false">IF(AND(Scores!$B11=2,Scores!$C11="Tool condition",ISNUMBER(Scores!P11)),COUNTIFS(Scores!$B$5:$B$44,2,Scores!$C$5:$C$44,"Paper condition",Scores!P$5:P$44,"&lt;"&amp;Scores!P11)+0.5*COUNTIFS(Scores!$B$5:$B$44,2,Scores!$C$5:$C$44,"Paper condition",Scores!P$5:P$44,Scores!P11),"")</f>
        <v/>
      </c>
      <c r="BH11" s="1" t="str">
        <f aca="false">IF(AND(Scores!$B11=2,OR(Scores!$C11="Tool condition",Scores!$C11="Paper condition"),ISNUMBER(Scores!P11)),(COUNTIFS(Scores!$B$5:$B$44,2,Scores!$C$5:$C$44,"Tool condition",Scores!P$5:P$44,Scores!P11)+COUNTIFS(Scores!$B$5:$B$44,2,Scores!$C$5:$C$44,"Paper condition",Scores!P$5:P$44,Scores!P11))^2-1,"")</f>
        <v/>
      </c>
      <c r="BI11" s="1" t="n">
        <f aca="false">IF(ISNUMBER(Scores!P11),Scores!P11^2,"")</f>
        <v>4</v>
      </c>
      <c r="BJ11" s="1" t="n">
        <f aca="false">IF(AND(R_Scores!$B11=1,R_Scores!$C11="Tool condition",ISNUMBER(R_Scores!E11)),COUNTIFS(R_Scores!$B$5:$B$44,1,R_Scores!$C$5:$C$44,"Paper condition",R_Scores!E$5:E$44,"&lt;"&amp;R_Scores!E11)+0.5*COUNTIFS(R_Scores!$B$5:$B$44,1,R_Scores!$C$5:$C$44,"Paper condition",R_Scores!E$5:E$44,R_Scores!E11),"")</f>
        <v>7</v>
      </c>
      <c r="BK11" s="1" t="n">
        <f aca="false">IF(AND(R_Scores!$B11=1,OR(R_Scores!$C11="Tool condition",R_Scores!$C11="Paper condition"),ISNUMBER(R_Scores!E11)),(COUNTIFS(R_Scores!$B$5:$B$44,1,R_Scores!$C$5:$C$44,"Tool condition",R_Scores!E$5:E$44,R_Scores!E11)+COUNTIFS(R_Scores!$B$5:$B$44,1,R_Scores!$C$5:$C$44,"Paper condition",R_Scores!E$5:E$44,R_Scores!E11))^2-1,"")</f>
        <v>224</v>
      </c>
      <c r="BL11" s="1" t="str">
        <f aca="false">IF(AND(R_Scores!$B11=2,R_Scores!$C11="Tool condition",ISNUMBER(R_Scores!E11)),COUNTIFS(R_Scores!$B$5:$B$44,2,R_Scores!$C$5:$C$44,"Paper condition",R_Scores!E$5:E$44,"&lt;"&amp;R_Scores!E11)+0.5*COUNTIFS(R_Scores!$B$5:$B$44,2,R_Scores!$C$5:$C$44,"Paper condition",R_Scores!E$5:E$44,R_Scores!E11),"")</f>
        <v/>
      </c>
      <c r="BM11" s="1" t="str">
        <f aca="false">IF(AND(R_Scores!$B11=2,OR(R_Scores!$C11="Tool condition",R_Scores!$C11="Paper condition"),ISNUMBER(R_Scores!E11)),(COUNTIFS(R_Scores!$B$5:$B$44,2,R_Scores!$C$5:$C$44,"Tool condition",R_Scores!E$5:E$44,R_Scores!E11)+COUNTIFS(R_Scores!$B$5:$B$44,2,R_Scores!$C$5:$C$44,"Paper condition",R_Scores!E$5:E$44,R_Scores!E11))^2-1,"")</f>
        <v/>
      </c>
      <c r="BN11" s="1" t="n">
        <f aca="false">IF(ISNUMBER(R_Scores!E11),R_Scores!E11^2,"")</f>
        <v>1</v>
      </c>
      <c r="BO11" s="1" t="n">
        <f aca="false">IF(AND(R_Scores!$B11=1,R_Scores!$C11="Tool condition",ISNUMBER(R_Scores!F11)),COUNTIFS(R_Scores!$B$5:$B$44,1,R_Scores!$C$5:$C$44,"Paper condition",R_Scores!F$5:F$44,"&lt;"&amp;R_Scores!F11)+0.5*COUNTIFS(R_Scores!$B$5:$B$44,1,R_Scores!$C$5:$C$44,"Paper condition",R_Scores!F$5:F$44,R_Scores!F11),"")</f>
        <v>7</v>
      </c>
      <c r="BP11" s="1" t="n">
        <f aca="false">IF(AND(R_Scores!$B11=1,OR(R_Scores!$C11="Tool condition",R_Scores!$C11="Paper condition"),ISNUMBER(R_Scores!F11)),(COUNTIFS(R_Scores!$B$5:$B$44,1,R_Scores!$C$5:$C$44,"Tool condition",R_Scores!F$5:F$44,R_Scores!F11)+COUNTIFS(R_Scores!$B$5:$B$44,1,R_Scores!$C$5:$C$44,"Paper condition",R_Scores!F$5:F$44,R_Scores!F11))^2-1,"")</f>
        <v>195</v>
      </c>
      <c r="BQ11" s="1" t="str">
        <f aca="false">IF(AND(R_Scores!$B11=2,R_Scores!$C11="Tool condition",ISNUMBER(R_Scores!F11)),COUNTIFS(R_Scores!$B$5:$B$44,2,R_Scores!$C$5:$C$44,"Paper condition",R_Scores!F$5:F$44,"&lt;"&amp;R_Scores!F11)+0.5*COUNTIFS(R_Scores!$B$5:$B$44,2,R_Scores!$C$5:$C$44,"Paper condition",R_Scores!F$5:F$44,R_Scores!F11),"")</f>
        <v/>
      </c>
      <c r="BR11" s="1" t="str">
        <f aca="false">IF(AND(R_Scores!$B11=2,OR(R_Scores!$C11="Tool condition",R_Scores!$C11="Paper condition"),ISNUMBER(R_Scores!F11)),(COUNTIFS(R_Scores!$B$5:$B$44,2,R_Scores!$C$5:$C$44,"Tool condition",R_Scores!F$5:F$44,R_Scores!F11)+COUNTIFS(R_Scores!$B$5:$B$44,2,R_Scores!$C$5:$C$44,"Paper condition",R_Scores!F$5:F$44,R_Scores!F11))^2-1,"")</f>
        <v/>
      </c>
      <c r="BS11" s="1" t="n">
        <f aca="false">IF(ISNUMBER(R_Scores!F11),R_Scores!F11^2,"")</f>
        <v>1</v>
      </c>
      <c r="BT11" s="1" t="str">
        <f aca="false">IF(AND(R_Scores!$B11=1,R_Scores!$C11="Tool condition",ISNUMBER(R_Scores!G11)),COUNTIFS(R_Scores!$B$5:$B$44,1,R_Scores!$C$5:$C$44,"Paper condition",R_Scores!G$5:G$44,"&lt;"&amp;R_Scores!G11)+0.5*COUNTIFS(R_Scores!$B$5:$B$44,1,R_Scores!$C$5:$C$44,"Paper condition",R_Scores!G$5:G$44,R_Scores!G11),"")</f>
        <v/>
      </c>
      <c r="BU11" s="1" t="str">
        <f aca="false">IF(AND(R_Scores!$B11=1,OR(R_Scores!$C11="Tool condition",R_Scores!$C11="Paper condition"),ISNUMBER(R_Scores!G11)),(COUNTIFS(R_Scores!$B$5:$B$44,1,R_Scores!$C$5:$C$44,"Tool condition",R_Scores!G$5:G$44,R_Scores!G11)+COUNTIFS(R_Scores!$B$5:$B$44,1,R_Scores!$C$5:$C$44,"Paper condition",R_Scores!G$5:G$44,R_Scores!G11))^2-1,"")</f>
        <v/>
      </c>
      <c r="BV11" s="1" t="str">
        <f aca="false">IF(AND(R_Scores!$B11=2,R_Scores!$C11="Tool condition",ISNUMBER(R_Scores!G11)),COUNTIFS(R_Scores!$B$5:$B$44,2,R_Scores!$C$5:$C$44,"Paper condition",R_Scores!G$5:G$44,"&lt;"&amp;R_Scores!G11)+0.5*COUNTIFS(R_Scores!$B$5:$B$44,2,R_Scores!$C$5:$C$44,"Paper condition",R_Scores!G$5:G$44,R_Scores!G11),"")</f>
        <v/>
      </c>
      <c r="BW11" s="1" t="str">
        <f aca="false">IF(AND(R_Scores!$B11=2,OR(R_Scores!$C11="Tool condition",R_Scores!$C11="Paper condition"),ISNUMBER(R_Scores!G11)),(COUNTIFS(R_Scores!$B$5:$B$44,2,R_Scores!$C$5:$C$44,"Tool condition",R_Scores!G$5:G$44,R_Scores!G11)+COUNTIFS(R_Scores!$B$5:$B$44,2,R_Scores!$C$5:$C$44,"Paper condition",R_Scores!G$5:G$44,R_Scores!G11))^2-1,"")</f>
        <v/>
      </c>
      <c r="BX11" s="1" t="str">
        <f aca="false">IF(ISNUMBER(R_Scores!G11),R_Scores!G11^2,"")</f>
        <v/>
      </c>
      <c r="BY11" s="1" t="str">
        <f aca="false">IF(AND(R_Scores!$B11=1,R_Scores!$C11="Tool condition",ISNUMBER(R_Scores!H11)),COUNTIFS(R_Scores!$B$5:$B$44,1,R_Scores!$C$5:$C$44,"Paper condition",R_Scores!H$5:H$44,"&lt;"&amp;R_Scores!H11)+0.5*COUNTIFS(R_Scores!$B$5:$B$44,1,R_Scores!$C$5:$C$44,"Paper condition",R_Scores!H$5:H$44,R_Scores!H11),"")</f>
        <v/>
      </c>
      <c r="BZ11" s="1" t="str">
        <f aca="false">IF(AND(R_Scores!$B11=1,OR(R_Scores!$C11="Tool condition",R_Scores!$C11="Paper condition"),ISNUMBER(R_Scores!H11)),(COUNTIFS(R_Scores!$B$5:$B$44,1,R_Scores!$C$5:$C$44,"Tool condition",R_Scores!H$5:H$44,R_Scores!H11)+COUNTIFS(R_Scores!$B$5:$B$44,1,R_Scores!$C$5:$C$44,"Paper condition",R_Scores!H$5:H$44,R_Scores!H11))^2-1,"")</f>
        <v/>
      </c>
      <c r="CA11" s="1" t="str">
        <f aca="false">IF(AND(R_Scores!$B11=2,R_Scores!$C11="Tool condition",ISNUMBER(R_Scores!H11)),COUNTIFS(R_Scores!$B$5:$B$44,2,R_Scores!$C$5:$C$44,"Paper condition",R_Scores!H$5:H$44,"&lt;"&amp;R_Scores!H11)+0.5*COUNTIFS(R_Scores!$B$5:$B$44,2,R_Scores!$C$5:$C$44,"Paper condition",R_Scores!H$5:H$44,R_Scores!H11),"")</f>
        <v/>
      </c>
      <c r="CB11" s="1" t="str">
        <f aca="false">IF(AND(R_Scores!$B11=2,OR(R_Scores!$C11="Tool condition",R_Scores!$C11="Paper condition"),ISNUMBER(R_Scores!H11)),(COUNTIFS(R_Scores!$B$5:$B$44,2,R_Scores!$C$5:$C$44,"Tool condition",R_Scores!H$5:H$44,R_Scores!H11)+COUNTIFS(R_Scores!$B$5:$B$44,2,R_Scores!$C$5:$C$44,"Paper condition",R_Scores!H$5:H$44,R_Scores!H11))^2-1,"")</f>
        <v/>
      </c>
      <c r="CC11" s="1" t="str">
        <f aca="false">IF(ISNUMBER(R_Scores!H11),R_Scores!H11^2,"")</f>
        <v/>
      </c>
      <c r="CD11" s="1" t="n">
        <f aca="false">IF(AND(R_Scores!$B11=1,R_Scores!$C11="Tool condition",ISNUMBER(R_Scores!I11)),COUNTIFS(R_Scores!$B$5:$B$44,1,R_Scores!$C$5:$C$44,"Paper condition",R_Scores!I$5:I$44,"&lt;"&amp;R_Scores!I11)+0.5*COUNTIFS(R_Scores!$B$5:$B$44,1,R_Scores!$C$5:$C$44,"Paper condition",R_Scores!I$5:I$44,R_Scores!I11),"")</f>
        <v>7.5</v>
      </c>
      <c r="CE11" s="1" t="n">
        <f aca="false">IF(AND(R_Scores!$B11=1,OR(R_Scores!$C11="Tool condition",R_Scores!$C11="Paper condition"),ISNUMBER(R_Scores!I11)),(COUNTIFS(R_Scores!$B$5:$B$44,1,R_Scores!$C$5:$C$44,"Tool condition",R_Scores!I$5:I$44,R_Scores!I11)+COUNTIFS(R_Scores!$B$5:$B$44,1,R_Scores!$C$5:$C$44,"Paper condition",R_Scores!I$5:I$44,R_Scores!I11))^2-1,"")</f>
        <v>168</v>
      </c>
      <c r="CF11" s="1" t="str">
        <f aca="false">IF(AND(R_Scores!$B11=2,R_Scores!$C11="Tool condition",ISNUMBER(R_Scores!I11)),COUNTIFS(R_Scores!$B$5:$B$44,2,R_Scores!$C$5:$C$44,"Paper condition",R_Scores!I$5:I$44,"&lt;"&amp;R_Scores!I11)+0.5*COUNTIFS(R_Scores!$B$5:$B$44,2,R_Scores!$C$5:$C$44,"Paper condition",R_Scores!I$5:I$44,R_Scores!I11),"")</f>
        <v/>
      </c>
      <c r="CG11" s="1" t="str">
        <f aca="false">IF(AND(R_Scores!$B11=2,OR(R_Scores!$C11="Tool condition",R_Scores!$C11="Paper condition"),ISNUMBER(R_Scores!I11)),(COUNTIFS(R_Scores!$B$5:$B$44,2,R_Scores!$C$5:$C$44,"Tool condition",R_Scores!I$5:I$44,R_Scores!I11)+COUNTIFS(R_Scores!$B$5:$B$44,2,R_Scores!$C$5:$C$44,"Paper condition",R_Scores!I$5:I$44,R_Scores!I11))^2-1,"")</f>
        <v/>
      </c>
      <c r="CH11" s="1" t="n">
        <f aca="false">IF(ISNUMBER(R_Scores!I11),R_Scores!I11^2,"")</f>
        <v>1</v>
      </c>
      <c r="CI11" s="1" t="n">
        <f aca="false">IF(AND(R_Scores!$B11=1,R_Scores!$C11="Tool condition",ISNUMBER(R_Scores!J11)),COUNTIFS(R_Scores!$B$5:$B$44,1,R_Scores!$C$5:$C$44,"Paper condition",R_Scores!J$5:J$44,"&lt;"&amp;R_Scores!J11)+0.5*COUNTIFS(R_Scores!$B$5:$B$44,1,R_Scores!$C$5:$C$44,"Paper condition",R_Scores!J$5:J$44,R_Scores!J11),"")</f>
        <v>2</v>
      </c>
      <c r="CJ11" s="1" t="n">
        <f aca="false">IF(AND(R_Scores!$B11=1,OR(R_Scores!$C11="Tool condition",R_Scores!$C11="Paper condition"),ISNUMBER(R_Scores!J11)),(COUNTIFS(R_Scores!$B$5:$B$44,1,R_Scores!$C$5:$C$44,"Tool condition",R_Scores!J$5:J$44,R_Scores!J11)+COUNTIFS(R_Scores!$B$5:$B$44,1,R_Scores!$C$5:$C$44,"Paper condition",R_Scores!J$5:J$44,R_Scores!J11))^2-1,"")</f>
        <v>24</v>
      </c>
      <c r="CK11" s="1" t="str">
        <f aca="false">IF(AND(R_Scores!$B11=2,R_Scores!$C11="Tool condition",ISNUMBER(R_Scores!J11)),COUNTIFS(R_Scores!$B$5:$B$44,2,R_Scores!$C$5:$C$44,"Paper condition",R_Scores!J$5:J$44,"&lt;"&amp;R_Scores!J11)+0.5*COUNTIFS(R_Scores!$B$5:$B$44,2,R_Scores!$C$5:$C$44,"Paper condition",R_Scores!J$5:J$44,R_Scores!J11),"")</f>
        <v/>
      </c>
      <c r="CL11" s="1" t="str">
        <f aca="false">IF(AND(R_Scores!$B11=2,OR(R_Scores!$C11="Tool condition",R_Scores!$C11="Paper condition"),ISNUMBER(R_Scores!J11)),(COUNTIFS(R_Scores!$B$5:$B$44,2,R_Scores!$C$5:$C$44,"Tool condition",R_Scores!J$5:J$44,R_Scores!J11)+COUNTIFS(R_Scores!$B$5:$B$44,2,R_Scores!$C$5:$C$44,"Paper condition",R_Scores!J$5:J$44,R_Scores!J11))^2-1,"")</f>
        <v/>
      </c>
      <c r="CM11" s="1" t="n">
        <f aca="false">IF(ISNUMBER(R_Scores!J11),R_Scores!J11^2,"")</f>
        <v>0</v>
      </c>
      <c r="CN11" s="1" t="str">
        <f aca="false">IF(AND(R_Scores!$B11=1,R_Scores!$C11="Tool condition",ISNUMBER(R_Scores!K11)),COUNTIFS(R_Scores!$B$5:$B$44,1,R_Scores!$C$5:$C$44,"Paper condition",R_Scores!K$5:K$44,"&lt;"&amp;R_Scores!K11)+0.5*COUNTIFS(R_Scores!$B$5:$B$44,1,R_Scores!$C$5:$C$44,"Paper condition",R_Scores!K$5:K$44,R_Scores!K11),"")</f>
        <v/>
      </c>
      <c r="CO11" s="1" t="str">
        <f aca="false">IF(AND(R_Scores!$B11=1,OR(R_Scores!$C11="Tool condition",R_Scores!$C11="Paper condition"),ISNUMBER(R_Scores!K11)),(COUNTIFS(R_Scores!$B$5:$B$44,1,R_Scores!$C$5:$C$44,"Tool condition",R_Scores!K$5:K$44,R_Scores!K11)+COUNTIFS(R_Scores!$B$5:$B$44,1,R_Scores!$C$5:$C$44,"Paper condition",R_Scores!K$5:K$44,R_Scores!K11))^2-1,"")</f>
        <v/>
      </c>
      <c r="CP11" s="1" t="str">
        <f aca="false">IF(AND(R_Scores!$B11=2,R_Scores!$C11="Tool condition",ISNUMBER(R_Scores!K11)),COUNTIFS(R_Scores!$B$5:$B$44,2,R_Scores!$C$5:$C$44,"Paper condition",R_Scores!K$5:K$44,"&lt;"&amp;R_Scores!K11)+0.5*COUNTIFS(R_Scores!$B$5:$B$44,2,R_Scores!$C$5:$C$44,"Paper condition",R_Scores!K$5:K$44,R_Scores!K11),"")</f>
        <v/>
      </c>
      <c r="CQ11" s="1" t="str">
        <f aca="false">IF(AND(R_Scores!$B11=2,OR(R_Scores!$C11="Tool condition",R_Scores!$C11="Paper condition"),ISNUMBER(R_Scores!K11)),(COUNTIFS(R_Scores!$B$5:$B$44,2,R_Scores!$C$5:$C$44,"Tool condition",R_Scores!K$5:K$44,R_Scores!K11)+COUNTIFS(R_Scores!$B$5:$B$44,2,R_Scores!$C$5:$C$44,"Paper condition",R_Scores!K$5:K$44,R_Scores!K11))^2-1,"")</f>
        <v/>
      </c>
      <c r="CR11" s="1" t="str">
        <f aca="false">IF(ISNUMBER(R_Scores!K11),R_Scores!K11^2,"")</f>
        <v/>
      </c>
      <c r="CS11" s="1" t="str">
        <f aca="false">IF(AND(R_Scores!$B11=1,R_Scores!$C11="Tool condition",ISNUMBER(R_Scores!L11)),COUNTIFS(R_Scores!$B$5:$B$44,1,R_Scores!$C$5:$C$44,"Paper condition",R_Scores!L$5:L$44,"&lt;"&amp;R_Scores!L11)+0.5*COUNTIFS(R_Scores!$B$5:$B$44,1,R_Scores!$C$5:$C$44,"Paper condition",R_Scores!L$5:L$44,R_Scores!L11),"")</f>
        <v/>
      </c>
      <c r="CT11" s="1" t="str">
        <f aca="false">IF(AND(R_Scores!$B11=1,OR(R_Scores!$C11="Tool condition",R_Scores!$C11="Paper condition"),ISNUMBER(R_Scores!L11)),(COUNTIFS(R_Scores!$B$5:$B$44,1,R_Scores!$C$5:$C$44,"Tool condition",R_Scores!L$5:L$44,R_Scores!L11)+COUNTIFS(R_Scores!$B$5:$B$44,1,R_Scores!$C$5:$C$44,"Paper condition",R_Scores!L$5:L$44,R_Scores!L11))^2-1,"")</f>
        <v/>
      </c>
      <c r="CU11" s="1" t="str">
        <f aca="false">IF(AND(R_Scores!$B11=2,R_Scores!$C11="Tool condition",ISNUMBER(R_Scores!L11)),COUNTIFS(R_Scores!$B$5:$B$44,2,R_Scores!$C$5:$C$44,"Paper condition",R_Scores!L$5:L$44,"&lt;"&amp;R_Scores!L11)+0.5*COUNTIFS(R_Scores!$B$5:$B$44,2,R_Scores!$C$5:$C$44,"Paper condition",R_Scores!L$5:L$44,R_Scores!L11),"")</f>
        <v/>
      </c>
      <c r="CV11" s="1" t="str">
        <f aca="false">IF(AND(R_Scores!$B11=2,OR(R_Scores!$C11="Tool condition",R_Scores!$C11="Paper condition"),ISNUMBER(R_Scores!L11)),(COUNTIFS(R_Scores!$B$5:$B$44,2,R_Scores!$C$5:$C$44,"Tool condition",R_Scores!L$5:L$44,R_Scores!L11)+COUNTIFS(R_Scores!$B$5:$B$44,2,R_Scores!$C$5:$C$44,"Paper condition",R_Scores!L$5:L$44,R_Scores!L11))^2-1,"")</f>
        <v/>
      </c>
      <c r="CW11" s="1" t="str">
        <f aca="false">IF(ISNUMBER(R_Scores!L11),R_Scores!L11^2,"")</f>
        <v/>
      </c>
      <c r="CX11" s="1" t="str">
        <f aca="false">IF(AND(R_Scores!$B11=1,R_Scores!$C11="Tool condition",ISNUMBER(R_Scores!M11)),COUNTIFS(R_Scores!$B$5:$B$44,1,R_Scores!$C$5:$C$44,"Paper condition",R_Scores!M$5:M$44,"&lt;"&amp;R_Scores!M11)+0.5*COUNTIFS(R_Scores!$B$5:$B$44,1,R_Scores!$C$5:$C$44,"Paper condition",R_Scores!M$5:M$44,R_Scores!M11),"")</f>
        <v/>
      </c>
      <c r="CY11" s="1" t="str">
        <f aca="false">IF(AND(R_Scores!$B11=1,OR(R_Scores!$C11="Tool condition",R_Scores!$C11="Paper condition"),ISNUMBER(R_Scores!M11)),(COUNTIFS(R_Scores!$B$5:$B$44,1,R_Scores!$C$5:$C$44,"Tool condition",R_Scores!M$5:M$44,R_Scores!M11)+COUNTIFS(R_Scores!$B$5:$B$44,1,R_Scores!$C$5:$C$44,"Paper condition",R_Scores!M$5:M$44,R_Scores!M11))^2-1,"")</f>
        <v/>
      </c>
      <c r="CZ11" s="1" t="str">
        <f aca="false">IF(AND(R_Scores!$B11=2,R_Scores!$C11="Tool condition",ISNUMBER(R_Scores!M11)),COUNTIFS(R_Scores!$B$5:$B$44,2,R_Scores!$C$5:$C$44,"Paper condition",R_Scores!M$5:M$44,"&lt;"&amp;R_Scores!M11)+0.5*COUNTIFS(R_Scores!$B$5:$B$44,2,R_Scores!$C$5:$C$44,"Paper condition",R_Scores!M$5:M$44,R_Scores!M11),"")</f>
        <v/>
      </c>
      <c r="DA11" s="1" t="str">
        <f aca="false">IF(AND(R_Scores!$B11=2,OR(R_Scores!$C11="Tool condition",R_Scores!$C11="Paper condition"),ISNUMBER(R_Scores!M11)),(COUNTIFS(R_Scores!$B$5:$B$44,2,R_Scores!$C$5:$C$44,"Tool condition",R_Scores!M$5:M$44,R_Scores!M11)+COUNTIFS(R_Scores!$B$5:$B$44,2,R_Scores!$C$5:$C$44,"Paper condition",R_Scores!M$5:M$44,R_Scores!M11))^2-1,"")</f>
        <v/>
      </c>
      <c r="DB11" s="1" t="str">
        <f aca="false">IF(ISNUMBER(R_Scores!M11),R_Scores!M11^2,"")</f>
        <v/>
      </c>
      <c r="DC11" s="1" t="n">
        <f aca="false">IF(AND(R_Scores!$B11=1,R_Scores!$C11="Tool condition",ISNUMBER(R_Scores!N11)),COUNTIFS(R_Scores!$B$5:$B$44,1,R_Scores!$C$5:$C$44,"Paper condition",R_Scores!N$5:N$44,"&lt;"&amp;R_Scores!N11)+0.5*COUNTIFS(R_Scores!$B$5:$B$44,1,R_Scores!$C$5:$C$44,"Paper condition",R_Scores!N$5:N$44,R_Scores!N11),"")</f>
        <v>8</v>
      </c>
      <c r="DD11" s="1" t="n">
        <f aca="false">IF(AND(R_Scores!$B11=1,OR(R_Scores!$C11="Tool condition",R_Scores!$C11="Paper condition"),ISNUMBER(R_Scores!N11)),(COUNTIFS(R_Scores!$B$5:$B$44,1,R_Scores!$C$5:$C$44,"Tool condition",R_Scores!N$5:N$44,R_Scores!N11)+COUNTIFS(R_Scores!$B$5:$B$44,1,R_Scores!$C$5:$C$44,"Paper condition",R_Scores!N$5:N$44,R_Scores!N11))^2-1,"")</f>
        <v>143</v>
      </c>
      <c r="DE11" s="1" t="str">
        <f aca="false">IF(AND(R_Scores!$B11=2,R_Scores!$C11="Tool condition",ISNUMBER(R_Scores!N11)),COUNTIFS(R_Scores!$B$5:$B$44,2,R_Scores!$C$5:$C$44,"Paper condition",R_Scores!N$5:N$44,"&lt;"&amp;R_Scores!N11)+0.5*COUNTIFS(R_Scores!$B$5:$B$44,2,R_Scores!$C$5:$C$44,"Paper condition",R_Scores!N$5:N$44,R_Scores!N11),"")</f>
        <v/>
      </c>
      <c r="DF11" s="1" t="str">
        <f aca="false">IF(AND(R_Scores!$B11=2,OR(R_Scores!$C11="Tool condition",R_Scores!$C11="Paper condition"),ISNUMBER(R_Scores!N11)),(COUNTIFS(R_Scores!$B$5:$B$44,2,R_Scores!$C$5:$C$44,"Tool condition",R_Scores!N$5:N$44,R_Scores!N11)+COUNTIFS(R_Scores!$B$5:$B$44,2,R_Scores!$C$5:$C$44,"Paper condition",R_Scores!N$5:N$44,R_Scores!N11))^2-1,"")</f>
        <v/>
      </c>
      <c r="DG11" s="1" t="n">
        <f aca="false">IF(ISNUMBER(R_Scores!N11),R_Scores!N11^2,"")</f>
        <v>1</v>
      </c>
      <c r="DH11" s="1" t="n">
        <f aca="false">IF(AND(R_Scores!$B11=1,R_Scores!$C11="Tool condition",ISNUMBER(R_Scores!O11)),COUNTIFS(R_Scores!$B$5:$B$44,1,R_Scores!$C$5:$C$44,"Paper condition",R_Scores!O$5:O$44,"&lt;"&amp;R_Scores!O11)+0.5*COUNTIFS(R_Scores!$B$5:$B$44,1,R_Scores!$C$5:$C$44,"Paper condition",R_Scores!O$5:O$44,R_Scores!O11),"")</f>
        <v>7.5</v>
      </c>
      <c r="DI11" s="1" t="n">
        <f aca="false">IF(AND(R_Scores!$B11=1,OR(R_Scores!$C11="Tool condition",R_Scores!$C11="Paper condition"),ISNUMBER(R_Scores!O11)),(COUNTIFS(R_Scores!$B$5:$B$44,1,R_Scores!$C$5:$C$44,"Tool condition",R_Scores!O$5:O$44,R_Scores!O11)+COUNTIFS(R_Scores!$B$5:$B$44,1,R_Scores!$C$5:$C$44,"Paper condition",R_Scores!O$5:O$44,R_Scores!O11))^2-1,"")</f>
        <v>168</v>
      </c>
      <c r="DJ11" s="1" t="str">
        <f aca="false">IF(AND(R_Scores!$B11=2,R_Scores!$C11="Tool condition",ISNUMBER(R_Scores!O11)),COUNTIFS(R_Scores!$B$5:$B$44,2,R_Scores!$C$5:$C$44,"Paper condition",R_Scores!O$5:O$44,"&lt;"&amp;R_Scores!O11)+0.5*COUNTIFS(R_Scores!$B$5:$B$44,2,R_Scores!$C$5:$C$44,"Paper condition",R_Scores!O$5:O$44,R_Scores!O11),"")</f>
        <v/>
      </c>
      <c r="DK11" s="1" t="str">
        <f aca="false">IF(AND(R_Scores!$B11=2,OR(R_Scores!$C11="Tool condition",R_Scores!$C11="Paper condition"),ISNUMBER(R_Scores!O11)),(COUNTIFS(R_Scores!$B$5:$B$44,2,R_Scores!$C$5:$C$44,"Tool condition",R_Scores!O$5:O$44,R_Scores!O11)+COUNTIFS(R_Scores!$B$5:$B$44,2,R_Scores!$C$5:$C$44,"Paper condition",R_Scores!O$5:O$44,R_Scores!O11))^2-1,"")</f>
        <v/>
      </c>
      <c r="DL11" s="1" t="n">
        <f aca="false">IF(ISNUMBER(R_Scores!O11),R_Scores!O11^2,"")</f>
        <v>1</v>
      </c>
      <c r="DM11" s="1" t="n">
        <f aca="false">IF(AND(R_Scores!$B11=1,R_Scores!$C11="Tool condition",ISNUMBER(R_Scores!P11)),COUNTIFS(R_Scores!$B$5:$B$44,1,R_Scores!$C$5:$C$44,"Paper condition",R_Scores!P$5:P$44,"&lt;"&amp;R_Scores!P11)+0.5*COUNTIFS(R_Scores!$B$5:$B$44,1,R_Scores!$C$5:$C$44,"Paper condition",R_Scores!P$5:P$44,R_Scores!P11),"")</f>
        <v>8.5</v>
      </c>
      <c r="DN11" s="1" t="n">
        <f aca="false">IF(AND(R_Scores!$B11=1,OR(R_Scores!$C11="Tool condition",R_Scores!$C11="Paper condition"),ISNUMBER(R_Scores!P11)),(COUNTIFS(R_Scores!$B$5:$B$44,1,R_Scores!$C$5:$C$44,"Tool condition",R_Scores!P$5:P$44,R_Scores!P11)+COUNTIFS(R_Scores!$B$5:$B$44,1,R_Scores!$C$5:$C$44,"Paper condition",R_Scores!P$5:P$44,R_Scores!P11))^2-1,"")</f>
        <v>120</v>
      </c>
      <c r="DO11" s="1" t="str">
        <f aca="false">IF(AND(R_Scores!$B11=2,R_Scores!$C11="Tool condition",ISNUMBER(R_Scores!P11)),COUNTIFS(R_Scores!$B$5:$B$44,2,R_Scores!$C$5:$C$44,"Paper condition",R_Scores!P$5:P$44,"&lt;"&amp;R_Scores!P11)+0.5*COUNTIFS(R_Scores!$B$5:$B$44,2,R_Scores!$C$5:$C$44,"Paper condition",R_Scores!P$5:P$44,R_Scores!P11),"")</f>
        <v/>
      </c>
      <c r="DP11" s="1" t="str">
        <f aca="false">IF(AND(R_Scores!$B11=2,OR(R_Scores!$C11="Tool condition",R_Scores!$C11="Paper condition"),ISNUMBER(R_Scores!P11)),(COUNTIFS(R_Scores!$B$5:$B$44,2,R_Scores!$C$5:$C$44,"Tool condition",R_Scores!P$5:P$44,R_Scores!P11)+COUNTIFS(R_Scores!$B$5:$B$44,2,R_Scores!$C$5:$C$44,"Paper condition",R_Scores!P$5:P$44,R_Scores!P11))^2-1,"")</f>
        <v/>
      </c>
      <c r="DQ11" s="1" t="n">
        <f aca="false">IF(ISNUMBER(R_Scores!P11),R_Scores!P11^2,"")</f>
        <v>1</v>
      </c>
      <c r="DR11" s="1" t="n">
        <f aca="false">IF(AND(Scores!$B11=1,Scores!$C11="Tool condition",ISNUMBER(Scores!Q11)),COUNTIFS(Scores!$B$5:$B$44,1,Scores!$C$5:$C$44,"Paper condition",Scores!Q$5:Q$44,"&lt;"&amp;Scores!Q11)+0.5*COUNTIFS(Scores!$B$5:$B$44,1,Scores!$C$5:$C$44,"Paper condition",Scores!Q$5:Q$44,Scores!Q11),"")</f>
        <v>10</v>
      </c>
      <c r="DS11" s="1" t="n">
        <f aca="false">IF(AND(Scores!$B11=1,OR(Scores!$C11="Tool condition",Scores!$C11="Paper condition"),ISNUMBER(Scores!Q11)),(COUNTIFS(Scores!$B$5:$B$44,1,Scores!$C$5:$C$44,"Tool condition",Scores!Q$5:Q$44,Scores!Q11)+COUNTIFS(Scores!$B$5:$B$44,1,Scores!$C$5:$C$44,"Paper condition",Scores!Q$5:Q$44,Scores!Q11))^2-1,"")</f>
        <v>99</v>
      </c>
      <c r="DT11" s="1" t="str">
        <f aca="false">IF(AND(Scores!$B11=2,Scores!$C11="Tool condition",ISNUMBER(Scores!Q11)),COUNTIFS(Scores!$B$5:$B$44,2,Scores!$C$5:$C$44,"Paper condition",Scores!Q$5:Q$44,"&lt;"&amp;Scores!Q11)+0.5*COUNTIFS(Scores!$B$5:$B$44,2,Scores!$C$5:$C$44,"Paper condition",Scores!Q$5:Q$44,Scores!Q11),"")</f>
        <v/>
      </c>
      <c r="DU11" s="1" t="str">
        <f aca="false">IF(AND(Scores!$B11=2,OR(Scores!$C11="Tool condition",Scores!$C11="Paper condition"),ISNUMBER(Scores!Q11)),(COUNTIFS(Scores!$B$5:$B$44,2,Scores!$C$5:$C$44,"Tool condition",Scores!Q$5:Q$44,Scores!Q11)+COUNTIFS(Scores!$B$5:$B$44,2,Scores!$C$5:$C$44,"Paper condition",Scores!Q$5:Q$44,Scores!Q11))^2-1,"")</f>
        <v/>
      </c>
      <c r="DV11" s="1" t="n">
        <f aca="false">IF(ISNUMBER(Scores!Q11),Scores!Q11^2,"")</f>
        <v>576</v>
      </c>
      <c r="DW11" s="1" t="n">
        <f aca="false">IF(AND(Scores!$B11=1,Scores!$C11="Tool condition",ISNUMBER(Scores!R11)),COUNTIFS(Scores!$B$5:$B$44,1,Scores!$C$5:$C$44,"Paper condition",Scores!R$5:R$44,"&lt;"&amp;Scores!R11)+0.5*COUNTIFS(Scores!$B$5:$B$44,1,Scores!$C$5:$C$44,"Paper condition",Scores!R$5:R$44,Scores!R11),"")</f>
        <v>9.5</v>
      </c>
      <c r="DX11" s="1" t="n">
        <f aca="false">IF(AND(Scores!$B11=1,OR(Scores!$C11="Tool condition",Scores!$C11="Paper condition"),ISNUMBER(Scores!R11)),(COUNTIFS(Scores!$B$5:$B$44,1,Scores!$C$5:$C$44,"Tool condition",Scores!R$5:R$44,Scores!R11)+COUNTIFS(Scores!$B$5:$B$44,1,Scores!$C$5:$C$44,"Paper condition",Scores!R$5:R$44,Scores!R11))^2-1,"")</f>
        <v>120</v>
      </c>
      <c r="DY11" s="1" t="str">
        <f aca="false">IF(AND(Scores!$B11=2,Scores!$C11="Tool condition",ISNUMBER(Scores!R11)),COUNTIFS(Scores!$B$5:$B$44,2,Scores!$C$5:$C$44,"Paper condition",Scores!R$5:R$44,"&lt;"&amp;Scores!R11)+0.5*COUNTIFS(Scores!$B$5:$B$44,2,Scores!$C$5:$C$44,"Paper condition",Scores!R$5:R$44,Scores!R11),"")</f>
        <v/>
      </c>
      <c r="DZ11" s="1" t="str">
        <f aca="false">IF(AND(Scores!$B11=2,OR(Scores!$C11="Tool condition",Scores!$C11="Paper condition"),ISNUMBER(Scores!R11)),(COUNTIFS(Scores!$B$5:$B$44,2,Scores!$C$5:$C$44,"Tool condition",Scores!R$5:R$44,Scores!R11)+COUNTIFS(Scores!$B$5:$B$44,2,Scores!$C$5:$C$44,"Paper condition",Scores!R$5:R$44,Scores!R11))^2-1,"")</f>
        <v/>
      </c>
      <c r="EA11" s="1" t="n">
        <f aca="false">IF(ISNUMBER(Scores!R11),Scores!R11^2,"")</f>
        <v>196</v>
      </c>
      <c r="EB11" s="1" t="n">
        <f aca="false">IF(AND(Scores!$B11=1,Scores!$C11="Tool condition",ISNUMBER(Scores!S11)),COUNTIFS(Scores!$B$5:$B$44,1,Scores!$C$5:$C$44,"Paper condition",Scores!S$5:S$44,"&lt;"&amp;Scores!S11)+0.5*COUNTIFS(Scores!$B$5:$B$44,1,Scores!$C$5:$C$44,"Paper condition",Scores!S$5:S$44,Scores!S11),"")</f>
        <v>9</v>
      </c>
      <c r="EC11" s="1" t="n">
        <f aca="false">IF(AND(Scores!$B11=1,OR(Scores!$C11="Tool condition",Scores!$C11="Paper condition"),ISNUMBER(Scores!S11)),(COUNTIFS(Scores!$B$5:$B$44,1,Scores!$C$5:$C$44,"Tool condition",Scores!S$5:S$44,Scores!S11)+COUNTIFS(Scores!$B$5:$B$44,1,Scores!$C$5:$C$44,"Paper condition",Scores!S$5:S$44,Scores!S11))^2-1,"")</f>
        <v>143</v>
      </c>
      <c r="ED11" s="1" t="str">
        <f aca="false">IF(AND(Scores!$B11=2,Scores!$C11="Tool condition",ISNUMBER(Scores!S11)),COUNTIFS(Scores!$B$5:$B$44,2,Scores!$C$5:$C$44,"Paper condition",Scores!S$5:S$44,"&lt;"&amp;Scores!S11)+0.5*COUNTIFS(Scores!$B$5:$B$44,2,Scores!$C$5:$C$44,"Paper condition",Scores!S$5:S$44,Scores!S11),"")</f>
        <v/>
      </c>
      <c r="EE11" s="1" t="str">
        <f aca="false">IF(AND(Scores!$B11=2,OR(Scores!$C11="Tool condition",Scores!$C11="Paper condition"),ISNUMBER(Scores!S11)),(COUNTIFS(Scores!$B$5:$B$44,2,Scores!$C$5:$C$44,"Tool condition",Scores!S$5:S$44,Scores!S11)+COUNTIFS(Scores!$B$5:$B$44,2,Scores!$C$5:$C$44,"Paper condition",Scores!S$5:S$44,Scores!S11))^2-1,"")</f>
        <v/>
      </c>
      <c r="EF11" s="1" t="n">
        <f aca="false">IF(ISNUMBER(Scores!S11),Scores!S11^2,"")</f>
        <v>100</v>
      </c>
      <c r="EG11" s="1" t="n">
        <f aca="false">IF(AND(Scores!$B11=1,Scores!$C11="Tool condition",ISNUMBER(Scores!T11)),COUNTIFS(Scores!$B$5:$B$44,1,Scores!$C$5:$C$44,"Paper condition",Scores!T$5:T$44,"&lt;"&amp;Scores!T11)+0.5*COUNTIFS(Scores!$B$5:$B$44,1,Scores!$C$5:$C$44,"Paper condition",Scores!T$5:T$44,Scores!T11),"")</f>
        <v>8.5</v>
      </c>
      <c r="EH11" s="1" t="n">
        <f aca="false">IF(AND(Scores!$B11=1,OR(Scores!$C11="Tool condition",Scores!$C11="Paper condition"),ISNUMBER(Scores!T11)),(COUNTIFS(Scores!$B$5:$B$44,1,Scores!$C$5:$C$44,"Tool condition",Scores!T$5:T$44,Scores!T11)+COUNTIFS(Scores!$B$5:$B$44,1,Scores!$C$5:$C$44,"Paper condition",Scores!T$5:T$44,Scores!T11))^2-1,"")</f>
        <v>168</v>
      </c>
      <c r="EI11" s="1" t="str">
        <f aca="false">IF(AND(Scores!$B11=2,Scores!$C11="Tool condition",ISNUMBER(Scores!T11)),COUNTIFS(Scores!$B$5:$B$44,2,Scores!$C$5:$C$44,"Paper condition",Scores!T$5:T$44,"&lt;"&amp;Scores!T11)+0.5*COUNTIFS(Scores!$B$5:$B$44,2,Scores!$C$5:$C$44,"Paper condition",Scores!T$5:T$44,Scores!T11),"")</f>
        <v/>
      </c>
      <c r="EJ11" s="1" t="str">
        <f aca="false">IF(AND(Scores!$B11=2,OR(Scores!$C11="Tool condition",Scores!$C11="Paper condition"),ISNUMBER(Scores!T11)),(COUNTIFS(Scores!$B$5:$B$44,2,Scores!$C$5:$C$44,"Tool condition",Scores!T$5:T$44,Scores!T11)+COUNTIFS(Scores!$B$5:$B$44,2,Scores!$C$5:$C$44,"Paper condition",Scores!T$5:T$44,Scores!T11))^2-1,"")</f>
        <v/>
      </c>
      <c r="EK11" s="1" t="n">
        <f aca="false">IF(ISNUMBER(Scores!T11),Scores!T11^2,"")</f>
        <v>64</v>
      </c>
      <c r="EL11" s="1" t="n">
        <f aca="false">IF(AND(Scores!$B11=1,Scores!$C11="Tool condition",ISNUMBER(Scores!U11)),COUNTIFS(Scores!$B$5:$B$44,1,Scores!$C$5:$C$44,"Paper condition",Scores!U$5:U$44,"&lt;"&amp;Scores!U11)+0.5*COUNTIFS(Scores!$B$5:$B$44,1,Scores!$C$5:$C$44,"Paper condition",Scores!U$5:U$44,Scores!U11),"")</f>
        <v>8.5</v>
      </c>
      <c r="EM11" s="1" t="n">
        <f aca="false">IF(AND(Scores!$B11=1,OR(Scores!$C11="Tool condition",Scores!$C11="Paper condition"),ISNUMBER(Scores!U11)),(COUNTIFS(Scores!$B$5:$B$44,1,Scores!$C$5:$C$44,"Tool condition",Scores!U$5:U$44,Scores!U11)+COUNTIFS(Scores!$B$5:$B$44,1,Scores!$C$5:$C$44,"Paper condition",Scores!U$5:U$44,Scores!U11))^2-1,"")</f>
        <v>168</v>
      </c>
      <c r="EN11" s="1" t="str">
        <f aca="false">IF(AND(Scores!$B11=2,Scores!$C11="Tool condition",ISNUMBER(Scores!U11)),COUNTIFS(Scores!$B$5:$B$44,2,Scores!$C$5:$C$44,"Paper condition",Scores!U$5:U$44,"&lt;"&amp;Scores!U11)+0.5*COUNTIFS(Scores!$B$5:$B$44,2,Scores!$C$5:$C$44,"Paper condition",Scores!U$5:U$44,Scores!U11),"")</f>
        <v/>
      </c>
      <c r="EO11" s="1" t="str">
        <f aca="false">IF(AND(Scores!$B11=2,OR(Scores!$C11="Tool condition",Scores!$C11="Paper condition"),ISNUMBER(Scores!U11)),(COUNTIFS(Scores!$B$5:$B$44,2,Scores!$C$5:$C$44,"Tool condition",Scores!U$5:U$44,Scores!U11)+COUNTIFS(Scores!$B$5:$B$44,2,Scores!$C$5:$C$44,"Paper condition",Scores!U$5:U$44,Scores!U11))^2-1,"")</f>
        <v/>
      </c>
      <c r="EP11" s="1" t="n">
        <f aca="false">IF(ISNUMBER(Scores!U11),Scores!U11^2,"")</f>
        <v>36</v>
      </c>
      <c r="EQ11" s="1" t="n">
        <f aca="false">IF(AND(Scores!$B11=1,Scores!$C11="Tool condition",ISNUMBER(Scores!V11)),COUNTIFS(Scores!$B$5:$B$44,1,Scores!$C$5:$C$44,"Paper condition",Scores!V$5:V$44,"&lt;"&amp;Scores!V11)+0.5*COUNTIFS(Scores!$B$5:$B$44,1,Scores!$C$5:$C$44,"Paper condition",Scores!V$5:V$44,Scores!V11),"")</f>
        <v>10</v>
      </c>
      <c r="ER11" s="1" t="n">
        <f aca="false">IF(AND(Scores!$B11=1,OR(Scores!$C11="Tool condition",Scores!$C11="Paper condition"),ISNUMBER(Scores!V11)),(COUNTIFS(Scores!$B$5:$B$44,1,Scores!$C$5:$C$44,"Tool condition",Scores!V$5:V$44,Scores!V11)+COUNTIFS(Scores!$B$5:$B$44,1,Scores!$C$5:$C$44,"Paper condition",Scores!V$5:V$44,Scores!V11))^2-1,"")</f>
        <v>99</v>
      </c>
      <c r="ES11" s="1" t="str">
        <f aca="false">IF(AND(Scores!$B11=2,Scores!$C11="Tool condition",ISNUMBER(Scores!V11)),COUNTIFS(Scores!$B$5:$B$44,2,Scores!$C$5:$C$44,"Paper condition",Scores!V$5:V$44,"&lt;"&amp;Scores!V11)+0.5*COUNTIFS(Scores!$B$5:$B$44,2,Scores!$C$5:$C$44,"Paper condition",Scores!V$5:V$44,Scores!V11),"")</f>
        <v/>
      </c>
      <c r="ET11" s="1" t="str">
        <f aca="false">IF(AND(Scores!$B11=2,OR(Scores!$C11="Tool condition",Scores!$C11="Paper condition"),ISNUMBER(Scores!V11)),(COUNTIFS(Scores!$B$5:$B$44,2,Scores!$C$5:$C$44,"Tool condition",Scores!V$5:V$44,Scores!V11)+COUNTIFS(Scores!$B$5:$B$44,2,Scores!$C$5:$C$44,"Paper condition",Scores!V$5:V$44,Scores!V11))^2-1,"")</f>
        <v/>
      </c>
      <c r="EU11" s="1" t="n">
        <f aca="false">IF(ISNUMBER(Scores!V11),Scores!V11^2,"")</f>
        <v>100</v>
      </c>
      <c r="EV11" s="1" t="n">
        <f aca="false">IF(AND(R_Scores!$B11=1,R_Scores!$C11="Tool condition",ISNUMBER(R_Scores!Q11)),COUNTIFS(R_Scores!$B$5:$B$44,1,R_Scores!$C$5:$C$44,"Paper condition",R_Scores!Q$5:Q$44,"&lt;"&amp;R_Scores!Q11)+0.5*COUNTIFS(R_Scores!$B$5:$B$44,1,R_Scores!$C$5:$C$44,"Paper condition",R_Scores!Q$5:Q$44,R_Scores!Q11),"")</f>
        <v>7.5</v>
      </c>
      <c r="EW11" s="1" t="n">
        <f aca="false">IF(AND(R_Scores!$B11=1,OR(R_Scores!$C11="Tool condition",R_Scores!$C11="Paper condition"),ISNUMBER(R_Scores!Q11)),(COUNTIFS(R_Scores!$B$5:$B$44,1,R_Scores!$C$5:$C$44,"Tool condition",R_Scores!Q$5:Q$44,R_Scores!Q11)+COUNTIFS(R_Scores!$B$5:$B$44,1,R_Scores!$C$5:$C$44,"Paper condition",R_Scores!Q$5:Q$44,R_Scores!Q11))^2-1,"")</f>
        <v>80</v>
      </c>
      <c r="EX11" s="1" t="str">
        <f aca="false">IF(AND(R_Scores!$B11=2,R_Scores!$C11="Tool condition",ISNUMBER(R_Scores!Q11)),COUNTIFS(R_Scores!$B$5:$B$44,2,R_Scores!$C$5:$C$44,"Paper condition",R_Scores!Q$5:Q$44,"&lt;"&amp;R_Scores!Q11)+0.5*COUNTIFS(R_Scores!$B$5:$B$44,2,R_Scores!$C$5:$C$44,"Paper condition",R_Scores!Q$5:Q$44,R_Scores!Q11),"")</f>
        <v/>
      </c>
      <c r="EY11" s="1" t="str">
        <f aca="false">IF(AND(R_Scores!$B11=2,OR(R_Scores!$C11="Tool condition",R_Scores!$C11="Paper condition"),ISNUMBER(R_Scores!Q11)),(COUNTIFS(R_Scores!$B$5:$B$44,2,R_Scores!$C$5:$C$44,"Tool condition",R_Scores!Q$5:Q$44,R_Scores!Q11)+COUNTIFS(R_Scores!$B$5:$B$44,2,R_Scores!$C$5:$C$44,"Paper condition",R_Scores!Q$5:Q$44,R_Scores!Q11))^2-1,"")</f>
        <v/>
      </c>
      <c r="EZ11" s="1" t="n">
        <f aca="false">IF(ISNUMBER(R_Scores!Q11),R_Scores!Q11^2,"")</f>
        <v>36</v>
      </c>
      <c r="FA11" s="1" t="n">
        <f aca="false">IF(AND(R_Scores!$B11=1,R_Scores!$C11="Tool condition",ISNUMBER(R_Scores!R11)),COUNTIFS(R_Scores!$B$5:$B$44,1,R_Scores!$C$5:$C$44,"Paper condition",R_Scores!R$5:R$44,"&lt;"&amp;R_Scores!R11)+0.5*COUNTIFS(R_Scores!$B$5:$B$44,1,R_Scores!$C$5:$C$44,"Paper condition",R_Scores!R$5:R$44,R_Scores!R11),"")</f>
        <v>10</v>
      </c>
      <c r="FB11" s="1" t="n">
        <f aca="false">IF(AND(R_Scores!$B11=1,OR(R_Scores!$C11="Tool condition",R_Scores!$C11="Paper condition"),ISNUMBER(R_Scores!R11)),(COUNTIFS(R_Scores!$B$5:$B$44,1,R_Scores!$C$5:$C$44,"Tool condition",R_Scores!R$5:R$44,R_Scores!R11)+COUNTIFS(R_Scores!$B$5:$B$44,1,R_Scores!$C$5:$C$44,"Paper condition",R_Scores!R$5:R$44,R_Scores!R11))^2-1,"")</f>
        <v>35</v>
      </c>
      <c r="FC11" s="1" t="str">
        <f aca="false">IF(AND(R_Scores!$B11=2,R_Scores!$C11="Tool condition",ISNUMBER(R_Scores!R11)),COUNTIFS(R_Scores!$B$5:$B$44,2,R_Scores!$C$5:$C$44,"Paper condition",R_Scores!R$5:R$44,"&lt;"&amp;R_Scores!R11)+0.5*COUNTIFS(R_Scores!$B$5:$B$44,2,R_Scores!$C$5:$C$44,"Paper condition",R_Scores!R$5:R$44,R_Scores!R11),"")</f>
        <v/>
      </c>
      <c r="FD11" s="1" t="str">
        <f aca="false">IF(AND(R_Scores!$B11=2,OR(R_Scores!$C11="Tool condition",R_Scores!$C11="Paper condition"),ISNUMBER(R_Scores!R11)),(COUNTIFS(R_Scores!$B$5:$B$44,2,R_Scores!$C$5:$C$44,"Tool condition",R_Scores!R$5:R$44,R_Scores!R11)+COUNTIFS(R_Scores!$B$5:$B$44,2,R_Scores!$C$5:$C$44,"Paper condition",R_Scores!R$5:R$44,R_Scores!R11))^2-1,"")</f>
        <v/>
      </c>
      <c r="FE11" s="1" t="n">
        <f aca="false">IF(ISNUMBER(R_Scores!R11),R_Scores!R11^2,"")</f>
        <v>900</v>
      </c>
    </row>
    <row r="12" customFormat="false" ht="14.25" hidden="false" customHeight="true" outlineLevel="0" collapsed="false">
      <c r="B12" s="1" t="n">
        <f aca="false">IF(AND(Scores!$B12=1,Scores!$C12="Tool condition",ISNUMBER(Scores!E12)),COUNTIFS(Scores!$B$5:$B$44,1,Scores!$C$5:$C$44,"Paper condition",Scores!E$5:E$44,"&lt;"&amp;Scores!E12)+0.5*COUNTIFS(Scores!$B$5:$B$44,1,Scores!$C$5:$C$44,"Paper condition",Scores!E$5:E$44,Scores!E12),"")</f>
        <v>7</v>
      </c>
      <c r="C12" s="1" t="n">
        <f aca="false">IF(AND(Scores!$B12=1,OR(Scores!$C12="Tool condition",Scores!$C12="Paper condition"),ISNUMBER(Scores!E12)),(COUNTIFS(Scores!$B$5:$B$44,1,Scores!$C$5:$C$44,"Tool condition",Scores!E$5:E$44,Scores!E12)+COUNTIFS(Scores!$B$5:$B$44,1,Scores!$C$5:$C$44,"Paper condition",Scores!E$5:E$44,Scores!E12))^2-1,"")</f>
        <v>255</v>
      </c>
      <c r="D12" s="1" t="str">
        <f aca="false">IF(AND(Scores!$B12=2,Scores!$C12="Tool condition",ISNUMBER(Scores!E12)),COUNTIFS(Scores!$B$5:$B$44,2,Scores!$C$5:$C$44,"Paper condition",Scores!E$5:E$44,"&lt;"&amp;Scores!E12)+0.5*COUNTIFS(Scores!$B$5:$B$44,2,Scores!$C$5:$C$44,"Paper condition",Scores!E$5:E$44,Scores!E12),"")</f>
        <v/>
      </c>
      <c r="E12" s="1" t="str">
        <f aca="false">IF(AND(Scores!$B12=2,OR(Scores!$C12="Tool condition",Scores!$C12="Paper condition"),ISNUMBER(Scores!E12)),(COUNTIFS(Scores!$B$5:$B$44,2,Scores!$C$5:$C$44,"Tool condition",Scores!E$5:E$44,Scores!E12)+COUNTIFS(Scores!$B$5:$B$44,2,Scores!$C$5:$C$44,"Paper condition",Scores!E$5:E$44,Scores!E12))^2-1,"")</f>
        <v/>
      </c>
      <c r="F12" s="1" t="n">
        <f aca="false">IF(ISNUMBER(Scores!E12),Scores!E12^2,"")</f>
        <v>4</v>
      </c>
      <c r="G12" s="1" t="n">
        <f aca="false">IF(AND(Scores!$B12=1,Scores!$C12="Tool condition",ISNUMBER(Scores!F12)),COUNTIFS(Scores!$B$5:$B$44,1,Scores!$C$5:$C$44,"Paper condition",Scores!F$5:F$44,"&lt;"&amp;Scores!F12)+0.5*COUNTIFS(Scores!$B$5:$B$44,1,Scores!$C$5:$C$44,"Paper condition",Scores!F$5:F$44,Scores!F12),"")</f>
        <v>8</v>
      </c>
      <c r="H12" s="1" t="n">
        <f aca="false">IF(AND(Scores!$B12=1,OR(Scores!$C12="Tool condition",Scores!$C12="Paper condition"),ISNUMBER(Scores!F12)),(COUNTIFS(Scores!$B$5:$B$44,1,Scores!$C$5:$C$44,"Tool condition",Scores!F$5:F$44,Scores!F12)+COUNTIFS(Scores!$B$5:$B$44,1,Scores!$C$5:$C$44,"Paper condition",Scores!F$5:F$44,Scores!F12))^2-1,"")</f>
        <v>195</v>
      </c>
      <c r="I12" s="1" t="str">
        <f aca="false">IF(AND(Scores!$B12=2,Scores!$C12="Tool condition",ISNUMBER(Scores!F12)),COUNTIFS(Scores!$B$5:$B$44,2,Scores!$C$5:$C$44,"Paper condition",Scores!F$5:F$44,"&lt;"&amp;Scores!F12)+0.5*COUNTIFS(Scores!$B$5:$B$44,2,Scores!$C$5:$C$44,"Paper condition",Scores!F$5:F$44,Scores!F12),"")</f>
        <v/>
      </c>
      <c r="J12" s="1" t="str">
        <f aca="false">IF(AND(Scores!$B12=2,OR(Scores!$C12="Tool condition",Scores!$C12="Paper condition"),ISNUMBER(Scores!F12)),(COUNTIFS(Scores!$B$5:$B$44,2,Scores!$C$5:$C$44,"Tool condition",Scores!F$5:F$44,Scores!F12)+COUNTIFS(Scores!$B$5:$B$44,2,Scores!$C$5:$C$44,"Paper condition",Scores!F$5:F$44,Scores!F12))^2-1,"")</f>
        <v/>
      </c>
      <c r="K12" s="1" t="n">
        <f aca="false">IF(ISNUMBER(Scores!F12),Scores!F12^2,"")</f>
        <v>4</v>
      </c>
      <c r="L12" s="1" t="n">
        <f aca="false">IF(AND(Scores!$B12=1,Scores!$C12="Tool condition",ISNUMBER(Scores!G12)),COUNTIFS(Scores!$B$5:$B$44,1,Scores!$C$5:$C$44,"Paper condition",Scores!G$5:G$44,"&lt;"&amp;Scores!G12)+0.5*COUNTIFS(Scores!$B$5:$B$44,1,Scores!$C$5:$C$44,"Paper condition",Scores!G$5:G$44,Scores!G12),"")</f>
        <v>6.5</v>
      </c>
      <c r="M12" s="1" t="n">
        <f aca="false">IF(AND(Scores!$B12=1,OR(Scores!$C12="Tool condition",Scores!$C12="Paper condition"),ISNUMBER(Scores!G12)),(COUNTIFS(Scores!$B$5:$B$44,1,Scores!$C$5:$C$44,"Tool condition",Scores!G$5:G$44,Scores!G12)+COUNTIFS(Scores!$B$5:$B$44,1,Scores!$C$5:$C$44,"Paper condition",Scores!G$5:G$44,Scores!G12))^2-1,"")</f>
        <v>288</v>
      </c>
      <c r="N12" s="1" t="str">
        <f aca="false">IF(AND(Scores!$B12=2,Scores!$C12="Tool condition",ISNUMBER(Scores!G12)),COUNTIFS(Scores!$B$5:$B$44,2,Scores!$C$5:$C$44,"Paper condition",Scores!G$5:G$44,"&lt;"&amp;Scores!G12)+0.5*COUNTIFS(Scores!$B$5:$B$44,2,Scores!$C$5:$C$44,"Paper condition",Scores!G$5:G$44,Scores!G12),"")</f>
        <v/>
      </c>
      <c r="O12" s="1" t="str">
        <f aca="false">IF(AND(Scores!$B12=2,OR(Scores!$C12="Tool condition",Scores!$C12="Paper condition"),ISNUMBER(Scores!G12)),(COUNTIFS(Scores!$B$5:$B$44,2,Scores!$C$5:$C$44,"Tool condition",Scores!G$5:G$44,Scores!G12)+COUNTIFS(Scores!$B$5:$B$44,2,Scores!$C$5:$C$44,"Paper condition",Scores!G$5:G$44,Scores!G12))^2-1,"")</f>
        <v/>
      </c>
      <c r="P12" s="1" t="n">
        <f aca="false">IF(ISNUMBER(Scores!G12),Scores!G12^2,"")</f>
        <v>4</v>
      </c>
      <c r="Q12" s="1" t="n">
        <f aca="false">IF(AND(Scores!$B12=1,Scores!$C12="Tool condition",ISNUMBER(Scores!H12)),COUNTIFS(Scores!$B$5:$B$44,1,Scores!$C$5:$C$44,"Paper condition",Scores!H$5:H$44,"&lt;"&amp;Scores!H12)+0.5*COUNTIFS(Scores!$B$5:$B$44,1,Scores!$C$5:$C$44,"Paper condition",Scores!H$5:H$44,Scores!H12),"")</f>
        <v>7</v>
      </c>
      <c r="R12" s="1" t="n">
        <f aca="false">IF(AND(Scores!$B12=1,OR(Scores!$C12="Tool condition",Scores!$C12="Paper condition"),ISNUMBER(Scores!H12)),(COUNTIFS(Scores!$B$5:$B$44,1,Scores!$C$5:$C$44,"Tool condition",Scores!H$5:H$44,Scores!H12)+COUNTIFS(Scores!$B$5:$B$44,1,Scores!$C$5:$C$44,"Paper condition",Scores!H$5:H$44,Scores!H12))^2-1,"")</f>
        <v>255</v>
      </c>
      <c r="S12" s="1" t="str">
        <f aca="false">IF(AND(Scores!$B12=2,Scores!$C12="Tool condition",ISNUMBER(Scores!H12)),COUNTIFS(Scores!$B$5:$B$44,2,Scores!$C$5:$C$44,"Paper condition",Scores!H$5:H$44,"&lt;"&amp;Scores!H12)+0.5*COUNTIFS(Scores!$B$5:$B$44,2,Scores!$C$5:$C$44,"Paper condition",Scores!H$5:H$44,Scores!H12),"")</f>
        <v/>
      </c>
      <c r="T12" s="1" t="str">
        <f aca="false">IF(AND(Scores!$B12=2,OR(Scores!$C12="Tool condition",Scores!$C12="Paper condition"),ISNUMBER(Scores!H12)),(COUNTIFS(Scores!$B$5:$B$44,2,Scores!$C$5:$C$44,"Tool condition",Scores!H$5:H$44,Scores!H12)+COUNTIFS(Scores!$B$5:$B$44,2,Scores!$C$5:$C$44,"Paper condition",Scores!H$5:H$44,Scores!H12))^2-1,"")</f>
        <v/>
      </c>
      <c r="U12" s="1" t="n">
        <f aca="false">IF(ISNUMBER(Scores!H12),Scores!H12^2,"")</f>
        <v>4</v>
      </c>
      <c r="V12" s="1" t="n">
        <f aca="false">IF(AND(Scores!$B12=1,Scores!$C12="Tool condition",ISNUMBER(Scores!I12)),COUNTIFS(Scores!$B$5:$B$44,1,Scores!$C$5:$C$44,"Paper condition",Scores!I$5:I$44,"&lt;"&amp;Scores!I12)+0.5*COUNTIFS(Scores!$B$5:$B$44,1,Scores!$C$5:$C$44,"Paper condition",Scores!I$5:I$44,Scores!I12),"")</f>
        <v>8</v>
      </c>
      <c r="W12" s="1" t="n">
        <f aca="false">IF(AND(Scores!$B12=1,OR(Scores!$C12="Tool condition",Scores!$C12="Paper condition"),ISNUMBER(Scores!I12)),(COUNTIFS(Scores!$B$5:$B$44,1,Scores!$C$5:$C$44,"Tool condition",Scores!I$5:I$44,Scores!I12)+COUNTIFS(Scores!$B$5:$B$44,1,Scores!$C$5:$C$44,"Paper condition",Scores!I$5:I$44,Scores!I12))^2-1,"")</f>
        <v>195</v>
      </c>
      <c r="X12" s="1" t="str">
        <f aca="false">IF(AND(Scores!$B12=2,Scores!$C12="Tool condition",ISNUMBER(Scores!I12)),COUNTIFS(Scores!$B$5:$B$44,2,Scores!$C$5:$C$44,"Paper condition",Scores!I$5:I$44,"&lt;"&amp;Scores!I12)+0.5*COUNTIFS(Scores!$B$5:$B$44,2,Scores!$C$5:$C$44,"Paper condition",Scores!I$5:I$44,Scores!I12),"")</f>
        <v/>
      </c>
      <c r="Y12" s="1" t="str">
        <f aca="false">IF(AND(Scores!$B12=2,OR(Scores!$C12="Tool condition",Scores!$C12="Paper condition"),ISNUMBER(Scores!I12)),(COUNTIFS(Scores!$B$5:$B$44,2,Scores!$C$5:$C$44,"Tool condition",Scores!I$5:I$44,Scores!I12)+COUNTIFS(Scores!$B$5:$B$44,2,Scores!$C$5:$C$44,"Paper condition",Scores!I$5:I$44,Scores!I12))^2-1,"")</f>
        <v/>
      </c>
      <c r="Z12" s="1" t="n">
        <f aca="false">IF(ISNUMBER(Scores!I12),Scores!I12^2,"")</f>
        <v>4</v>
      </c>
      <c r="AA12" s="1" t="n">
        <f aca="false">IF(AND(Scores!$B12=1,Scores!$C12="Tool condition",ISNUMBER(Scores!J12)),COUNTIFS(Scores!$B$5:$B$44,1,Scores!$C$5:$C$44,"Paper condition",Scores!J$5:J$44,"&lt;"&amp;Scores!J12)+0.5*COUNTIFS(Scores!$B$5:$B$44,1,Scores!$C$5:$C$44,"Paper condition",Scores!J$5:J$44,Scores!J12),"")</f>
        <v>7.5</v>
      </c>
      <c r="AB12" s="1" t="n">
        <f aca="false">IF(AND(Scores!$B12=1,OR(Scores!$C12="Tool condition",Scores!$C12="Paper condition"),ISNUMBER(Scores!J12)),(COUNTIFS(Scores!$B$5:$B$44,1,Scores!$C$5:$C$44,"Tool condition",Scores!J$5:J$44,Scores!J12)+COUNTIFS(Scores!$B$5:$B$44,1,Scores!$C$5:$C$44,"Paper condition",Scores!J$5:J$44,Scores!J12))^2-1,"")</f>
        <v>224</v>
      </c>
      <c r="AC12" s="1" t="str">
        <f aca="false">IF(AND(Scores!$B12=2,Scores!$C12="Tool condition",ISNUMBER(Scores!J12)),COUNTIFS(Scores!$B$5:$B$44,2,Scores!$C$5:$C$44,"Paper condition",Scores!J$5:J$44,"&lt;"&amp;Scores!J12)+0.5*COUNTIFS(Scores!$B$5:$B$44,2,Scores!$C$5:$C$44,"Paper condition",Scores!J$5:J$44,Scores!J12),"")</f>
        <v/>
      </c>
      <c r="AD12" s="1" t="str">
        <f aca="false">IF(AND(Scores!$B12=2,OR(Scores!$C12="Tool condition",Scores!$C12="Paper condition"),ISNUMBER(Scores!J12)),(COUNTIFS(Scores!$B$5:$B$44,2,Scores!$C$5:$C$44,"Tool condition",Scores!J$5:J$44,Scores!J12)+COUNTIFS(Scores!$B$5:$B$44,2,Scores!$C$5:$C$44,"Paper condition",Scores!J$5:J$44,Scores!J12))^2-1,"")</f>
        <v/>
      </c>
      <c r="AE12" s="1" t="n">
        <f aca="false">IF(ISNUMBER(Scores!J12),Scores!J12^2,"")</f>
        <v>4</v>
      </c>
      <c r="AF12" s="1" t="n">
        <f aca="false">IF(AND(Scores!$B12=1,Scores!$C12="Tool condition",ISNUMBER(Scores!K12)),COUNTIFS(Scores!$B$5:$B$44,1,Scores!$C$5:$C$44,"Paper condition",Scores!K$5:K$44,"&lt;"&amp;Scores!K12)+0.5*COUNTIFS(Scores!$B$5:$B$44,1,Scores!$C$5:$C$44,"Paper condition",Scores!K$5:K$44,Scores!K12),"")</f>
        <v>7</v>
      </c>
      <c r="AG12" s="1" t="n">
        <f aca="false">IF(AND(Scores!$B12=1,OR(Scores!$C12="Tool condition",Scores!$C12="Paper condition"),ISNUMBER(Scores!K12)),(COUNTIFS(Scores!$B$5:$B$44,1,Scores!$C$5:$C$44,"Tool condition",Scores!K$5:K$44,Scores!K12)+COUNTIFS(Scores!$B$5:$B$44,1,Scores!$C$5:$C$44,"Paper condition",Scores!K$5:K$44,Scores!K12))^2-1,"")</f>
        <v>255</v>
      </c>
      <c r="AH12" s="1" t="str">
        <f aca="false">IF(AND(Scores!$B12=2,Scores!$C12="Tool condition",ISNUMBER(Scores!K12)),COUNTIFS(Scores!$B$5:$B$44,2,Scores!$C$5:$C$44,"Paper condition",Scores!K$5:K$44,"&lt;"&amp;Scores!K12)+0.5*COUNTIFS(Scores!$B$5:$B$44,2,Scores!$C$5:$C$44,"Paper condition",Scores!K$5:K$44,Scores!K12),"")</f>
        <v/>
      </c>
      <c r="AI12" s="1" t="str">
        <f aca="false">IF(AND(Scores!$B12=2,OR(Scores!$C12="Tool condition",Scores!$C12="Paper condition"),ISNUMBER(Scores!K12)),(COUNTIFS(Scores!$B$5:$B$44,2,Scores!$C$5:$C$44,"Tool condition",Scores!K$5:K$44,Scores!K12)+COUNTIFS(Scores!$B$5:$B$44,2,Scores!$C$5:$C$44,"Paper condition",Scores!K$5:K$44,Scores!K12))^2-1,"")</f>
        <v/>
      </c>
      <c r="AJ12" s="1" t="n">
        <f aca="false">IF(ISNUMBER(Scores!K12),Scores!K12^2,"")</f>
        <v>4</v>
      </c>
      <c r="AK12" s="1" t="n">
        <f aca="false">IF(AND(Scores!$B12=1,Scores!$C12="Tool condition",ISNUMBER(Scores!L12)),COUNTIFS(Scores!$B$5:$B$44,1,Scores!$C$5:$C$44,"Paper condition",Scores!L$5:L$44,"&lt;"&amp;Scores!L12)+0.5*COUNTIFS(Scores!$B$5:$B$44,1,Scores!$C$5:$C$44,"Paper condition",Scores!L$5:L$44,Scores!L12),"")</f>
        <v>6.5</v>
      </c>
      <c r="AL12" s="1" t="n">
        <f aca="false">IF(AND(Scores!$B12=1,OR(Scores!$C12="Tool condition",Scores!$C12="Paper condition"),ISNUMBER(Scores!L12)),(COUNTIFS(Scores!$B$5:$B$44,1,Scores!$C$5:$C$44,"Tool condition",Scores!L$5:L$44,Scores!L12)+COUNTIFS(Scores!$B$5:$B$44,1,Scores!$C$5:$C$44,"Paper condition",Scores!L$5:L$44,Scores!L12))^2-1,"")</f>
        <v>288</v>
      </c>
      <c r="AM12" s="1" t="str">
        <f aca="false">IF(AND(Scores!$B12=2,Scores!$C12="Tool condition",ISNUMBER(Scores!L12)),COUNTIFS(Scores!$B$5:$B$44,2,Scores!$C$5:$C$44,"Paper condition",Scores!L$5:L$44,"&lt;"&amp;Scores!L12)+0.5*COUNTIFS(Scores!$B$5:$B$44,2,Scores!$C$5:$C$44,"Paper condition",Scores!L$5:L$44,Scores!L12),"")</f>
        <v/>
      </c>
      <c r="AN12" s="1" t="str">
        <f aca="false">IF(AND(Scores!$B12=2,OR(Scores!$C12="Tool condition",Scores!$C12="Paper condition"),ISNUMBER(Scores!L12)),(COUNTIFS(Scores!$B$5:$B$44,2,Scores!$C$5:$C$44,"Tool condition",Scores!L$5:L$44,Scores!L12)+COUNTIFS(Scores!$B$5:$B$44,2,Scores!$C$5:$C$44,"Paper condition",Scores!L$5:L$44,Scores!L12))^2-1,"")</f>
        <v/>
      </c>
      <c r="AO12" s="1" t="n">
        <f aca="false">IF(ISNUMBER(Scores!L12),Scores!L12^2,"")</f>
        <v>4</v>
      </c>
      <c r="AP12" s="1" t="n">
        <f aca="false">IF(AND(Scores!$B12=1,Scores!$C12="Tool condition",ISNUMBER(Scores!M12)),COUNTIFS(Scores!$B$5:$B$44,1,Scores!$C$5:$C$44,"Paper condition",Scores!M$5:M$44,"&lt;"&amp;Scores!M12)+0.5*COUNTIFS(Scores!$B$5:$B$44,1,Scores!$C$5:$C$44,"Paper condition",Scores!M$5:M$44,Scores!M12),"")</f>
        <v>6.5</v>
      </c>
      <c r="AQ12" s="1" t="n">
        <f aca="false">IF(AND(Scores!$B12=1,OR(Scores!$C12="Tool condition",Scores!$C12="Paper condition"),ISNUMBER(Scores!M12)),(COUNTIFS(Scores!$B$5:$B$44,1,Scores!$C$5:$C$44,"Tool condition",Scores!M$5:M$44,Scores!M12)+COUNTIFS(Scores!$B$5:$B$44,1,Scores!$C$5:$C$44,"Paper condition",Scores!M$5:M$44,Scores!M12))^2-1,"")</f>
        <v>288</v>
      </c>
      <c r="AR12" s="1" t="str">
        <f aca="false">IF(AND(Scores!$B12=2,Scores!$C12="Tool condition",ISNUMBER(Scores!M12)),COUNTIFS(Scores!$B$5:$B$44,2,Scores!$C$5:$C$44,"Paper condition",Scores!M$5:M$44,"&lt;"&amp;Scores!M12)+0.5*COUNTIFS(Scores!$B$5:$B$44,2,Scores!$C$5:$C$44,"Paper condition",Scores!M$5:M$44,Scores!M12),"")</f>
        <v/>
      </c>
      <c r="AS12" s="1" t="str">
        <f aca="false">IF(AND(Scores!$B12=2,OR(Scores!$C12="Tool condition",Scores!$C12="Paper condition"),ISNUMBER(Scores!M12)),(COUNTIFS(Scores!$B$5:$B$44,2,Scores!$C$5:$C$44,"Tool condition",Scores!M$5:M$44,Scores!M12)+COUNTIFS(Scores!$B$5:$B$44,2,Scores!$C$5:$C$44,"Paper condition",Scores!M$5:M$44,Scores!M12))^2-1,"")</f>
        <v/>
      </c>
      <c r="AT12" s="1" t="n">
        <f aca="false">IF(ISNUMBER(Scores!M12),Scores!M12^2,"")</f>
        <v>4</v>
      </c>
      <c r="AU12" s="1" t="n">
        <f aca="false">IF(AND(Scores!$B12=1,Scores!$C12="Tool condition",ISNUMBER(Scores!N12)),COUNTIFS(Scores!$B$5:$B$44,1,Scores!$C$5:$C$44,"Paper condition",Scores!N$5:N$44,"&lt;"&amp;Scores!N12)+0.5*COUNTIFS(Scores!$B$5:$B$44,1,Scores!$C$5:$C$44,"Paper condition",Scores!N$5:N$44,Scores!N12),"")</f>
        <v>8</v>
      </c>
      <c r="AV12" s="1" t="n">
        <f aca="false">IF(AND(Scores!$B12=1,OR(Scores!$C12="Tool condition",Scores!$C12="Paper condition"),ISNUMBER(Scores!N12)),(COUNTIFS(Scores!$B$5:$B$44,1,Scores!$C$5:$C$44,"Tool condition",Scores!N$5:N$44,Scores!N12)+COUNTIFS(Scores!$B$5:$B$44,1,Scores!$C$5:$C$44,"Paper condition",Scores!N$5:N$44,Scores!N12))^2-1,"")</f>
        <v>195</v>
      </c>
      <c r="AW12" s="1" t="str">
        <f aca="false">IF(AND(Scores!$B12=2,Scores!$C12="Tool condition",ISNUMBER(Scores!N12)),COUNTIFS(Scores!$B$5:$B$44,2,Scores!$C$5:$C$44,"Paper condition",Scores!N$5:N$44,"&lt;"&amp;Scores!N12)+0.5*COUNTIFS(Scores!$B$5:$B$44,2,Scores!$C$5:$C$44,"Paper condition",Scores!N$5:N$44,Scores!N12),"")</f>
        <v/>
      </c>
      <c r="AX12" s="1" t="str">
        <f aca="false">IF(AND(Scores!$B12=2,OR(Scores!$C12="Tool condition",Scores!$C12="Paper condition"),ISNUMBER(Scores!N12)),(COUNTIFS(Scores!$B$5:$B$44,2,Scores!$C$5:$C$44,"Tool condition",Scores!N$5:N$44,Scores!N12)+COUNTIFS(Scores!$B$5:$B$44,2,Scores!$C$5:$C$44,"Paper condition",Scores!N$5:N$44,Scores!N12))^2-1,"")</f>
        <v/>
      </c>
      <c r="AY12" s="1" t="n">
        <f aca="false">IF(ISNUMBER(Scores!N12),Scores!N12^2,"")</f>
        <v>4</v>
      </c>
      <c r="AZ12" s="1" t="n">
        <f aca="false">IF(AND(Scores!$B12=1,Scores!$C12="Tool condition",ISNUMBER(Scores!O12)),COUNTIFS(Scores!$B$5:$B$44,1,Scores!$C$5:$C$44,"Paper condition",Scores!O$5:O$44,"&lt;"&amp;Scores!O12)+0.5*COUNTIFS(Scores!$B$5:$B$44,1,Scores!$C$5:$C$44,"Paper condition",Scores!O$5:O$44,Scores!O12),"")</f>
        <v>7.5</v>
      </c>
      <c r="BA12" s="1" t="n">
        <f aca="false">IF(AND(Scores!$B12=1,OR(Scores!$C12="Tool condition",Scores!$C12="Paper condition"),ISNUMBER(Scores!O12)),(COUNTIFS(Scores!$B$5:$B$44,1,Scores!$C$5:$C$44,"Tool condition",Scores!O$5:O$44,Scores!O12)+COUNTIFS(Scores!$B$5:$B$44,1,Scores!$C$5:$C$44,"Paper condition",Scores!O$5:O$44,Scores!O12))^2-1,"")</f>
        <v>224</v>
      </c>
      <c r="BB12" s="1" t="str">
        <f aca="false">IF(AND(Scores!$B12=2,Scores!$C12="Tool condition",ISNUMBER(Scores!O12)),COUNTIFS(Scores!$B$5:$B$44,2,Scores!$C$5:$C$44,"Paper condition",Scores!O$5:O$44,"&lt;"&amp;Scores!O12)+0.5*COUNTIFS(Scores!$B$5:$B$44,2,Scores!$C$5:$C$44,"Paper condition",Scores!O$5:O$44,Scores!O12),"")</f>
        <v/>
      </c>
      <c r="BC12" s="1" t="str">
        <f aca="false">IF(AND(Scores!$B12=2,OR(Scores!$C12="Tool condition",Scores!$C12="Paper condition"),ISNUMBER(Scores!O12)),(COUNTIFS(Scores!$B$5:$B$44,2,Scores!$C$5:$C$44,"Tool condition",Scores!O$5:O$44,Scores!O12)+COUNTIFS(Scores!$B$5:$B$44,2,Scores!$C$5:$C$44,"Paper condition",Scores!O$5:O$44,Scores!O12))^2-1,"")</f>
        <v/>
      </c>
      <c r="BD12" s="1" t="n">
        <f aca="false">IF(ISNUMBER(Scores!O12),Scores!O12^2,"")</f>
        <v>4</v>
      </c>
      <c r="BE12" s="1" t="n">
        <f aca="false">IF(AND(Scores!$B12=1,Scores!$C12="Tool condition",ISNUMBER(Scores!P12)),COUNTIFS(Scores!$B$5:$B$44,1,Scores!$C$5:$C$44,"Paper condition",Scores!P$5:P$44,"&lt;"&amp;Scores!P12)+0.5*COUNTIFS(Scores!$B$5:$B$44,1,Scores!$C$5:$C$44,"Paper condition",Scores!P$5:P$44,Scores!P12),"")</f>
        <v>8.5</v>
      </c>
      <c r="BF12" s="1" t="n">
        <f aca="false">IF(AND(Scores!$B12=1,OR(Scores!$C12="Tool condition",Scores!$C12="Paper condition"),ISNUMBER(Scores!P12)),(COUNTIFS(Scores!$B$5:$B$44,1,Scores!$C$5:$C$44,"Tool condition",Scores!P$5:P$44,Scores!P12)+COUNTIFS(Scores!$B$5:$B$44,1,Scores!$C$5:$C$44,"Paper condition",Scores!P$5:P$44,Scores!P12))^2-1,"")</f>
        <v>168</v>
      </c>
      <c r="BG12" s="1" t="str">
        <f aca="false">IF(AND(Scores!$B12=2,Scores!$C12="Tool condition",ISNUMBER(Scores!P12)),COUNTIFS(Scores!$B$5:$B$44,2,Scores!$C$5:$C$44,"Paper condition",Scores!P$5:P$44,"&lt;"&amp;Scores!P12)+0.5*COUNTIFS(Scores!$B$5:$B$44,2,Scores!$C$5:$C$44,"Paper condition",Scores!P$5:P$44,Scores!P12),"")</f>
        <v/>
      </c>
      <c r="BH12" s="1" t="str">
        <f aca="false">IF(AND(Scores!$B12=2,OR(Scores!$C12="Tool condition",Scores!$C12="Paper condition"),ISNUMBER(Scores!P12)),(COUNTIFS(Scores!$B$5:$B$44,2,Scores!$C$5:$C$44,"Tool condition",Scores!P$5:P$44,Scores!P12)+COUNTIFS(Scores!$B$5:$B$44,2,Scores!$C$5:$C$44,"Paper condition",Scores!P$5:P$44,Scores!P12))^2-1,"")</f>
        <v/>
      </c>
      <c r="BI12" s="1" t="n">
        <f aca="false">IF(ISNUMBER(Scores!P12),Scores!P12^2,"")</f>
        <v>4</v>
      </c>
      <c r="BJ12" s="1" t="n">
        <f aca="false">IF(AND(R_Scores!$B12=1,R_Scores!$C12="Tool condition",ISNUMBER(R_Scores!E12)),COUNTIFS(R_Scores!$B$5:$B$44,1,R_Scores!$C$5:$C$44,"Paper condition",R_Scores!E$5:E$44,"&lt;"&amp;R_Scores!E12)+0.5*COUNTIFS(R_Scores!$B$5:$B$44,1,R_Scores!$C$5:$C$44,"Paper condition",R_Scores!E$5:E$44,R_Scores!E12),"")</f>
        <v>2</v>
      </c>
      <c r="BK12" s="1" t="n">
        <f aca="false">IF(AND(R_Scores!$B12=1,OR(R_Scores!$C12="Tool condition",R_Scores!$C12="Paper condition"),ISNUMBER(R_Scores!E12)),(COUNTIFS(R_Scores!$B$5:$B$44,1,R_Scores!$C$5:$C$44,"Tool condition",R_Scores!E$5:E$44,R_Scores!E12)+COUNTIFS(R_Scores!$B$5:$B$44,1,R_Scores!$C$5:$C$44,"Paper condition",R_Scores!E$5:E$44,R_Scores!E12))^2-1,"")</f>
        <v>24</v>
      </c>
      <c r="BL12" s="1" t="str">
        <f aca="false">IF(AND(R_Scores!$B12=2,R_Scores!$C12="Tool condition",ISNUMBER(R_Scores!E12)),COUNTIFS(R_Scores!$B$5:$B$44,2,R_Scores!$C$5:$C$44,"Paper condition",R_Scores!E$5:E$44,"&lt;"&amp;R_Scores!E12)+0.5*COUNTIFS(R_Scores!$B$5:$B$44,2,R_Scores!$C$5:$C$44,"Paper condition",R_Scores!E$5:E$44,R_Scores!E12),"")</f>
        <v/>
      </c>
      <c r="BM12" s="1" t="str">
        <f aca="false">IF(AND(R_Scores!$B12=2,OR(R_Scores!$C12="Tool condition",R_Scores!$C12="Paper condition"),ISNUMBER(R_Scores!E12)),(COUNTIFS(R_Scores!$B$5:$B$44,2,R_Scores!$C$5:$C$44,"Tool condition",R_Scores!E$5:E$44,R_Scores!E12)+COUNTIFS(R_Scores!$B$5:$B$44,2,R_Scores!$C$5:$C$44,"Paper condition",R_Scores!E$5:E$44,R_Scores!E12))^2-1,"")</f>
        <v/>
      </c>
      <c r="BN12" s="1" t="n">
        <f aca="false">IF(ISNUMBER(R_Scores!E12),R_Scores!E12^2,"")</f>
        <v>0</v>
      </c>
      <c r="BO12" s="1" t="n">
        <f aca="false">IF(AND(R_Scores!$B12=1,R_Scores!$C12="Tool condition",ISNUMBER(R_Scores!F12)),COUNTIFS(R_Scores!$B$5:$B$44,1,R_Scores!$C$5:$C$44,"Paper condition",R_Scores!F$5:F$44,"&lt;"&amp;R_Scores!F12)+0.5*COUNTIFS(R_Scores!$B$5:$B$44,1,R_Scores!$C$5:$C$44,"Paper condition",R_Scores!F$5:F$44,R_Scores!F12),"")</f>
        <v>7</v>
      </c>
      <c r="BP12" s="1" t="n">
        <f aca="false">IF(AND(R_Scores!$B12=1,OR(R_Scores!$C12="Tool condition",R_Scores!$C12="Paper condition"),ISNUMBER(R_Scores!F12)),(COUNTIFS(R_Scores!$B$5:$B$44,1,R_Scores!$C$5:$C$44,"Tool condition",R_Scores!F$5:F$44,R_Scores!F12)+COUNTIFS(R_Scores!$B$5:$B$44,1,R_Scores!$C$5:$C$44,"Paper condition",R_Scores!F$5:F$44,R_Scores!F12))^2-1,"")</f>
        <v>195</v>
      </c>
      <c r="BQ12" s="1" t="str">
        <f aca="false">IF(AND(R_Scores!$B12=2,R_Scores!$C12="Tool condition",ISNUMBER(R_Scores!F12)),COUNTIFS(R_Scores!$B$5:$B$44,2,R_Scores!$C$5:$C$44,"Paper condition",R_Scores!F$5:F$44,"&lt;"&amp;R_Scores!F12)+0.5*COUNTIFS(R_Scores!$B$5:$B$44,2,R_Scores!$C$5:$C$44,"Paper condition",R_Scores!F$5:F$44,R_Scores!F12),"")</f>
        <v/>
      </c>
      <c r="BR12" s="1" t="str">
        <f aca="false">IF(AND(R_Scores!$B12=2,OR(R_Scores!$C12="Tool condition",R_Scores!$C12="Paper condition"),ISNUMBER(R_Scores!F12)),(COUNTIFS(R_Scores!$B$5:$B$44,2,R_Scores!$C$5:$C$44,"Tool condition",R_Scores!F$5:F$44,R_Scores!F12)+COUNTIFS(R_Scores!$B$5:$B$44,2,R_Scores!$C$5:$C$44,"Paper condition",R_Scores!F$5:F$44,R_Scores!F12))^2-1,"")</f>
        <v/>
      </c>
      <c r="BS12" s="1" t="n">
        <f aca="false">IF(ISNUMBER(R_Scores!F12),R_Scores!F12^2,"")</f>
        <v>1</v>
      </c>
      <c r="BT12" s="1" t="str">
        <f aca="false">IF(AND(R_Scores!$B12=1,R_Scores!$C12="Tool condition",ISNUMBER(R_Scores!G12)),COUNTIFS(R_Scores!$B$5:$B$44,1,R_Scores!$C$5:$C$44,"Paper condition",R_Scores!G$5:G$44,"&lt;"&amp;R_Scores!G12)+0.5*COUNTIFS(R_Scores!$B$5:$B$44,1,R_Scores!$C$5:$C$44,"Paper condition",R_Scores!G$5:G$44,R_Scores!G12),"")</f>
        <v/>
      </c>
      <c r="BU12" s="1" t="str">
        <f aca="false">IF(AND(R_Scores!$B12=1,OR(R_Scores!$C12="Tool condition",R_Scores!$C12="Paper condition"),ISNUMBER(R_Scores!G12)),(COUNTIFS(R_Scores!$B$5:$B$44,1,R_Scores!$C$5:$C$44,"Tool condition",R_Scores!G$5:G$44,R_Scores!G12)+COUNTIFS(R_Scores!$B$5:$B$44,1,R_Scores!$C$5:$C$44,"Paper condition",R_Scores!G$5:G$44,R_Scores!G12))^2-1,"")</f>
        <v/>
      </c>
      <c r="BV12" s="1" t="str">
        <f aca="false">IF(AND(R_Scores!$B12=2,R_Scores!$C12="Tool condition",ISNUMBER(R_Scores!G12)),COUNTIFS(R_Scores!$B$5:$B$44,2,R_Scores!$C$5:$C$44,"Paper condition",R_Scores!G$5:G$44,"&lt;"&amp;R_Scores!G12)+0.5*COUNTIFS(R_Scores!$B$5:$B$44,2,R_Scores!$C$5:$C$44,"Paper condition",R_Scores!G$5:G$44,R_Scores!G12),"")</f>
        <v/>
      </c>
      <c r="BW12" s="1" t="str">
        <f aca="false">IF(AND(R_Scores!$B12=2,OR(R_Scores!$C12="Tool condition",R_Scores!$C12="Paper condition"),ISNUMBER(R_Scores!G12)),(COUNTIFS(R_Scores!$B$5:$B$44,2,R_Scores!$C$5:$C$44,"Tool condition",R_Scores!G$5:G$44,R_Scores!G12)+COUNTIFS(R_Scores!$B$5:$B$44,2,R_Scores!$C$5:$C$44,"Paper condition",R_Scores!G$5:G$44,R_Scores!G12))^2-1,"")</f>
        <v/>
      </c>
      <c r="BX12" s="1" t="str">
        <f aca="false">IF(ISNUMBER(R_Scores!G12),R_Scores!G12^2,"")</f>
        <v/>
      </c>
      <c r="BY12" s="1" t="str">
        <f aca="false">IF(AND(R_Scores!$B12=1,R_Scores!$C12="Tool condition",ISNUMBER(R_Scores!H12)),COUNTIFS(R_Scores!$B$5:$B$44,1,R_Scores!$C$5:$C$44,"Paper condition",R_Scores!H$5:H$44,"&lt;"&amp;R_Scores!H12)+0.5*COUNTIFS(R_Scores!$B$5:$B$44,1,R_Scores!$C$5:$C$44,"Paper condition",R_Scores!H$5:H$44,R_Scores!H12),"")</f>
        <v/>
      </c>
      <c r="BZ12" s="1" t="str">
        <f aca="false">IF(AND(R_Scores!$B12=1,OR(R_Scores!$C12="Tool condition",R_Scores!$C12="Paper condition"),ISNUMBER(R_Scores!H12)),(COUNTIFS(R_Scores!$B$5:$B$44,1,R_Scores!$C$5:$C$44,"Tool condition",R_Scores!H$5:H$44,R_Scores!H12)+COUNTIFS(R_Scores!$B$5:$B$44,1,R_Scores!$C$5:$C$44,"Paper condition",R_Scores!H$5:H$44,R_Scores!H12))^2-1,"")</f>
        <v/>
      </c>
      <c r="CA12" s="1" t="str">
        <f aca="false">IF(AND(R_Scores!$B12=2,R_Scores!$C12="Tool condition",ISNUMBER(R_Scores!H12)),COUNTIFS(R_Scores!$B$5:$B$44,2,R_Scores!$C$5:$C$44,"Paper condition",R_Scores!H$5:H$44,"&lt;"&amp;R_Scores!H12)+0.5*COUNTIFS(R_Scores!$B$5:$B$44,2,R_Scores!$C$5:$C$44,"Paper condition",R_Scores!H$5:H$44,R_Scores!H12),"")</f>
        <v/>
      </c>
      <c r="CB12" s="1" t="str">
        <f aca="false">IF(AND(R_Scores!$B12=2,OR(R_Scores!$C12="Tool condition",R_Scores!$C12="Paper condition"),ISNUMBER(R_Scores!H12)),(COUNTIFS(R_Scores!$B$5:$B$44,2,R_Scores!$C$5:$C$44,"Tool condition",R_Scores!H$5:H$44,R_Scores!H12)+COUNTIFS(R_Scores!$B$5:$B$44,2,R_Scores!$C$5:$C$44,"Paper condition",R_Scores!H$5:H$44,R_Scores!H12))^2-1,"")</f>
        <v/>
      </c>
      <c r="CC12" s="1" t="str">
        <f aca="false">IF(ISNUMBER(R_Scores!H12),R_Scores!H12^2,"")</f>
        <v/>
      </c>
      <c r="CD12" s="1" t="n">
        <f aca="false">IF(AND(R_Scores!$B12=1,R_Scores!$C12="Tool condition",ISNUMBER(R_Scores!I12)),COUNTIFS(R_Scores!$B$5:$B$44,1,R_Scores!$C$5:$C$44,"Paper condition",R_Scores!I$5:I$44,"&lt;"&amp;R_Scores!I12)+0.5*COUNTIFS(R_Scores!$B$5:$B$44,1,R_Scores!$C$5:$C$44,"Paper condition",R_Scores!I$5:I$44,R_Scores!I12),"")</f>
        <v>7.5</v>
      </c>
      <c r="CE12" s="1" t="n">
        <f aca="false">IF(AND(R_Scores!$B12=1,OR(R_Scores!$C12="Tool condition",R_Scores!$C12="Paper condition"),ISNUMBER(R_Scores!I12)),(COUNTIFS(R_Scores!$B$5:$B$44,1,R_Scores!$C$5:$C$44,"Tool condition",R_Scores!I$5:I$44,R_Scores!I12)+COUNTIFS(R_Scores!$B$5:$B$44,1,R_Scores!$C$5:$C$44,"Paper condition",R_Scores!I$5:I$44,R_Scores!I12))^2-1,"")</f>
        <v>168</v>
      </c>
      <c r="CF12" s="1" t="str">
        <f aca="false">IF(AND(R_Scores!$B12=2,R_Scores!$C12="Tool condition",ISNUMBER(R_Scores!I12)),COUNTIFS(R_Scores!$B$5:$B$44,2,R_Scores!$C$5:$C$44,"Paper condition",R_Scores!I$5:I$44,"&lt;"&amp;R_Scores!I12)+0.5*COUNTIFS(R_Scores!$B$5:$B$44,2,R_Scores!$C$5:$C$44,"Paper condition",R_Scores!I$5:I$44,R_Scores!I12),"")</f>
        <v/>
      </c>
      <c r="CG12" s="1" t="str">
        <f aca="false">IF(AND(R_Scores!$B12=2,OR(R_Scores!$C12="Tool condition",R_Scores!$C12="Paper condition"),ISNUMBER(R_Scores!I12)),(COUNTIFS(R_Scores!$B$5:$B$44,2,R_Scores!$C$5:$C$44,"Tool condition",R_Scores!I$5:I$44,R_Scores!I12)+COUNTIFS(R_Scores!$B$5:$B$44,2,R_Scores!$C$5:$C$44,"Paper condition",R_Scores!I$5:I$44,R_Scores!I12))^2-1,"")</f>
        <v/>
      </c>
      <c r="CH12" s="1" t="n">
        <f aca="false">IF(ISNUMBER(R_Scores!I12),R_Scores!I12^2,"")</f>
        <v>1</v>
      </c>
      <c r="CI12" s="1" t="n">
        <f aca="false">IF(AND(R_Scores!$B12=1,R_Scores!$C12="Tool condition",ISNUMBER(R_Scores!J12)),COUNTIFS(R_Scores!$B$5:$B$44,1,R_Scores!$C$5:$C$44,"Paper condition",R_Scores!J$5:J$44,"&lt;"&amp;R_Scores!J12)+0.5*COUNTIFS(R_Scores!$B$5:$B$44,1,R_Scores!$C$5:$C$44,"Paper condition",R_Scores!J$5:J$44,R_Scores!J12),"")</f>
        <v>7</v>
      </c>
      <c r="CJ12" s="1" t="n">
        <f aca="false">IF(AND(R_Scores!$B12=1,OR(R_Scores!$C12="Tool condition",R_Scores!$C12="Paper condition"),ISNUMBER(R_Scores!J12)),(COUNTIFS(R_Scores!$B$5:$B$44,1,R_Scores!$C$5:$C$44,"Tool condition",R_Scores!J$5:J$44,R_Scores!J12)+COUNTIFS(R_Scores!$B$5:$B$44,1,R_Scores!$C$5:$C$44,"Paper condition",R_Scores!J$5:J$44,R_Scores!J12))^2-1,"")</f>
        <v>224</v>
      </c>
      <c r="CK12" s="1" t="str">
        <f aca="false">IF(AND(R_Scores!$B12=2,R_Scores!$C12="Tool condition",ISNUMBER(R_Scores!J12)),COUNTIFS(R_Scores!$B$5:$B$44,2,R_Scores!$C$5:$C$44,"Paper condition",R_Scores!J$5:J$44,"&lt;"&amp;R_Scores!J12)+0.5*COUNTIFS(R_Scores!$B$5:$B$44,2,R_Scores!$C$5:$C$44,"Paper condition",R_Scores!J$5:J$44,R_Scores!J12),"")</f>
        <v/>
      </c>
      <c r="CL12" s="1" t="str">
        <f aca="false">IF(AND(R_Scores!$B12=2,OR(R_Scores!$C12="Tool condition",R_Scores!$C12="Paper condition"),ISNUMBER(R_Scores!J12)),(COUNTIFS(R_Scores!$B$5:$B$44,2,R_Scores!$C$5:$C$44,"Tool condition",R_Scores!J$5:J$44,R_Scores!J12)+COUNTIFS(R_Scores!$B$5:$B$44,2,R_Scores!$C$5:$C$44,"Paper condition",R_Scores!J$5:J$44,R_Scores!J12))^2-1,"")</f>
        <v/>
      </c>
      <c r="CM12" s="1" t="n">
        <f aca="false">IF(ISNUMBER(R_Scores!J12),R_Scores!J12^2,"")</f>
        <v>1</v>
      </c>
      <c r="CN12" s="1" t="str">
        <f aca="false">IF(AND(R_Scores!$B12=1,R_Scores!$C12="Tool condition",ISNUMBER(R_Scores!K12)),COUNTIFS(R_Scores!$B$5:$B$44,1,R_Scores!$C$5:$C$44,"Paper condition",R_Scores!K$5:K$44,"&lt;"&amp;R_Scores!K12)+0.5*COUNTIFS(R_Scores!$B$5:$B$44,1,R_Scores!$C$5:$C$44,"Paper condition",R_Scores!K$5:K$44,R_Scores!K12),"")</f>
        <v/>
      </c>
      <c r="CO12" s="1" t="str">
        <f aca="false">IF(AND(R_Scores!$B12=1,OR(R_Scores!$C12="Tool condition",R_Scores!$C12="Paper condition"),ISNUMBER(R_Scores!K12)),(COUNTIFS(R_Scores!$B$5:$B$44,1,R_Scores!$C$5:$C$44,"Tool condition",R_Scores!K$5:K$44,R_Scores!K12)+COUNTIFS(R_Scores!$B$5:$B$44,1,R_Scores!$C$5:$C$44,"Paper condition",R_Scores!K$5:K$44,R_Scores!K12))^2-1,"")</f>
        <v/>
      </c>
      <c r="CP12" s="1" t="str">
        <f aca="false">IF(AND(R_Scores!$B12=2,R_Scores!$C12="Tool condition",ISNUMBER(R_Scores!K12)),COUNTIFS(R_Scores!$B$5:$B$44,2,R_Scores!$C$5:$C$44,"Paper condition",R_Scores!K$5:K$44,"&lt;"&amp;R_Scores!K12)+0.5*COUNTIFS(R_Scores!$B$5:$B$44,2,R_Scores!$C$5:$C$44,"Paper condition",R_Scores!K$5:K$44,R_Scores!K12),"")</f>
        <v/>
      </c>
      <c r="CQ12" s="1" t="str">
        <f aca="false">IF(AND(R_Scores!$B12=2,OR(R_Scores!$C12="Tool condition",R_Scores!$C12="Paper condition"),ISNUMBER(R_Scores!K12)),(COUNTIFS(R_Scores!$B$5:$B$44,2,R_Scores!$C$5:$C$44,"Tool condition",R_Scores!K$5:K$44,R_Scores!K12)+COUNTIFS(R_Scores!$B$5:$B$44,2,R_Scores!$C$5:$C$44,"Paper condition",R_Scores!K$5:K$44,R_Scores!K12))^2-1,"")</f>
        <v/>
      </c>
      <c r="CR12" s="1" t="str">
        <f aca="false">IF(ISNUMBER(R_Scores!K12),R_Scores!K12^2,"")</f>
        <v/>
      </c>
      <c r="CS12" s="1" t="str">
        <f aca="false">IF(AND(R_Scores!$B12=1,R_Scores!$C12="Tool condition",ISNUMBER(R_Scores!L12)),COUNTIFS(R_Scores!$B$5:$B$44,1,R_Scores!$C$5:$C$44,"Paper condition",R_Scores!L$5:L$44,"&lt;"&amp;R_Scores!L12)+0.5*COUNTIFS(R_Scores!$B$5:$B$44,1,R_Scores!$C$5:$C$44,"Paper condition",R_Scores!L$5:L$44,R_Scores!L12),"")</f>
        <v/>
      </c>
      <c r="CT12" s="1" t="str">
        <f aca="false">IF(AND(R_Scores!$B12=1,OR(R_Scores!$C12="Tool condition",R_Scores!$C12="Paper condition"),ISNUMBER(R_Scores!L12)),(COUNTIFS(R_Scores!$B$5:$B$44,1,R_Scores!$C$5:$C$44,"Tool condition",R_Scores!L$5:L$44,R_Scores!L12)+COUNTIFS(R_Scores!$B$5:$B$44,1,R_Scores!$C$5:$C$44,"Paper condition",R_Scores!L$5:L$44,R_Scores!L12))^2-1,"")</f>
        <v/>
      </c>
      <c r="CU12" s="1" t="str">
        <f aca="false">IF(AND(R_Scores!$B12=2,R_Scores!$C12="Tool condition",ISNUMBER(R_Scores!L12)),COUNTIFS(R_Scores!$B$5:$B$44,2,R_Scores!$C$5:$C$44,"Paper condition",R_Scores!L$5:L$44,"&lt;"&amp;R_Scores!L12)+0.5*COUNTIFS(R_Scores!$B$5:$B$44,2,R_Scores!$C$5:$C$44,"Paper condition",R_Scores!L$5:L$44,R_Scores!L12),"")</f>
        <v/>
      </c>
      <c r="CV12" s="1" t="str">
        <f aca="false">IF(AND(R_Scores!$B12=2,OR(R_Scores!$C12="Tool condition",R_Scores!$C12="Paper condition"),ISNUMBER(R_Scores!L12)),(COUNTIFS(R_Scores!$B$5:$B$44,2,R_Scores!$C$5:$C$44,"Tool condition",R_Scores!L$5:L$44,R_Scores!L12)+COUNTIFS(R_Scores!$B$5:$B$44,2,R_Scores!$C$5:$C$44,"Paper condition",R_Scores!L$5:L$44,R_Scores!L12))^2-1,"")</f>
        <v/>
      </c>
      <c r="CW12" s="1" t="str">
        <f aca="false">IF(ISNUMBER(R_Scores!L12),R_Scores!L12^2,"")</f>
        <v/>
      </c>
      <c r="CX12" s="1" t="str">
        <f aca="false">IF(AND(R_Scores!$B12=1,R_Scores!$C12="Tool condition",ISNUMBER(R_Scores!M12)),COUNTIFS(R_Scores!$B$5:$B$44,1,R_Scores!$C$5:$C$44,"Paper condition",R_Scores!M$5:M$44,"&lt;"&amp;R_Scores!M12)+0.5*COUNTIFS(R_Scores!$B$5:$B$44,1,R_Scores!$C$5:$C$44,"Paper condition",R_Scores!M$5:M$44,R_Scores!M12),"")</f>
        <v/>
      </c>
      <c r="CY12" s="1" t="str">
        <f aca="false">IF(AND(R_Scores!$B12=1,OR(R_Scores!$C12="Tool condition",R_Scores!$C12="Paper condition"),ISNUMBER(R_Scores!M12)),(COUNTIFS(R_Scores!$B$5:$B$44,1,R_Scores!$C$5:$C$44,"Tool condition",R_Scores!M$5:M$44,R_Scores!M12)+COUNTIFS(R_Scores!$B$5:$B$44,1,R_Scores!$C$5:$C$44,"Paper condition",R_Scores!M$5:M$44,R_Scores!M12))^2-1,"")</f>
        <v/>
      </c>
      <c r="CZ12" s="1" t="str">
        <f aca="false">IF(AND(R_Scores!$B12=2,R_Scores!$C12="Tool condition",ISNUMBER(R_Scores!M12)),COUNTIFS(R_Scores!$B$5:$B$44,2,R_Scores!$C$5:$C$44,"Paper condition",R_Scores!M$5:M$44,"&lt;"&amp;R_Scores!M12)+0.5*COUNTIFS(R_Scores!$B$5:$B$44,2,R_Scores!$C$5:$C$44,"Paper condition",R_Scores!M$5:M$44,R_Scores!M12),"")</f>
        <v/>
      </c>
      <c r="DA12" s="1" t="str">
        <f aca="false">IF(AND(R_Scores!$B12=2,OR(R_Scores!$C12="Tool condition",R_Scores!$C12="Paper condition"),ISNUMBER(R_Scores!M12)),(COUNTIFS(R_Scores!$B$5:$B$44,2,R_Scores!$C$5:$C$44,"Tool condition",R_Scores!M$5:M$44,R_Scores!M12)+COUNTIFS(R_Scores!$B$5:$B$44,2,R_Scores!$C$5:$C$44,"Paper condition",R_Scores!M$5:M$44,R_Scores!M12))^2-1,"")</f>
        <v/>
      </c>
      <c r="DB12" s="1" t="str">
        <f aca="false">IF(ISNUMBER(R_Scores!M12),R_Scores!M12^2,"")</f>
        <v/>
      </c>
      <c r="DC12" s="1" t="n">
        <f aca="false">IF(AND(R_Scores!$B12=1,R_Scores!$C12="Tool condition",ISNUMBER(R_Scores!N12)),COUNTIFS(R_Scores!$B$5:$B$44,1,R_Scores!$C$5:$C$44,"Paper condition",R_Scores!N$5:N$44,"&lt;"&amp;R_Scores!N12)+0.5*COUNTIFS(R_Scores!$B$5:$B$44,1,R_Scores!$C$5:$C$44,"Paper condition",R_Scores!N$5:N$44,R_Scores!N12),"")</f>
        <v>8</v>
      </c>
      <c r="DD12" s="1" t="n">
        <f aca="false">IF(AND(R_Scores!$B12=1,OR(R_Scores!$C12="Tool condition",R_Scores!$C12="Paper condition"),ISNUMBER(R_Scores!N12)),(COUNTIFS(R_Scores!$B$5:$B$44,1,R_Scores!$C$5:$C$44,"Tool condition",R_Scores!N$5:N$44,R_Scores!N12)+COUNTIFS(R_Scores!$B$5:$B$44,1,R_Scores!$C$5:$C$44,"Paper condition",R_Scores!N$5:N$44,R_Scores!N12))^2-1,"")</f>
        <v>143</v>
      </c>
      <c r="DE12" s="1" t="str">
        <f aca="false">IF(AND(R_Scores!$B12=2,R_Scores!$C12="Tool condition",ISNUMBER(R_Scores!N12)),COUNTIFS(R_Scores!$B$5:$B$44,2,R_Scores!$C$5:$C$44,"Paper condition",R_Scores!N$5:N$44,"&lt;"&amp;R_Scores!N12)+0.5*COUNTIFS(R_Scores!$B$5:$B$44,2,R_Scores!$C$5:$C$44,"Paper condition",R_Scores!N$5:N$44,R_Scores!N12),"")</f>
        <v/>
      </c>
      <c r="DF12" s="1" t="str">
        <f aca="false">IF(AND(R_Scores!$B12=2,OR(R_Scores!$C12="Tool condition",R_Scores!$C12="Paper condition"),ISNUMBER(R_Scores!N12)),(COUNTIFS(R_Scores!$B$5:$B$44,2,R_Scores!$C$5:$C$44,"Tool condition",R_Scores!N$5:N$44,R_Scores!N12)+COUNTIFS(R_Scores!$B$5:$B$44,2,R_Scores!$C$5:$C$44,"Paper condition",R_Scores!N$5:N$44,R_Scores!N12))^2-1,"")</f>
        <v/>
      </c>
      <c r="DG12" s="1" t="n">
        <f aca="false">IF(ISNUMBER(R_Scores!N12),R_Scores!N12^2,"")</f>
        <v>1</v>
      </c>
      <c r="DH12" s="1" t="n">
        <f aca="false">IF(AND(R_Scores!$B12=1,R_Scores!$C12="Tool condition",ISNUMBER(R_Scores!O12)),COUNTIFS(R_Scores!$B$5:$B$44,1,R_Scores!$C$5:$C$44,"Paper condition",R_Scores!O$5:O$44,"&lt;"&amp;R_Scores!O12)+0.5*COUNTIFS(R_Scores!$B$5:$B$44,1,R_Scores!$C$5:$C$44,"Paper condition",R_Scores!O$5:O$44,R_Scores!O12),"")</f>
        <v>7.5</v>
      </c>
      <c r="DI12" s="1" t="n">
        <f aca="false">IF(AND(R_Scores!$B12=1,OR(R_Scores!$C12="Tool condition",R_Scores!$C12="Paper condition"),ISNUMBER(R_Scores!O12)),(COUNTIFS(R_Scores!$B$5:$B$44,1,R_Scores!$C$5:$C$44,"Tool condition",R_Scores!O$5:O$44,R_Scores!O12)+COUNTIFS(R_Scores!$B$5:$B$44,1,R_Scores!$C$5:$C$44,"Paper condition",R_Scores!O$5:O$44,R_Scores!O12))^2-1,"")</f>
        <v>168</v>
      </c>
      <c r="DJ12" s="1" t="str">
        <f aca="false">IF(AND(R_Scores!$B12=2,R_Scores!$C12="Tool condition",ISNUMBER(R_Scores!O12)),COUNTIFS(R_Scores!$B$5:$B$44,2,R_Scores!$C$5:$C$44,"Paper condition",R_Scores!O$5:O$44,"&lt;"&amp;R_Scores!O12)+0.5*COUNTIFS(R_Scores!$B$5:$B$44,2,R_Scores!$C$5:$C$44,"Paper condition",R_Scores!O$5:O$44,R_Scores!O12),"")</f>
        <v/>
      </c>
      <c r="DK12" s="1" t="str">
        <f aca="false">IF(AND(R_Scores!$B12=2,OR(R_Scores!$C12="Tool condition",R_Scores!$C12="Paper condition"),ISNUMBER(R_Scores!O12)),(COUNTIFS(R_Scores!$B$5:$B$44,2,R_Scores!$C$5:$C$44,"Tool condition",R_Scores!O$5:O$44,R_Scores!O12)+COUNTIFS(R_Scores!$B$5:$B$44,2,R_Scores!$C$5:$C$44,"Paper condition",R_Scores!O$5:O$44,R_Scores!O12))^2-1,"")</f>
        <v/>
      </c>
      <c r="DL12" s="1" t="n">
        <f aca="false">IF(ISNUMBER(R_Scores!O12),R_Scores!O12^2,"")</f>
        <v>1</v>
      </c>
      <c r="DM12" s="1" t="n">
        <f aca="false">IF(AND(R_Scores!$B12=1,R_Scores!$C12="Tool condition",ISNUMBER(R_Scores!P12)),COUNTIFS(R_Scores!$B$5:$B$44,1,R_Scores!$C$5:$C$44,"Paper condition",R_Scores!P$5:P$44,"&lt;"&amp;R_Scores!P12)+0.5*COUNTIFS(R_Scores!$B$5:$B$44,1,R_Scores!$C$5:$C$44,"Paper condition",R_Scores!P$5:P$44,R_Scores!P12),"")</f>
        <v>3.5</v>
      </c>
      <c r="DN12" s="1" t="n">
        <f aca="false">IF(AND(R_Scores!$B12=1,OR(R_Scores!$C12="Tool condition",R_Scores!$C12="Paper condition"),ISNUMBER(R_Scores!P12)),(COUNTIFS(R_Scores!$B$5:$B$44,1,R_Scores!$C$5:$C$44,"Tool condition",R_Scores!P$5:P$44,R_Scores!P12)+COUNTIFS(R_Scores!$B$5:$B$44,1,R_Scores!$C$5:$C$44,"Paper condition",R_Scores!P$5:P$44,R_Scores!P12))^2-1,"")</f>
        <v>80</v>
      </c>
      <c r="DO12" s="1" t="str">
        <f aca="false">IF(AND(R_Scores!$B12=2,R_Scores!$C12="Tool condition",ISNUMBER(R_Scores!P12)),COUNTIFS(R_Scores!$B$5:$B$44,2,R_Scores!$C$5:$C$44,"Paper condition",R_Scores!P$5:P$44,"&lt;"&amp;R_Scores!P12)+0.5*COUNTIFS(R_Scores!$B$5:$B$44,2,R_Scores!$C$5:$C$44,"Paper condition",R_Scores!P$5:P$44,R_Scores!P12),"")</f>
        <v/>
      </c>
      <c r="DP12" s="1" t="str">
        <f aca="false">IF(AND(R_Scores!$B12=2,OR(R_Scores!$C12="Tool condition",R_Scores!$C12="Paper condition"),ISNUMBER(R_Scores!P12)),(COUNTIFS(R_Scores!$B$5:$B$44,2,R_Scores!$C$5:$C$44,"Tool condition",R_Scores!P$5:P$44,R_Scores!P12)+COUNTIFS(R_Scores!$B$5:$B$44,2,R_Scores!$C$5:$C$44,"Paper condition",R_Scores!P$5:P$44,R_Scores!P12))^2-1,"")</f>
        <v/>
      </c>
      <c r="DQ12" s="1" t="n">
        <f aca="false">IF(ISNUMBER(R_Scores!P12),R_Scores!P12^2,"")</f>
        <v>0</v>
      </c>
      <c r="DR12" s="1" t="n">
        <f aca="false">IF(AND(Scores!$B12=1,Scores!$C12="Tool condition",ISNUMBER(Scores!Q12)),COUNTIFS(Scores!$B$5:$B$44,1,Scores!$C$5:$C$44,"Paper condition",Scores!Q$5:Q$44,"&lt;"&amp;Scores!Q12)+0.5*COUNTIFS(Scores!$B$5:$B$44,1,Scores!$C$5:$C$44,"Paper condition",Scores!Q$5:Q$44,Scores!Q12),"")</f>
        <v>10</v>
      </c>
      <c r="DS12" s="1" t="n">
        <f aca="false">IF(AND(Scores!$B12=1,OR(Scores!$C12="Tool condition",Scores!$C12="Paper condition"),ISNUMBER(Scores!Q12)),(COUNTIFS(Scores!$B$5:$B$44,1,Scores!$C$5:$C$44,"Tool condition",Scores!Q$5:Q$44,Scores!Q12)+COUNTIFS(Scores!$B$5:$B$44,1,Scores!$C$5:$C$44,"Paper condition",Scores!Q$5:Q$44,Scores!Q12))^2-1,"")</f>
        <v>99</v>
      </c>
      <c r="DT12" s="1" t="str">
        <f aca="false">IF(AND(Scores!$B12=2,Scores!$C12="Tool condition",ISNUMBER(Scores!Q12)),COUNTIFS(Scores!$B$5:$B$44,2,Scores!$C$5:$C$44,"Paper condition",Scores!Q$5:Q$44,"&lt;"&amp;Scores!Q12)+0.5*COUNTIFS(Scores!$B$5:$B$44,2,Scores!$C$5:$C$44,"Paper condition",Scores!Q$5:Q$44,Scores!Q12),"")</f>
        <v/>
      </c>
      <c r="DU12" s="1" t="str">
        <f aca="false">IF(AND(Scores!$B12=2,OR(Scores!$C12="Tool condition",Scores!$C12="Paper condition"),ISNUMBER(Scores!Q12)),(COUNTIFS(Scores!$B$5:$B$44,2,Scores!$C$5:$C$44,"Tool condition",Scores!Q$5:Q$44,Scores!Q12)+COUNTIFS(Scores!$B$5:$B$44,2,Scores!$C$5:$C$44,"Paper condition",Scores!Q$5:Q$44,Scores!Q12))^2-1,"")</f>
        <v/>
      </c>
      <c r="DV12" s="1" t="n">
        <f aca="false">IF(ISNUMBER(Scores!Q12),Scores!Q12^2,"")</f>
        <v>576</v>
      </c>
      <c r="DW12" s="1" t="n">
        <f aca="false">IF(AND(Scores!$B12=1,Scores!$C12="Tool condition",ISNUMBER(Scores!R12)),COUNTIFS(Scores!$B$5:$B$44,1,Scores!$C$5:$C$44,"Paper condition",Scores!R$5:R$44,"&lt;"&amp;Scores!R12)+0.5*COUNTIFS(Scores!$B$5:$B$44,1,Scores!$C$5:$C$44,"Paper condition",Scores!R$5:R$44,Scores!R12),"")</f>
        <v>9.5</v>
      </c>
      <c r="DX12" s="1" t="n">
        <f aca="false">IF(AND(Scores!$B12=1,OR(Scores!$C12="Tool condition",Scores!$C12="Paper condition"),ISNUMBER(Scores!R12)),(COUNTIFS(Scores!$B$5:$B$44,1,Scores!$C$5:$C$44,"Tool condition",Scores!R$5:R$44,Scores!R12)+COUNTIFS(Scores!$B$5:$B$44,1,Scores!$C$5:$C$44,"Paper condition",Scores!R$5:R$44,Scores!R12))^2-1,"")</f>
        <v>120</v>
      </c>
      <c r="DY12" s="1" t="str">
        <f aca="false">IF(AND(Scores!$B12=2,Scores!$C12="Tool condition",ISNUMBER(Scores!R12)),COUNTIFS(Scores!$B$5:$B$44,2,Scores!$C$5:$C$44,"Paper condition",Scores!R$5:R$44,"&lt;"&amp;Scores!R12)+0.5*COUNTIFS(Scores!$B$5:$B$44,2,Scores!$C$5:$C$44,"Paper condition",Scores!R$5:R$44,Scores!R12),"")</f>
        <v/>
      </c>
      <c r="DZ12" s="1" t="str">
        <f aca="false">IF(AND(Scores!$B12=2,OR(Scores!$C12="Tool condition",Scores!$C12="Paper condition"),ISNUMBER(Scores!R12)),(COUNTIFS(Scores!$B$5:$B$44,2,Scores!$C$5:$C$44,"Tool condition",Scores!R$5:R$44,Scores!R12)+COUNTIFS(Scores!$B$5:$B$44,2,Scores!$C$5:$C$44,"Paper condition",Scores!R$5:R$44,Scores!R12))^2-1,"")</f>
        <v/>
      </c>
      <c r="EA12" s="1" t="n">
        <f aca="false">IF(ISNUMBER(Scores!R12),Scores!R12^2,"")</f>
        <v>196</v>
      </c>
      <c r="EB12" s="1" t="n">
        <f aca="false">IF(AND(Scores!$B12=1,Scores!$C12="Tool condition",ISNUMBER(Scores!S12)),COUNTIFS(Scores!$B$5:$B$44,1,Scores!$C$5:$C$44,"Paper condition",Scores!S$5:S$44,"&lt;"&amp;Scores!S12)+0.5*COUNTIFS(Scores!$B$5:$B$44,1,Scores!$C$5:$C$44,"Paper condition",Scores!S$5:S$44,Scores!S12),"")</f>
        <v>9</v>
      </c>
      <c r="EC12" s="1" t="n">
        <f aca="false">IF(AND(Scores!$B12=1,OR(Scores!$C12="Tool condition",Scores!$C12="Paper condition"),ISNUMBER(Scores!S12)),(COUNTIFS(Scores!$B$5:$B$44,1,Scores!$C$5:$C$44,"Tool condition",Scores!S$5:S$44,Scores!S12)+COUNTIFS(Scores!$B$5:$B$44,1,Scores!$C$5:$C$44,"Paper condition",Scores!S$5:S$44,Scores!S12))^2-1,"")</f>
        <v>143</v>
      </c>
      <c r="ED12" s="1" t="str">
        <f aca="false">IF(AND(Scores!$B12=2,Scores!$C12="Tool condition",ISNUMBER(Scores!S12)),COUNTIFS(Scores!$B$5:$B$44,2,Scores!$C$5:$C$44,"Paper condition",Scores!S$5:S$44,"&lt;"&amp;Scores!S12)+0.5*COUNTIFS(Scores!$B$5:$B$44,2,Scores!$C$5:$C$44,"Paper condition",Scores!S$5:S$44,Scores!S12),"")</f>
        <v/>
      </c>
      <c r="EE12" s="1" t="str">
        <f aca="false">IF(AND(Scores!$B12=2,OR(Scores!$C12="Tool condition",Scores!$C12="Paper condition"),ISNUMBER(Scores!S12)),(COUNTIFS(Scores!$B$5:$B$44,2,Scores!$C$5:$C$44,"Tool condition",Scores!S$5:S$44,Scores!S12)+COUNTIFS(Scores!$B$5:$B$44,2,Scores!$C$5:$C$44,"Paper condition",Scores!S$5:S$44,Scores!S12))^2-1,"")</f>
        <v/>
      </c>
      <c r="EF12" s="1" t="n">
        <f aca="false">IF(ISNUMBER(Scores!S12),Scores!S12^2,"")</f>
        <v>100</v>
      </c>
      <c r="EG12" s="1" t="n">
        <f aca="false">IF(AND(Scores!$B12=1,Scores!$C12="Tool condition",ISNUMBER(Scores!T12)),COUNTIFS(Scores!$B$5:$B$44,1,Scores!$C$5:$C$44,"Paper condition",Scores!T$5:T$44,"&lt;"&amp;Scores!T12)+0.5*COUNTIFS(Scores!$B$5:$B$44,1,Scores!$C$5:$C$44,"Paper condition",Scores!T$5:T$44,Scores!T12),"")</f>
        <v>8.5</v>
      </c>
      <c r="EH12" s="1" t="n">
        <f aca="false">IF(AND(Scores!$B12=1,OR(Scores!$C12="Tool condition",Scores!$C12="Paper condition"),ISNUMBER(Scores!T12)),(COUNTIFS(Scores!$B$5:$B$44,1,Scores!$C$5:$C$44,"Tool condition",Scores!T$5:T$44,Scores!T12)+COUNTIFS(Scores!$B$5:$B$44,1,Scores!$C$5:$C$44,"Paper condition",Scores!T$5:T$44,Scores!T12))^2-1,"")</f>
        <v>168</v>
      </c>
      <c r="EI12" s="1" t="str">
        <f aca="false">IF(AND(Scores!$B12=2,Scores!$C12="Tool condition",ISNUMBER(Scores!T12)),COUNTIFS(Scores!$B$5:$B$44,2,Scores!$C$5:$C$44,"Paper condition",Scores!T$5:T$44,"&lt;"&amp;Scores!T12)+0.5*COUNTIFS(Scores!$B$5:$B$44,2,Scores!$C$5:$C$44,"Paper condition",Scores!T$5:T$44,Scores!T12),"")</f>
        <v/>
      </c>
      <c r="EJ12" s="1" t="str">
        <f aca="false">IF(AND(Scores!$B12=2,OR(Scores!$C12="Tool condition",Scores!$C12="Paper condition"),ISNUMBER(Scores!T12)),(COUNTIFS(Scores!$B$5:$B$44,2,Scores!$C$5:$C$44,"Tool condition",Scores!T$5:T$44,Scores!T12)+COUNTIFS(Scores!$B$5:$B$44,2,Scores!$C$5:$C$44,"Paper condition",Scores!T$5:T$44,Scores!T12))^2-1,"")</f>
        <v/>
      </c>
      <c r="EK12" s="1" t="n">
        <f aca="false">IF(ISNUMBER(Scores!T12),Scores!T12^2,"")</f>
        <v>64</v>
      </c>
      <c r="EL12" s="1" t="n">
        <f aca="false">IF(AND(Scores!$B12=1,Scores!$C12="Tool condition",ISNUMBER(Scores!U12)),COUNTIFS(Scores!$B$5:$B$44,1,Scores!$C$5:$C$44,"Paper condition",Scores!U$5:U$44,"&lt;"&amp;Scores!U12)+0.5*COUNTIFS(Scores!$B$5:$B$44,1,Scores!$C$5:$C$44,"Paper condition",Scores!U$5:U$44,Scores!U12),"")</f>
        <v>8.5</v>
      </c>
      <c r="EM12" s="1" t="n">
        <f aca="false">IF(AND(Scores!$B12=1,OR(Scores!$C12="Tool condition",Scores!$C12="Paper condition"),ISNUMBER(Scores!U12)),(COUNTIFS(Scores!$B$5:$B$44,1,Scores!$C$5:$C$44,"Tool condition",Scores!U$5:U$44,Scores!U12)+COUNTIFS(Scores!$B$5:$B$44,1,Scores!$C$5:$C$44,"Paper condition",Scores!U$5:U$44,Scores!U12))^2-1,"")</f>
        <v>168</v>
      </c>
      <c r="EN12" s="1" t="str">
        <f aca="false">IF(AND(Scores!$B12=2,Scores!$C12="Tool condition",ISNUMBER(Scores!U12)),COUNTIFS(Scores!$B$5:$B$44,2,Scores!$C$5:$C$44,"Paper condition",Scores!U$5:U$44,"&lt;"&amp;Scores!U12)+0.5*COUNTIFS(Scores!$B$5:$B$44,2,Scores!$C$5:$C$44,"Paper condition",Scores!U$5:U$44,Scores!U12),"")</f>
        <v/>
      </c>
      <c r="EO12" s="1" t="str">
        <f aca="false">IF(AND(Scores!$B12=2,OR(Scores!$C12="Tool condition",Scores!$C12="Paper condition"),ISNUMBER(Scores!U12)),(COUNTIFS(Scores!$B$5:$B$44,2,Scores!$C$5:$C$44,"Tool condition",Scores!U$5:U$44,Scores!U12)+COUNTIFS(Scores!$B$5:$B$44,2,Scores!$C$5:$C$44,"Paper condition",Scores!U$5:U$44,Scores!U12))^2-1,"")</f>
        <v/>
      </c>
      <c r="EP12" s="1" t="n">
        <f aca="false">IF(ISNUMBER(Scores!U12),Scores!U12^2,"")</f>
        <v>36</v>
      </c>
      <c r="EQ12" s="1" t="n">
        <f aca="false">IF(AND(Scores!$B12=1,Scores!$C12="Tool condition",ISNUMBER(Scores!V12)),COUNTIFS(Scores!$B$5:$B$44,1,Scores!$C$5:$C$44,"Paper condition",Scores!V$5:V$44,"&lt;"&amp;Scores!V12)+0.5*COUNTIFS(Scores!$B$5:$B$44,1,Scores!$C$5:$C$44,"Paper condition",Scores!V$5:V$44,Scores!V12),"")</f>
        <v>10</v>
      </c>
      <c r="ER12" s="1" t="n">
        <f aca="false">IF(AND(Scores!$B12=1,OR(Scores!$C12="Tool condition",Scores!$C12="Paper condition"),ISNUMBER(Scores!V12)),(COUNTIFS(Scores!$B$5:$B$44,1,Scores!$C$5:$C$44,"Tool condition",Scores!V$5:V$44,Scores!V12)+COUNTIFS(Scores!$B$5:$B$44,1,Scores!$C$5:$C$44,"Paper condition",Scores!V$5:V$44,Scores!V12))^2-1,"")</f>
        <v>99</v>
      </c>
      <c r="ES12" s="1" t="str">
        <f aca="false">IF(AND(Scores!$B12=2,Scores!$C12="Tool condition",ISNUMBER(Scores!V12)),COUNTIFS(Scores!$B$5:$B$44,2,Scores!$C$5:$C$44,"Paper condition",Scores!V$5:V$44,"&lt;"&amp;Scores!V12)+0.5*COUNTIFS(Scores!$B$5:$B$44,2,Scores!$C$5:$C$44,"Paper condition",Scores!V$5:V$44,Scores!V12),"")</f>
        <v/>
      </c>
      <c r="ET12" s="1" t="str">
        <f aca="false">IF(AND(Scores!$B12=2,OR(Scores!$C12="Tool condition",Scores!$C12="Paper condition"),ISNUMBER(Scores!V12)),(COUNTIFS(Scores!$B$5:$B$44,2,Scores!$C$5:$C$44,"Tool condition",Scores!V$5:V$44,Scores!V12)+COUNTIFS(Scores!$B$5:$B$44,2,Scores!$C$5:$C$44,"Paper condition",Scores!V$5:V$44,Scores!V12))^2-1,"")</f>
        <v/>
      </c>
      <c r="EU12" s="1" t="n">
        <f aca="false">IF(ISNUMBER(Scores!V12),Scores!V12^2,"")</f>
        <v>100</v>
      </c>
      <c r="EV12" s="1" t="n">
        <f aca="false">IF(AND(R_Scores!$B12=1,R_Scores!$C12="Tool condition",ISNUMBER(R_Scores!Q12)),COUNTIFS(R_Scores!$B$5:$B$44,1,R_Scores!$C$5:$C$44,"Paper condition",R_Scores!Q$5:Q$44,"&lt;"&amp;R_Scores!Q12)+0.5*COUNTIFS(R_Scores!$B$5:$B$44,1,R_Scores!$C$5:$C$44,"Paper condition",R_Scores!Q$5:Q$44,R_Scores!Q12),"")</f>
        <v>6</v>
      </c>
      <c r="EW12" s="1" t="n">
        <f aca="false">IF(AND(R_Scores!$B12=1,OR(R_Scores!$C12="Tool condition",R_Scores!$C12="Paper condition"),ISNUMBER(R_Scores!Q12)),(COUNTIFS(R_Scores!$B$5:$B$44,1,R_Scores!$C$5:$C$44,"Tool condition",R_Scores!Q$5:Q$44,R_Scores!Q12)+COUNTIFS(R_Scores!$B$5:$B$44,1,R_Scores!$C$5:$C$44,"Paper condition",R_Scores!Q$5:Q$44,R_Scores!Q12))^2-1,"")</f>
        <v>8</v>
      </c>
      <c r="EX12" s="1" t="str">
        <f aca="false">IF(AND(R_Scores!$B12=2,R_Scores!$C12="Tool condition",ISNUMBER(R_Scores!Q12)),COUNTIFS(R_Scores!$B$5:$B$44,2,R_Scores!$C$5:$C$44,"Paper condition",R_Scores!Q$5:Q$44,"&lt;"&amp;R_Scores!Q12)+0.5*COUNTIFS(R_Scores!$B$5:$B$44,2,R_Scores!$C$5:$C$44,"Paper condition",R_Scores!Q$5:Q$44,R_Scores!Q12),"")</f>
        <v/>
      </c>
      <c r="EY12" s="1" t="str">
        <f aca="false">IF(AND(R_Scores!$B12=2,OR(R_Scores!$C12="Tool condition",R_Scores!$C12="Paper condition"),ISNUMBER(R_Scores!Q12)),(COUNTIFS(R_Scores!$B$5:$B$44,2,R_Scores!$C$5:$C$44,"Tool condition",R_Scores!Q$5:Q$44,R_Scores!Q12)+COUNTIFS(R_Scores!$B$5:$B$44,2,R_Scores!$C$5:$C$44,"Paper condition",R_Scores!Q$5:Q$44,R_Scores!Q12))^2-1,"")</f>
        <v/>
      </c>
      <c r="EZ12" s="1" t="n">
        <f aca="false">IF(ISNUMBER(R_Scores!Q12),R_Scores!Q12^2,"")</f>
        <v>25</v>
      </c>
      <c r="FA12" s="1" t="n">
        <f aca="false">IF(AND(R_Scores!$B12=1,R_Scores!$C12="Tool condition",ISNUMBER(R_Scores!R12)),COUNTIFS(R_Scores!$B$5:$B$44,1,R_Scores!$C$5:$C$44,"Paper condition",R_Scores!R$5:R$44,"&lt;"&amp;R_Scores!R12)+0.5*COUNTIFS(R_Scores!$B$5:$B$44,1,R_Scores!$C$5:$C$44,"Paper condition",R_Scores!R$5:R$44,R_Scores!R12),"")</f>
        <v>9</v>
      </c>
      <c r="FB12" s="1" t="n">
        <f aca="false">IF(AND(R_Scores!$B12=1,OR(R_Scores!$C12="Tool condition",R_Scores!$C12="Paper condition"),ISNUMBER(R_Scores!R12)),(COUNTIFS(R_Scores!$B$5:$B$44,1,R_Scores!$C$5:$C$44,"Tool condition",R_Scores!R$5:R$44,R_Scores!R12)+COUNTIFS(R_Scores!$B$5:$B$44,1,R_Scores!$C$5:$C$44,"Paper condition",R_Scores!R$5:R$44,R_Scores!R12))^2-1,"")</f>
        <v>24</v>
      </c>
      <c r="FC12" s="1" t="str">
        <f aca="false">IF(AND(R_Scores!$B12=2,R_Scores!$C12="Tool condition",ISNUMBER(R_Scores!R12)),COUNTIFS(R_Scores!$B$5:$B$44,2,R_Scores!$C$5:$C$44,"Paper condition",R_Scores!R$5:R$44,"&lt;"&amp;R_Scores!R12)+0.5*COUNTIFS(R_Scores!$B$5:$B$44,2,R_Scores!$C$5:$C$44,"Paper condition",R_Scores!R$5:R$44,R_Scores!R12),"")</f>
        <v/>
      </c>
      <c r="FD12" s="1" t="str">
        <f aca="false">IF(AND(R_Scores!$B12=2,OR(R_Scores!$C12="Tool condition",R_Scores!$C12="Paper condition"),ISNUMBER(R_Scores!R12)),(COUNTIFS(R_Scores!$B$5:$B$44,2,R_Scores!$C$5:$C$44,"Tool condition",R_Scores!R$5:R$44,R_Scores!R12)+COUNTIFS(R_Scores!$B$5:$B$44,2,R_Scores!$C$5:$C$44,"Paper condition",R_Scores!R$5:R$44,R_Scores!R12))^2-1,"")</f>
        <v/>
      </c>
      <c r="FE12" s="1" t="n">
        <f aca="false">IF(ISNUMBER(R_Scores!R12),R_Scores!R12^2,"")</f>
        <v>841</v>
      </c>
    </row>
    <row r="13" customFormat="false" ht="14.25" hidden="false" customHeight="true" outlineLevel="0" collapsed="false">
      <c r="B13" s="1" t="n">
        <f aca="false">IF(AND(Scores!$B13=1,Scores!$C13="Tool condition",ISNUMBER(Scores!E13)),COUNTIFS(Scores!$B$5:$B$44,1,Scores!$C$5:$C$44,"Paper condition",Scores!E$5:E$44,"&lt;"&amp;Scores!E13)+0.5*COUNTIFS(Scores!$B$5:$B$44,1,Scores!$C$5:$C$44,"Paper condition",Scores!E$5:E$44,Scores!E13),"")</f>
        <v>7</v>
      </c>
      <c r="C13" s="1" t="n">
        <f aca="false">IF(AND(Scores!$B13=1,OR(Scores!$C13="Tool condition",Scores!$C13="Paper condition"),ISNUMBER(Scores!E13)),(COUNTIFS(Scores!$B$5:$B$44,1,Scores!$C$5:$C$44,"Tool condition",Scores!E$5:E$44,Scores!E13)+COUNTIFS(Scores!$B$5:$B$44,1,Scores!$C$5:$C$44,"Paper condition",Scores!E$5:E$44,Scores!E13))^2-1,"")</f>
        <v>255</v>
      </c>
      <c r="D13" s="1" t="str">
        <f aca="false">IF(AND(Scores!$B13=2,Scores!$C13="Tool condition",ISNUMBER(Scores!E13)),COUNTIFS(Scores!$B$5:$B$44,2,Scores!$C$5:$C$44,"Paper condition",Scores!E$5:E$44,"&lt;"&amp;Scores!E13)+0.5*COUNTIFS(Scores!$B$5:$B$44,2,Scores!$C$5:$C$44,"Paper condition",Scores!E$5:E$44,Scores!E13),"")</f>
        <v/>
      </c>
      <c r="E13" s="1" t="str">
        <f aca="false">IF(AND(Scores!$B13=2,OR(Scores!$C13="Tool condition",Scores!$C13="Paper condition"),ISNUMBER(Scores!E13)),(COUNTIFS(Scores!$B$5:$B$44,2,Scores!$C$5:$C$44,"Tool condition",Scores!E$5:E$44,Scores!E13)+COUNTIFS(Scores!$B$5:$B$44,2,Scores!$C$5:$C$44,"Paper condition",Scores!E$5:E$44,Scores!E13))^2-1,"")</f>
        <v/>
      </c>
      <c r="F13" s="1" t="n">
        <f aca="false">IF(ISNUMBER(Scores!E13),Scores!E13^2,"")</f>
        <v>4</v>
      </c>
      <c r="G13" s="1" t="n">
        <f aca="false">IF(AND(Scores!$B13=1,Scores!$C13="Tool condition",ISNUMBER(Scores!F13)),COUNTIFS(Scores!$B$5:$B$44,1,Scores!$C$5:$C$44,"Paper condition",Scores!F$5:F$44,"&lt;"&amp;Scores!F13)+0.5*COUNTIFS(Scores!$B$5:$B$44,1,Scores!$C$5:$C$44,"Paper condition",Scores!F$5:F$44,Scores!F13),"")</f>
        <v>8</v>
      </c>
      <c r="H13" s="1" t="n">
        <f aca="false">IF(AND(Scores!$B13=1,OR(Scores!$C13="Tool condition",Scores!$C13="Paper condition"),ISNUMBER(Scores!F13)),(COUNTIFS(Scores!$B$5:$B$44,1,Scores!$C$5:$C$44,"Tool condition",Scores!F$5:F$44,Scores!F13)+COUNTIFS(Scores!$B$5:$B$44,1,Scores!$C$5:$C$44,"Paper condition",Scores!F$5:F$44,Scores!F13))^2-1,"")</f>
        <v>195</v>
      </c>
      <c r="I13" s="1" t="str">
        <f aca="false">IF(AND(Scores!$B13=2,Scores!$C13="Tool condition",ISNUMBER(Scores!F13)),COUNTIFS(Scores!$B$5:$B$44,2,Scores!$C$5:$C$44,"Paper condition",Scores!F$5:F$44,"&lt;"&amp;Scores!F13)+0.5*COUNTIFS(Scores!$B$5:$B$44,2,Scores!$C$5:$C$44,"Paper condition",Scores!F$5:F$44,Scores!F13),"")</f>
        <v/>
      </c>
      <c r="J13" s="1" t="str">
        <f aca="false">IF(AND(Scores!$B13=2,OR(Scores!$C13="Tool condition",Scores!$C13="Paper condition"),ISNUMBER(Scores!F13)),(COUNTIFS(Scores!$B$5:$B$44,2,Scores!$C$5:$C$44,"Tool condition",Scores!F$5:F$44,Scores!F13)+COUNTIFS(Scores!$B$5:$B$44,2,Scores!$C$5:$C$44,"Paper condition",Scores!F$5:F$44,Scores!F13))^2-1,"")</f>
        <v/>
      </c>
      <c r="K13" s="1" t="n">
        <f aca="false">IF(ISNUMBER(Scores!F13),Scores!F13^2,"")</f>
        <v>4</v>
      </c>
      <c r="L13" s="1" t="n">
        <f aca="false">IF(AND(Scores!$B13=1,Scores!$C13="Tool condition",ISNUMBER(Scores!G13)),COUNTIFS(Scores!$B$5:$B$44,1,Scores!$C$5:$C$44,"Paper condition",Scores!G$5:G$44,"&lt;"&amp;Scores!G13)+0.5*COUNTIFS(Scores!$B$5:$B$44,1,Scores!$C$5:$C$44,"Paper condition",Scores!G$5:G$44,Scores!G13),"")</f>
        <v>6.5</v>
      </c>
      <c r="M13" s="1" t="n">
        <f aca="false">IF(AND(Scores!$B13=1,OR(Scores!$C13="Tool condition",Scores!$C13="Paper condition"),ISNUMBER(Scores!G13)),(COUNTIFS(Scores!$B$5:$B$44,1,Scores!$C$5:$C$44,"Tool condition",Scores!G$5:G$44,Scores!G13)+COUNTIFS(Scores!$B$5:$B$44,1,Scores!$C$5:$C$44,"Paper condition",Scores!G$5:G$44,Scores!G13))^2-1,"")</f>
        <v>288</v>
      </c>
      <c r="N13" s="1" t="str">
        <f aca="false">IF(AND(Scores!$B13=2,Scores!$C13="Tool condition",ISNUMBER(Scores!G13)),COUNTIFS(Scores!$B$5:$B$44,2,Scores!$C$5:$C$44,"Paper condition",Scores!G$5:G$44,"&lt;"&amp;Scores!G13)+0.5*COUNTIFS(Scores!$B$5:$B$44,2,Scores!$C$5:$C$44,"Paper condition",Scores!G$5:G$44,Scores!G13),"")</f>
        <v/>
      </c>
      <c r="O13" s="1" t="str">
        <f aca="false">IF(AND(Scores!$B13=2,OR(Scores!$C13="Tool condition",Scores!$C13="Paper condition"),ISNUMBER(Scores!G13)),(COUNTIFS(Scores!$B$5:$B$44,2,Scores!$C$5:$C$44,"Tool condition",Scores!G$5:G$44,Scores!G13)+COUNTIFS(Scores!$B$5:$B$44,2,Scores!$C$5:$C$44,"Paper condition",Scores!G$5:G$44,Scores!G13))^2-1,"")</f>
        <v/>
      </c>
      <c r="P13" s="1" t="n">
        <f aca="false">IF(ISNUMBER(Scores!G13),Scores!G13^2,"")</f>
        <v>4</v>
      </c>
      <c r="Q13" s="1" t="n">
        <f aca="false">IF(AND(Scores!$B13=1,Scores!$C13="Tool condition",ISNUMBER(Scores!H13)),COUNTIFS(Scores!$B$5:$B$44,1,Scores!$C$5:$C$44,"Paper condition",Scores!H$5:H$44,"&lt;"&amp;Scores!H13)+0.5*COUNTIFS(Scores!$B$5:$B$44,1,Scores!$C$5:$C$44,"Paper condition",Scores!H$5:H$44,Scores!H13),"")</f>
        <v>7</v>
      </c>
      <c r="R13" s="1" t="n">
        <f aca="false">IF(AND(Scores!$B13=1,OR(Scores!$C13="Tool condition",Scores!$C13="Paper condition"),ISNUMBER(Scores!H13)),(COUNTIFS(Scores!$B$5:$B$44,1,Scores!$C$5:$C$44,"Tool condition",Scores!H$5:H$44,Scores!H13)+COUNTIFS(Scores!$B$5:$B$44,1,Scores!$C$5:$C$44,"Paper condition",Scores!H$5:H$44,Scores!H13))^2-1,"")</f>
        <v>255</v>
      </c>
      <c r="S13" s="1" t="str">
        <f aca="false">IF(AND(Scores!$B13=2,Scores!$C13="Tool condition",ISNUMBER(Scores!H13)),COUNTIFS(Scores!$B$5:$B$44,2,Scores!$C$5:$C$44,"Paper condition",Scores!H$5:H$44,"&lt;"&amp;Scores!H13)+0.5*COUNTIFS(Scores!$B$5:$B$44,2,Scores!$C$5:$C$44,"Paper condition",Scores!H$5:H$44,Scores!H13),"")</f>
        <v/>
      </c>
      <c r="T13" s="1" t="str">
        <f aca="false">IF(AND(Scores!$B13=2,OR(Scores!$C13="Tool condition",Scores!$C13="Paper condition"),ISNUMBER(Scores!H13)),(COUNTIFS(Scores!$B$5:$B$44,2,Scores!$C$5:$C$44,"Tool condition",Scores!H$5:H$44,Scores!H13)+COUNTIFS(Scores!$B$5:$B$44,2,Scores!$C$5:$C$44,"Paper condition",Scores!H$5:H$44,Scores!H13))^2-1,"")</f>
        <v/>
      </c>
      <c r="U13" s="1" t="n">
        <f aca="false">IF(ISNUMBER(Scores!H13),Scores!H13^2,"")</f>
        <v>4</v>
      </c>
      <c r="V13" s="1" t="n">
        <f aca="false">IF(AND(Scores!$B13=1,Scores!$C13="Tool condition",ISNUMBER(Scores!I13)),COUNTIFS(Scores!$B$5:$B$44,1,Scores!$C$5:$C$44,"Paper condition",Scores!I$5:I$44,"&lt;"&amp;Scores!I13)+0.5*COUNTIFS(Scores!$B$5:$B$44,1,Scores!$C$5:$C$44,"Paper condition",Scores!I$5:I$44,Scores!I13),"")</f>
        <v>8</v>
      </c>
      <c r="W13" s="1" t="n">
        <f aca="false">IF(AND(Scores!$B13=1,OR(Scores!$C13="Tool condition",Scores!$C13="Paper condition"),ISNUMBER(Scores!I13)),(COUNTIFS(Scores!$B$5:$B$44,1,Scores!$C$5:$C$44,"Tool condition",Scores!I$5:I$44,Scores!I13)+COUNTIFS(Scores!$B$5:$B$44,1,Scores!$C$5:$C$44,"Paper condition",Scores!I$5:I$44,Scores!I13))^2-1,"")</f>
        <v>195</v>
      </c>
      <c r="X13" s="1" t="str">
        <f aca="false">IF(AND(Scores!$B13=2,Scores!$C13="Tool condition",ISNUMBER(Scores!I13)),COUNTIFS(Scores!$B$5:$B$44,2,Scores!$C$5:$C$44,"Paper condition",Scores!I$5:I$44,"&lt;"&amp;Scores!I13)+0.5*COUNTIFS(Scores!$B$5:$B$44,2,Scores!$C$5:$C$44,"Paper condition",Scores!I$5:I$44,Scores!I13),"")</f>
        <v/>
      </c>
      <c r="Y13" s="1" t="str">
        <f aca="false">IF(AND(Scores!$B13=2,OR(Scores!$C13="Tool condition",Scores!$C13="Paper condition"),ISNUMBER(Scores!I13)),(COUNTIFS(Scores!$B$5:$B$44,2,Scores!$C$5:$C$44,"Tool condition",Scores!I$5:I$44,Scores!I13)+COUNTIFS(Scores!$B$5:$B$44,2,Scores!$C$5:$C$44,"Paper condition",Scores!I$5:I$44,Scores!I13))^2-1,"")</f>
        <v/>
      </c>
      <c r="Z13" s="1" t="n">
        <f aca="false">IF(ISNUMBER(Scores!I13),Scores!I13^2,"")</f>
        <v>4</v>
      </c>
      <c r="AA13" s="1" t="n">
        <f aca="false">IF(AND(Scores!$B13=1,Scores!$C13="Tool condition",ISNUMBER(Scores!J13)),COUNTIFS(Scores!$B$5:$B$44,1,Scores!$C$5:$C$44,"Paper condition",Scores!J$5:J$44,"&lt;"&amp;Scores!J13)+0.5*COUNTIFS(Scores!$B$5:$B$44,1,Scores!$C$5:$C$44,"Paper condition",Scores!J$5:J$44,Scores!J13),"")</f>
        <v>7.5</v>
      </c>
      <c r="AB13" s="1" t="n">
        <f aca="false">IF(AND(Scores!$B13=1,OR(Scores!$C13="Tool condition",Scores!$C13="Paper condition"),ISNUMBER(Scores!J13)),(COUNTIFS(Scores!$B$5:$B$44,1,Scores!$C$5:$C$44,"Tool condition",Scores!J$5:J$44,Scores!J13)+COUNTIFS(Scores!$B$5:$B$44,1,Scores!$C$5:$C$44,"Paper condition",Scores!J$5:J$44,Scores!J13))^2-1,"")</f>
        <v>224</v>
      </c>
      <c r="AC13" s="1" t="str">
        <f aca="false">IF(AND(Scores!$B13=2,Scores!$C13="Tool condition",ISNUMBER(Scores!J13)),COUNTIFS(Scores!$B$5:$B$44,2,Scores!$C$5:$C$44,"Paper condition",Scores!J$5:J$44,"&lt;"&amp;Scores!J13)+0.5*COUNTIFS(Scores!$B$5:$B$44,2,Scores!$C$5:$C$44,"Paper condition",Scores!J$5:J$44,Scores!J13),"")</f>
        <v/>
      </c>
      <c r="AD13" s="1" t="str">
        <f aca="false">IF(AND(Scores!$B13=2,OR(Scores!$C13="Tool condition",Scores!$C13="Paper condition"),ISNUMBER(Scores!J13)),(COUNTIFS(Scores!$B$5:$B$44,2,Scores!$C$5:$C$44,"Tool condition",Scores!J$5:J$44,Scores!J13)+COUNTIFS(Scores!$B$5:$B$44,2,Scores!$C$5:$C$44,"Paper condition",Scores!J$5:J$44,Scores!J13))^2-1,"")</f>
        <v/>
      </c>
      <c r="AE13" s="1" t="n">
        <f aca="false">IF(ISNUMBER(Scores!J13),Scores!J13^2,"")</f>
        <v>4</v>
      </c>
      <c r="AF13" s="1" t="n">
        <f aca="false">IF(AND(Scores!$B13=1,Scores!$C13="Tool condition",ISNUMBER(Scores!K13)),COUNTIFS(Scores!$B$5:$B$44,1,Scores!$C$5:$C$44,"Paper condition",Scores!K$5:K$44,"&lt;"&amp;Scores!K13)+0.5*COUNTIFS(Scores!$B$5:$B$44,1,Scores!$C$5:$C$44,"Paper condition",Scores!K$5:K$44,Scores!K13),"")</f>
        <v>7</v>
      </c>
      <c r="AG13" s="1" t="n">
        <f aca="false">IF(AND(Scores!$B13=1,OR(Scores!$C13="Tool condition",Scores!$C13="Paper condition"),ISNUMBER(Scores!K13)),(COUNTIFS(Scores!$B$5:$B$44,1,Scores!$C$5:$C$44,"Tool condition",Scores!K$5:K$44,Scores!K13)+COUNTIFS(Scores!$B$5:$B$44,1,Scores!$C$5:$C$44,"Paper condition",Scores!K$5:K$44,Scores!K13))^2-1,"")</f>
        <v>255</v>
      </c>
      <c r="AH13" s="1" t="str">
        <f aca="false">IF(AND(Scores!$B13=2,Scores!$C13="Tool condition",ISNUMBER(Scores!K13)),COUNTIFS(Scores!$B$5:$B$44,2,Scores!$C$5:$C$44,"Paper condition",Scores!K$5:K$44,"&lt;"&amp;Scores!K13)+0.5*COUNTIFS(Scores!$B$5:$B$44,2,Scores!$C$5:$C$44,"Paper condition",Scores!K$5:K$44,Scores!K13),"")</f>
        <v/>
      </c>
      <c r="AI13" s="1" t="str">
        <f aca="false">IF(AND(Scores!$B13=2,OR(Scores!$C13="Tool condition",Scores!$C13="Paper condition"),ISNUMBER(Scores!K13)),(COUNTIFS(Scores!$B$5:$B$44,2,Scores!$C$5:$C$44,"Tool condition",Scores!K$5:K$44,Scores!K13)+COUNTIFS(Scores!$B$5:$B$44,2,Scores!$C$5:$C$44,"Paper condition",Scores!K$5:K$44,Scores!K13))^2-1,"")</f>
        <v/>
      </c>
      <c r="AJ13" s="1" t="n">
        <f aca="false">IF(ISNUMBER(Scores!K13),Scores!K13^2,"")</f>
        <v>4</v>
      </c>
      <c r="AK13" s="1" t="n">
        <f aca="false">IF(AND(Scores!$B13=1,Scores!$C13="Tool condition",ISNUMBER(Scores!L13)),COUNTIFS(Scores!$B$5:$B$44,1,Scores!$C$5:$C$44,"Paper condition",Scores!L$5:L$44,"&lt;"&amp;Scores!L13)+0.5*COUNTIFS(Scores!$B$5:$B$44,1,Scores!$C$5:$C$44,"Paper condition",Scores!L$5:L$44,Scores!L13),"")</f>
        <v>6.5</v>
      </c>
      <c r="AL13" s="1" t="n">
        <f aca="false">IF(AND(Scores!$B13=1,OR(Scores!$C13="Tool condition",Scores!$C13="Paper condition"),ISNUMBER(Scores!L13)),(COUNTIFS(Scores!$B$5:$B$44,1,Scores!$C$5:$C$44,"Tool condition",Scores!L$5:L$44,Scores!L13)+COUNTIFS(Scores!$B$5:$B$44,1,Scores!$C$5:$C$44,"Paper condition",Scores!L$5:L$44,Scores!L13))^2-1,"")</f>
        <v>288</v>
      </c>
      <c r="AM13" s="1" t="str">
        <f aca="false">IF(AND(Scores!$B13=2,Scores!$C13="Tool condition",ISNUMBER(Scores!L13)),COUNTIFS(Scores!$B$5:$B$44,2,Scores!$C$5:$C$44,"Paper condition",Scores!L$5:L$44,"&lt;"&amp;Scores!L13)+0.5*COUNTIFS(Scores!$B$5:$B$44,2,Scores!$C$5:$C$44,"Paper condition",Scores!L$5:L$44,Scores!L13),"")</f>
        <v/>
      </c>
      <c r="AN13" s="1" t="str">
        <f aca="false">IF(AND(Scores!$B13=2,OR(Scores!$C13="Tool condition",Scores!$C13="Paper condition"),ISNUMBER(Scores!L13)),(COUNTIFS(Scores!$B$5:$B$44,2,Scores!$C$5:$C$44,"Tool condition",Scores!L$5:L$44,Scores!L13)+COUNTIFS(Scores!$B$5:$B$44,2,Scores!$C$5:$C$44,"Paper condition",Scores!L$5:L$44,Scores!L13))^2-1,"")</f>
        <v/>
      </c>
      <c r="AO13" s="1" t="n">
        <f aca="false">IF(ISNUMBER(Scores!L13),Scores!L13^2,"")</f>
        <v>4</v>
      </c>
      <c r="AP13" s="1" t="n">
        <f aca="false">IF(AND(Scores!$B13=1,Scores!$C13="Tool condition",ISNUMBER(Scores!M13)),COUNTIFS(Scores!$B$5:$B$44,1,Scores!$C$5:$C$44,"Paper condition",Scores!M$5:M$44,"&lt;"&amp;Scores!M13)+0.5*COUNTIFS(Scores!$B$5:$B$44,1,Scores!$C$5:$C$44,"Paper condition",Scores!M$5:M$44,Scores!M13),"")</f>
        <v>6.5</v>
      </c>
      <c r="AQ13" s="1" t="n">
        <f aca="false">IF(AND(Scores!$B13=1,OR(Scores!$C13="Tool condition",Scores!$C13="Paper condition"),ISNUMBER(Scores!M13)),(COUNTIFS(Scores!$B$5:$B$44,1,Scores!$C$5:$C$44,"Tool condition",Scores!M$5:M$44,Scores!M13)+COUNTIFS(Scores!$B$5:$B$44,1,Scores!$C$5:$C$44,"Paper condition",Scores!M$5:M$44,Scores!M13))^2-1,"")</f>
        <v>288</v>
      </c>
      <c r="AR13" s="1" t="str">
        <f aca="false">IF(AND(Scores!$B13=2,Scores!$C13="Tool condition",ISNUMBER(Scores!M13)),COUNTIFS(Scores!$B$5:$B$44,2,Scores!$C$5:$C$44,"Paper condition",Scores!M$5:M$44,"&lt;"&amp;Scores!M13)+0.5*COUNTIFS(Scores!$B$5:$B$44,2,Scores!$C$5:$C$44,"Paper condition",Scores!M$5:M$44,Scores!M13),"")</f>
        <v/>
      </c>
      <c r="AS13" s="1" t="str">
        <f aca="false">IF(AND(Scores!$B13=2,OR(Scores!$C13="Tool condition",Scores!$C13="Paper condition"),ISNUMBER(Scores!M13)),(COUNTIFS(Scores!$B$5:$B$44,2,Scores!$C$5:$C$44,"Tool condition",Scores!M$5:M$44,Scores!M13)+COUNTIFS(Scores!$B$5:$B$44,2,Scores!$C$5:$C$44,"Paper condition",Scores!M$5:M$44,Scores!M13))^2-1,"")</f>
        <v/>
      </c>
      <c r="AT13" s="1" t="n">
        <f aca="false">IF(ISNUMBER(Scores!M13),Scores!M13^2,"")</f>
        <v>4</v>
      </c>
      <c r="AU13" s="1" t="n">
        <f aca="false">IF(AND(Scores!$B13=1,Scores!$C13="Tool condition",ISNUMBER(Scores!N13)),COUNTIFS(Scores!$B$5:$B$44,1,Scores!$C$5:$C$44,"Paper condition",Scores!N$5:N$44,"&lt;"&amp;Scores!N13)+0.5*COUNTIFS(Scores!$B$5:$B$44,1,Scores!$C$5:$C$44,"Paper condition",Scores!N$5:N$44,Scores!N13),"")</f>
        <v>8</v>
      </c>
      <c r="AV13" s="1" t="n">
        <f aca="false">IF(AND(Scores!$B13=1,OR(Scores!$C13="Tool condition",Scores!$C13="Paper condition"),ISNUMBER(Scores!N13)),(COUNTIFS(Scores!$B$5:$B$44,1,Scores!$C$5:$C$44,"Tool condition",Scores!N$5:N$44,Scores!N13)+COUNTIFS(Scores!$B$5:$B$44,1,Scores!$C$5:$C$44,"Paper condition",Scores!N$5:N$44,Scores!N13))^2-1,"")</f>
        <v>195</v>
      </c>
      <c r="AW13" s="1" t="str">
        <f aca="false">IF(AND(Scores!$B13=2,Scores!$C13="Tool condition",ISNUMBER(Scores!N13)),COUNTIFS(Scores!$B$5:$B$44,2,Scores!$C$5:$C$44,"Paper condition",Scores!N$5:N$44,"&lt;"&amp;Scores!N13)+0.5*COUNTIFS(Scores!$B$5:$B$44,2,Scores!$C$5:$C$44,"Paper condition",Scores!N$5:N$44,Scores!N13),"")</f>
        <v/>
      </c>
      <c r="AX13" s="1" t="str">
        <f aca="false">IF(AND(Scores!$B13=2,OR(Scores!$C13="Tool condition",Scores!$C13="Paper condition"),ISNUMBER(Scores!N13)),(COUNTIFS(Scores!$B$5:$B$44,2,Scores!$C$5:$C$44,"Tool condition",Scores!N$5:N$44,Scores!N13)+COUNTIFS(Scores!$B$5:$B$44,2,Scores!$C$5:$C$44,"Paper condition",Scores!N$5:N$44,Scores!N13))^2-1,"")</f>
        <v/>
      </c>
      <c r="AY13" s="1" t="n">
        <f aca="false">IF(ISNUMBER(Scores!N13),Scores!N13^2,"")</f>
        <v>4</v>
      </c>
      <c r="AZ13" s="1" t="n">
        <f aca="false">IF(AND(Scores!$B13=1,Scores!$C13="Tool condition",ISNUMBER(Scores!O13)),COUNTIFS(Scores!$B$5:$B$44,1,Scores!$C$5:$C$44,"Paper condition",Scores!O$5:O$44,"&lt;"&amp;Scores!O13)+0.5*COUNTIFS(Scores!$B$5:$B$44,1,Scores!$C$5:$C$44,"Paper condition",Scores!O$5:O$44,Scores!O13),"")</f>
        <v>7.5</v>
      </c>
      <c r="BA13" s="1" t="n">
        <f aca="false">IF(AND(Scores!$B13=1,OR(Scores!$C13="Tool condition",Scores!$C13="Paper condition"),ISNUMBER(Scores!O13)),(COUNTIFS(Scores!$B$5:$B$44,1,Scores!$C$5:$C$44,"Tool condition",Scores!O$5:O$44,Scores!O13)+COUNTIFS(Scores!$B$5:$B$44,1,Scores!$C$5:$C$44,"Paper condition",Scores!O$5:O$44,Scores!O13))^2-1,"")</f>
        <v>224</v>
      </c>
      <c r="BB13" s="1" t="str">
        <f aca="false">IF(AND(Scores!$B13=2,Scores!$C13="Tool condition",ISNUMBER(Scores!O13)),COUNTIFS(Scores!$B$5:$B$44,2,Scores!$C$5:$C$44,"Paper condition",Scores!O$5:O$44,"&lt;"&amp;Scores!O13)+0.5*COUNTIFS(Scores!$B$5:$B$44,2,Scores!$C$5:$C$44,"Paper condition",Scores!O$5:O$44,Scores!O13),"")</f>
        <v/>
      </c>
      <c r="BC13" s="1" t="str">
        <f aca="false">IF(AND(Scores!$B13=2,OR(Scores!$C13="Tool condition",Scores!$C13="Paper condition"),ISNUMBER(Scores!O13)),(COUNTIFS(Scores!$B$5:$B$44,2,Scores!$C$5:$C$44,"Tool condition",Scores!O$5:O$44,Scores!O13)+COUNTIFS(Scores!$B$5:$B$44,2,Scores!$C$5:$C$44,"Paper condition",Scores!O$5:O$44,Scores!O13))^2-1,"")</f>
        <v/>
      </c>
      <c r="BD13" s="1" t="n">
        <f aca="false">IF(ISNUMBER(Scores!O13),Scores!O13^2,"")</f>
        <v>4</v>
      </c>
      <c r="BE13" s="1" t="n">
        <f aca="false">IF(AND(Scores!$B13=1,Scores!$C13="Tool condition",ISNUMBER(Scores!P13)),COUNTIFS(Scores!$B$5:$B$44,1,Scores!$C$5:$C$44,"Paper condition",Scores!P$5:P$44,"&lt;"&amp;Scores!P13)+0.5*COUNTIFS(Scores!$B$5:$B$44,1,Scores!$C$5:$C$44,"Paper condition",Scores!P$5:P$44,Scores!P13),"")</f>
        <v>8.5</v>
      </c>
      <c r="BF13" s="1" t="n">
        <f aca="false">IF(AND(Scores!$B13=1,OR(Scores!$C13="Tool condition",Scores!$C13="Paper condition"),ISNUMBER(Scores!P13)),(COUNTIFS(Scores!$B$5:$B$44,1,Scores!$C$5:$C$44,"Tool condition",Scores!P$5:P$44,Scores!P13)+COUNTIFS(Scores!$B$5:$B$44,1,Scores!$C$5:$C$44,"Paper condition",Scores!P$5:P$44,Scores!P13))^2-1,"")</f>
        <v>168</v>
      </c>
      <c r="BG13" s="1" t="str">
        <f aca="false">IF(AND(Scores!$B13=2,Scores!$C13="Tool condition",ISNUMBER(Scores!P13)),COUNTIFS(Scores!$B$5:$B$44,2,Scores!$C$5:$C$44,"Paper condition",Scores!P$5:P$44,"&lt;"&amp;Scores!P13)+0.5*COUNTIFS(Scores!$B$5:$B$44,2,Scores!$C$5:$C$44,"Paper condition",Scores!P$5:P$44,Scores!P13),"")</f>
        <v/>
      </c>
      <c r="BH13" s="1" t="str">
        <f aca="false">IF(AND(Scores!$B13=2,OR(Scores!$C13="Tool condition",Scores!$C13="Paper condition"),ISNUMBER(Scores!P13)),(COUNTIFS(Scores!$B$5:$B$44,2,Scores!$C$5:$C$44,"Tool condition",Scores!P$5:P$44,Scores!P13)+COUNTIFS(Scores!$B$5:$B$44,2,Scores!$C$5:$C$44,"Paper condition",Scores!P$5:P$44,Scores!P13))^2-1,"")</f>
        <v/>
      </c>
      <c r="BI13" s="1" t="n">
        <f aca="false">IF(ISNUMBER(Scores!P13),Scores!P13^2,"")</f>
        <v>4</v>
      </c>
      <c r="BJ13" s="1" t="n">
        <f aca="false">IF(AND(R_Scores!$B13=1,R_Scores!$C13="Tool condition",ISNUMBER(R_Scores!E13)),COUNTIFS(R_Scores!$B$5:$B$44,1,R_Scores!$C$5:$C$44,"Paper condition",R_Scores!E$5:E$44,"&lt;"&amp;R_Scores!E13)+0.5*COUNTIFS(R_Scores!$B$5:$B$44,1,R_Scores!$C$5:$C$44,"Paper condition",R_Scores!E$5:E$44,R_Scores!E13),"")</f>
        <v>7</v>
      </c>
      <c r="BK13" s="1" t="n">
        <f aca="false">IF(AND(R_Scores!$B13=1,OR(R_Scores!$C13="Tool condition",R_Scores!$C13="Paper condition"),ISNUMBER(R_Scores!E13)),(COUNTIFS(R_Scores!$B$5:$B$44,1,R_Scores!$C$5:$C$44,"Tool condition",R_Scores!E$5:E$44,R_Scores!E13)+COUNTIFS(R_Scores!$B$5:$B$44,1,R_Scores!$C$5:$C$44,"Paper condition",R_Scores!E$5:E$44,R_Scores!E13))^2-1,"")</f>
        <v>224</v>
      </c>
      <c r="BL13" s="1" t="str">
        <f aca="false">IF(AND(R_Scores!$B13=2,R_Scores!$C13="Tool condition",ISNUMBER(R_Scores!E13)),COUNTIFS(R_Scores!$B$5:$B$44,2,R_Scores!$C$5:$C$44,"Paper condition",R_Scores!E$5:E$44,"&lt;"&amp;R_Scores!E13)+0.5*COUNTIFS(R_Scores!$B$5:$B$44,2,R_Scores!$C$5:$C$44,"Paper condition",R_Scores!E$5:E$44,R_Scores!E13),"")</f>
        <v/>
      </c>
      <c r="BM13" s="1" t="str">
        <f aca="false">IF(AND(R_Scores!$B13=2,OR(R_Scores!$C13="Tool condition",R_Scores!$C13="Paper condition"),ISNUMBER(R_Scores!E13)),(COUNTIFS(R_Scores!$B$5:$B$44,2,R_Scores!$C$5:$C$44,"Tool condition",R_Scores!E$5:E$44,R_Scores!E13)+COUNTIFS(R_Scores!$B$5:$B$44,2,R_Scores!$C$5:$C$44,"Paper condition",R_Scores!E$5:E$44,R_Scores!E13))^2-1,"")</f>
        <v/>
      </c>
      <c r="BN13" s="1" t="n">
        <f aca="false">IF(ISNUMBER(R_Scores!E13),R_Scores!E13^2,"")</f>
        <v>1</v>
      </c>
      <c r="BO13" s="1" t="n">
        <f aca="false">IF(AND(R_Scores!$B13=1,R_Scores!$C13="Tool condition",ISNUMBER(R_Scores!F13)),COUNTIFS(R_Scores!$B$5:$B$44,1,R_Scores!$C$5:$C$44,"Paper condition",R_Scores!F$5:F$44,"&lt;"&amp;R_Scores!F13)+0.5*COUNTIFS(R_Scores!$B$5:$B$44,1,R_Scores!$C$5:$C$44,"Paper condition",R_Scores!F$5:F$44,R_Scores!F13),"")</f>
        <v>2</v>
      </c>
      <c r="BP13" s="1" t="n">
        <f aca="false">IF(AND(R_Scores!$B13=1,OR(R_Scores!$C13="Tool condition",R_Scores!$C13="Paper condition"),ISNUMBER(R_Scores!F13)),(COUNTIFS(R_Scores!$B$5:$B$44,1,R_Scores!$C$5:$C$44,"Tool condition",R_Scores!F$5:F$44,R_Scores!F13)+COUNTIFS(R_Scores!$B$5:$B$44,1,R_Scores!$C$5:$C$44,"Paper condition",R_Scores!F$5:F$44,R_Scores!F13))^2-1,"")</f>
        <v>35</v>
      </c>
      <c r="BQ13" s="1" t="str">
        <f aca="false">IF(AND(R_Scores!$B13=2,R_Scores!$C13="Tool condition",ISNUMBER(R_Scores!F13)),COUNTIFS(R_Scores!$B$5:$B$44,2,R_Scores!$C$5:$C$44,"Paper condition",R_Scores!F$5:F$44,"&lt;"&amp;R_Scores!F13)+0.5*COUNTIFS(R_Scores!$B$5:$B$44,2,R_Scores!$C$5:$C$44,"Paper condition",R_Scores!F$5:F$44,R_Scores!F13),"")</f>
        <v/>
      </c>
      <c r="BR13" s="1" t="str">
        <f aca="false">IF(AND(R_Scores!$B13=2,OR(R_Scores!$C13="Tool condition",R_Scores!$C13="Paper condition"),ISNUMBER(R_Scores!F13)),(COUNTIFS(R_Scores!$B$5:$B$44,2,R_Scores!$C$5:$C$44,"Tool condition",R_Scores!F$5:F$44,R_Scores!F13)+COUNTIFS(R_Scores!$B$5:$B$44,2,R_Scores!$C$5:$C$44,"Paper condition",R_Scores!F$5:F$44,R_Scores!F13))^2-1,"")</f>
        <v/>
      </c>
      <c r="BS13" s="1" t="n">
        <f aca="false">IF(ISNUMBER(R_Scores!F13),R_Scores!F13^2,"")</f>
        <v>0</v>
      </c>
      <c r="BT13" s="1" t="str">
        <f aca="false">IF(AND(R_Scores!$B13=1,R_Scores!$C13="Tool condition",ISNUMBER(R_Scores!G13)),COUNTIFS(R_Scores!$B$5:$B$44,1,R_Scores!$C$5:$C$44,"Paper condition",R_Scores!G$5:G$44,"&lt;"&amp;R_Scores!G13)+0.5*COUNTIFS(R_Scores!$B$5:$B$44,1,R_Scores!$C$5:$C$44,"Paper condition",R_Scores!G$5:G$44,R_Scores!G13),"")</f>
        <v/>
      </c>
      <c r="BU13" s="1" t="str">
        <f aca="false">IF(AND(R_Scores!$B13=1,OR(R_Scores!$C13="Tool condition",R_Scores!$C13="Paper condition"),ISNUMBER(R_Scores!G13)),(COUNTIFS(R_Scores!$B$5:$B$44,1,R_Scores!$C$5:$C$44,"Tool condition",R_Scores!G$5:G$44,R_Scores!G13)+COUNTIFS(R_Scores!$B$5:$B$44,1,R_Scores!$C$5:$C$44,"Paper condition",R_Scores!G$5:G$44,R_Scores!G13))^2-1,"")</f>
        <v/>
      </c>
      <c r="BV13" s="1" t="str">
        <f aca="false">IF(AND(R_Scores!$B13=2,R_Scores!$C13="Tool condition",ISNUMBER(R_Scores!G13)),COUNTIFS(R_Scores!$B$5:$B$44,2,R_Scores!$C$5:$C$44,"Paper condition",R_Scores!G$5:G$44,"&lt;"&amp;R_Scores!G13)+0.5*COUNTIFS(R_Scores!$B$5:$B$44,2,R_Scores!$C$5:$C$44,"Paper condition",R_Scores!G$5:G$44,R_Scores!G13),"")</f>
        <v/>
      </c>
      <c r="BW13" s="1" t="str">
        <f aca="false">IF(AND(R_Scores!$B13=2,OR(R_Scores!$C13="Tool condition",R_Scores!$C13="Paper condition"),ISNUMBER(R_Scores!G13)),(COUNTIFS(R_Scores!$B$5:$B$44,2,R_Scores!$C$5:$C$44,"Tool condition",R_Scores!G$5:G$44,R_Scores!G13)+COUNTIFS(R_Scores!$B$5:$B$44,2,R_Scores!$C$5:$C$44,"Paper condition",R_Scores!G$5:G$44,R_Scores!G13))^2-1,"")</f>
        <v/>
      </c>
      <c r="BX13" s="1" t="str">
        <f aca="false">IF(ISNUMBER(R_Scores!G13),R_Scores!G13^2,"")</f>
        <v/>
      </c>
      <c r="BY13" s="1" t="str">
        <f aca="false">IF(AND(R_Scores!$B13=1,R_Scores!$C13="Tool condition",ISNUMBER(R_Scores!H13)),COUNTIFS(R_Scores!$B$5:$B$44,1,R_Scores!$C$5:$C$44,"Paper condition",R_Scores!H$5:H$44,"&lt;"&amp;R_Scores!H13)+0.5*COUNTIFS(R_Scores!$B$5:$B$44,1,R_Scores!$C$5:$C$44,"Paper condition",R_Scores!H$5:H$44,R_Scores!H13),"")</f>
        <v/>
      </c>
      <c r="BZ13" s="1" t="str">
        <f aca="false">IF(AND(R_Scores!$B13=1,OR(R_Scores!$C13="Tool condition",R_Scores!$C13="Paper condition"),ISNUMBER(R_Scores!H13)),(COUNTIFS(R_Scores!$B$5:$B$44,1,R_Scores!$C$5:$C$44,"Tool condition",R_Scores!H$5:H$44,R_Scores!H13)+COUNTIFS(R_Scores!$B$5:$B$44,1,R_Scores!$C$5:$C$44,"Paper condition",R_Scores!H$5:H$44,R_Scores!H13))^2-1,"")</f>
        <v/>
      </c>
      <c r="CA13" s="1" t="str">
        <f aca="false">IF(AND(R_Scores!$B13=2,R_Scores!$C13="Tool condition",ISNUMBER(R_Scores!H13)),COUNTIFS(R_Scores!$B$5:$B$44,2,R_Scores!$C$5:$C$44,"Paper condition",R_Scores!H$5:H$44,"&lt;"&amp;R_Scores!H13)+0.5*COUNTIFS(R_Scores!$B$5:$B$44,2,R_Scores!$C$5:$C$44,"Paper condition",R_Scores!H$5:H$44,R_Scores!H13),"")</f>
        <v/>
      </c>
      <c r="CB13" s="1" t="str">
        <f aca="false">IF(AND(R_Scores!$B13=2,OR(R_Scores!$C13="Tool condition",R_Scores!$C13="Paper condition"),ISNUMBER(R_Scores!H13)),(COUNTIFS(R_Scores!$B$5:$B$44,2,R_Scores!$C$5:$C$44,"Tool condition",R_Scores!H$5:H$44,R_Scores!H13)+COUNTIFS(R_Scores!$B$5:$B$44,2,R_Scores!$C$5:$C$44,"Paper condition",R_Scores!H$5:H$44,R_Scores!H13))^2-1,"")</f>
        <v/>
      </c>
      <c r="CC13" s="1" t="str">
        <f aca="false">IF(ISNUMBER(R_Scores!H13),R_Scores!H13^2,"")</f>
        <v/>
      </c>
      <c r="CD13" s="1" t="n">
        <f aca="false">IF(AND(R_Scores!$B13=1,R_Scores!$C13="Tool condition",ISNUMBER(R_Scores!I13)),COUNTIFS(R_Scores!$B$5:$B$44,1,R_Scores!$C$5:$C$44,"Paper condition",R_Scores!I$5:I$44,"&lt;"&amp;R_Scores!I13)+0.5*COUNTIFS(R_Scores!$B$5:$B$44,1,R_Scores!$C$5:$C$44,"Paper condition",R_Scores!I$5:I$44,R_Scores!I13),"")</f>
        <v>7.5</v>
      </c>
      <c r="CE13" s="1" t="n">
        <f aca="false">IF(AND(R_Scores!$B13=1,OR(R_Scores!$C13="Tool condition",R_Scores!$C13="Paper condition"),ISNUMBER(R_Scores!I13)),(COUNTIFS(R_Scores!$B$5:$B$44,1,R_Scores!$C$5:$C$44,"Tool condition",R_Scores!I$5:I$44,R_Scores!I13)+COUNTIFS(R_Scores!$B$5:$B$44,1,R_Scores!$C$5:$C$44,"Paper condition",R_Scores!I$5:I$44,R_Scores!I13))^2-1,"")</f>
        <v>168</v>
      </c>
      <c r="CF13" s="1" t="str">
        <f aca="false">IF(AND(R_Scores!$B13=2,R_Scores!$C13="Tool condition",ISNUMBER(R_Scores!I13)),COUNTIFS(R_Scores!$B$5:$B$44,2,R_Scores!$C$5:$C$44,"Paper condition",R_Scores!I$5:I$44,"&lt;"&amp;R_Scores!I13)+0.5*COUNTIFS(R_Scores!$B$5:$B$44,2,R_Scores!$C$5:$C$44,"Paper condition",R_Scores!I$5:I$44,R_Scores!I13),"")</f>
        <v/>
      </c>
      <c r="CG13" s="1" t="str">
        <f aca="false">IF(AND(R_Scores!$B13=2,OR(R_Scores!$C13="Tool condition",R_Scores!$C13="Paper condition"),ISNUMBER(R_Scores!I13)),(COUNTIFS(R_Scores!$B$5:$B$44,2,R_Scores!$C$5:$C$44,"Tool condition",R_Scores!I$5:I$44,R_Scores!I13)+COUNTIFS(R_Scores!$B$5:$B$44,2,R_Scores!$C$5:$C$44,"Paper condition",R_Scores!I$5:I$44,R_Scores!I13))^2-1,"")</f>
        <v/>
      </c>
      <c r="CH13" s="1" t="n">
        <f aca="false">IF(ISNUMBER(R_Scores!I13),R_Scores!I13^2,"")</f>
        <v>1</v>
      </c>
      <c r="CI13" s="1" t="n">
        <f aca="false">IF(AND(R_Scores!$B13=1,R_Scores!$C13="Tool condition",ISNUMBER(R_Scores!J13)),COUNTIFS(R_Scores!$B$5:$B$44,1,R_Scores!$C$5:$C$44,"Paper condition",R_Scores!J$5:J$44,"&lt;"&amp;R_Scores!J13)+0.5*COUNTIFS(R_Scores!$B$5:$B$44,1,R_Scores!$C$5:$C$44,"Paper condition",R_Scores!J$5:J$44,R_Scores!J13),"")</f>
        <v>7</v>
      </c>
      <c r="CJ13" s="1" t="n">
        <f aca="false">IF(AND(R_Scores!$B13=1,OR(R_Scores!$C13="Tool condition",R_Scores!$C13="Paper condition"),ISNUMBER(R_Scores!J13)),(COUNTIFS(R_Scores!$B$5:$B$44,1,R_Scores!$C$5:$C$44,"Tool condition",R_Scores!J$5:J$44,R_Scores!J13)+COUNTIFS(R_Scores!$B$5:$B$44,1,R_Scores!$C$5:$C$44,"Paper condition",R_Scores!J$5:J$44,R_Scores!J13))^2-1,"")</f>
        <v>224</v>
      </c>
      <c r="CK13" s="1" t="str">
        <f aca="false">IF(AND(R_Scores!$B13=2,R_Scores!$C13="Tool condition",ISNUMBER(R_Scores!J13)),COUNTIFS(R_Scores!$B$5:$B$44,2,R_Scores!$C$5:$C$44,"Paper condition",R_Scores!J$5:J$44,"&lt;"&amp;R_Scores!J13)+0.5*COUNTIFS(R_Scores!$B$5:$B$44,2,R_Scores!$C$5:$C$44,"Paper condition",R_Scores!J$5:J$44,R_Scores!J13),"")</f>
        <v/>
      </c>
      <c r="CL13" s="1" t="str">
        <f aca="false">IF(AND(R_Scores!$B13=2,OR(R_Scores!$C13="Tool condition",R_Scores!$C13="Paper condition"),ISNUMBER(R_Scores!J13)),(COUNTIFS(R_Scores!$B$5:$B$44,2,R_Scores!$C$5:$C$44,"Tool condition",R_Scores!J$5:J$44,R_Scores!J13)+COUNTIFS(R_Scores!$B$5:$B$44,2,R_Scores!$C$5:$C$44,"Paper condition",R_Scores!J$5:J$44,R_Scores!J13))^2-1,"")</f>
        <v/>
      </c>
      <c r="CM13" s="1" t="n">
        <f aca="false">IF(ISNUMBER(R_Scores!J13),R_Scores!J13^2,"")</f>
        <v>1</v>
      </c>
      <c r="CN13" s="1" t="str">
        <f aca="false">IF(AND(R_Scores!$B13=1,R_Scores!$C13="Tool condition",ISNUMBER(R_Scores!K13)),COUNTIFS(R_Scores!$B$5:$B$44,1,R_Scores!$C$5:$C$44,"Paper condition",R_Scores!K$5:K$44,"&lt;"&amp;R_Scores!K13)+0.5*COUNTIFS(R_Scores!$B$5:$B$44,1,R_Scores!$C$5:$C$44,"Paper condition",R_Scores!K$5:K$44,R_Scores!K13),"")</f>
        <v/>
      </c>
      <c r="CO13" s="1" t="str">
        <f aca="false">IF(AND(R_Scores!$B13=1,OR(R_Scores!$C13="Tool condition",R_Scores!$C13="Paper condition"),ISNUMBER(R_Scores!K13)),(COUNTIFS(R_Scores!$B$5:$B$44,1,R_Scores!$C$5:$C$44,"Tool condition",R_Scores!K$5:K$44,R_Scores!K13)+COUNTIFS(R_Scores!$B$5:$B$44,1,R_Scores!$C$5:$C$44,"Paper condition",R_Scores!K$5:K$44,R_Scores!K13))^2-1,"")</f>
        <v/>
      </c>
      <c r="CP13" s="1" t="str">
        <f aca="false">IF(AND(R_Scores!$B13=2,R_Scores!$C13="Tool condition",ISNUMBER(R_Scores!K13)),COUNTIFS(R_Scores!$B$5:$B$44,2,R_Scores!$C$5:$C$44,"Paper condition",R_Scores!K$5:K$44,"&lt;"&amp;R_Scores!K13)+0.5*COUNTIFS(R_Scores!$B$5:$B$44,2,R_Scores!$C$5:$C$44,"Paper condition",R_Scores!K$5:K$44,R_Scores!K13),"")</f>
        <v/>
      </c>
      <c r="CQ13" s="1" t="str">
        <f aca="false">IF(AND(R_Scores!$B13=2,OR(R_Scores!$C13="Tool condition",R_Scores!$C13="Paper condition"),ISNUMBER(R_Scores!K13)),(COUNTIFS(R_Scores!$B$5:$B$44,2,R_Scores!$C$5:$C$44,"Tool condition",R_Scores!K$5:K$44,R_Scores!K13)+COUNTIFS(R_Scores!$B$5:$B$44,2,R_Scores!$C$5:$C$44,"Paper condition",R_Scores!K$5:K$44,R_Scores!K13))^2-1,"")</f>
        <v/>
      </c>
      <c r="CR13" s="1" t="str">
        <f aca="false">IF(ISNUMBER(R_Scores!K13),R_Scores!K13^2,"")</f>
        <v/>
      </c>
      <c r="CS13" s="1" t="str">
        <f aca="false">IF(AND(R_Scores!$B13=1,R_Scores!$C13="Tool condition",ISNUMBER(R_Scores!L13)),COUNTIFS(R_Scores!$B$5:$B$44,1,R_Scores!$C$5:$C$44,"Paper condition",R_Scores!L$5:L$44,"&lt;"&amp;R_Scores!L13)+0.5*COUNTIFS(R_Scores!$B$5:$B$44,1,R_Scores!$C$5:$C$44,"Paper condition",R_Scores!L$5:L$44,R_Scores!L13),"")</f>
        <v/>
      </c>
      <c r="CT13" s="1" t="str">
        <f aca="false">IF(AND(R_Scores!$B13=1,OR(R_Scores!$C13="Tool condition",R_Scores!$C13="Paper condition"),ISNUMBER(R_Scores!L13)),(COUNTIFS(R_Scores!$B$5:$B$44,1,R_Scores!$C$5:$C$44,"Tool condition",R_Scores!L$5:L$44,R_Scores!L13)+COUNTIFS(R_Scores!$B$5:$B$44,1,R_Scores!$C$5:$C$44,"Paper condition",R_Scores!L$5:L$44,R_Scores!L13))^2-1,"")</f>
        <v/>
      </c>
      <c r="CU13" s="1" t="str">
        <f aca="false">IF(AND(R_Scores!$B13=2,R_Scores!$C13="Tool condition",ISNUMBER(R_Scores!L13)),COUNTIFS(R_Scores!$B$5:$B$44,2,R_Scores!$C$5:$C$44,"Paper condition",R_Scores!L$5:L$44,"&lt;"&amp;R_Scores!L13)+0.5*COUNTIFS(R_Scores!$B$5:$B$44,2,R_Scores!$C$5:$C$44,"Paper condition",R_Scores!L$5:L$44,R_Scores!L13),"")</f>
        <v/>
      </c>
      <c r="CV13" s="1" t="str">
        <f aca="false">IF(AND(R_Scores!$B13=2,OR(R_Scores!$C13="Tool condition",R_Scores!$C13="Paper condition"),ISNUMBER(R_Scores!L13)),(COUNTIFS(R_Scores!$B$5:$B$44,2,R_Scores!$C$5:$C$44,"Tool condition",R_Scores!L$5:L$44,R_Scores!L13)+COUNTIFS(R_Scores!$B$5:$B$44,2,R_Scores!$C$5:$C$44,"Paper condition",R_Scores!L$5:L$44,R_Scores!L13))^2-1,"")</f>
        <v/>
      </c>
      <c r="CW13" s="1" t="str">
        <f aca="false">IF(ISNUMBER(R_Scores!L13),R_Scores!L13^2,"")</f>
        <v/>
      </c>
      <c r="CX13" s="1" t="str">
        <f aca="false">IF(AND(R_Scores!$B13=1,R_Scores!$C13="Tool condition",ISNUMBER(R_Scores!M13)),COUNTIFS(R_Scores!$B$5:$B$44,1,R_Scores!$C$5:$C$44,"Paper condition",R_Scores!M$5:M$44,"&lt;"&amp;R_Scores!M13)+0.5*COUNTIFS(R_Scores!$B$5:$B$44,1,R_Scores!$C$5:$C$44,"Paper condition",R_Scores!M$5:M$44,R_Scores!M13),"")</f>
        <v/>
      </c>
      <c r="CY13" s="1" t="str">
        <f aca="false">IF(AND(R_Scores!$B13=1,OR(R_Scores!$C13="Tool condition",R_Scores!$C13="Paper condition"),ISNUMBER(R_Scores!M13)),(COUNTIFS(R_Scores!$B$5:$B$44,1,R_Scores!$C$5:$C$44,"Tool condition",R_Scores!M$5:M$44,R_Scores!M13)+COUNTIFS(R_Scores!$B$5:$B$44,1,R_Scores!$C$5:$C$44,"Paper condition",R_Scores!M$5:M$44,R_Scores!M13))^2-1,"")</f>
        <v/>
      </c>
      <c r="CZ13" s="1" t="str">
        <f aca="false">IF(AND(R_Scores!$B13=2,R_Scores!$C13="Tool condition",ISNUMBER(R_Scores!M13)),COUNTIFS(R_Scores!$B$5:$B$44,2,R_Scores!$C$5:$C$44,"Paper condition",R_Scores!M$5:M$44,"&lt;"&amp;R_Scores!M13)+0.5*COUNTIFS(R_Scores!$B$5:$B$44,2,R_Scores!$C$5:$C$44,"Paper condition",R_Scores!M$5:M$44,R_Scores!M13),"")</f>
        <v/>
      </c>
      <c r="DA13" s="1" t="str">
        <f aca="false">IF(AND(R_Scores!$B13=2,OR(R_Scores!$C13="Tool condition",R_Scores!$C13="Paper condition"),ISNUMBER(R_Scores!M13)),(COUNTIFS(R_Scores!$B$5:$B$44,2,R_Scores!$C$5:$C$44,"Tool condition",R_Scores!M$5:M$44,R_Scores!M13)+COUNTIFS(R_Scores!$B$5:$B$44,2,R_Scores!$C$5:$C$44,"Paper condition",R_Scores!M$5:M$44,R_Scores!M13))^2-1,"")</f>
        <v/>
      </c>
      <c r="DB13" s="1" t="str">
        <f aca="false">IF(ISNUMBER(R_Scores!M13),R_Scores!M13^2,"")</f>
        <v/>
      </c>
      <c r="DC13" s="1" t="n">
        <f aca="false">IF(AND(R_Scores!$B13=1,R_Scores!$C13="Tool condition",ISNUMBER(R_Scores!N13)),COUNTIFS(R_Scores!$B$5:$B$44,1,R_Scores!$C$5:$C$44,"Paper condition",R_Scores!N$5:N$44,"&lt;"&amp;R_Scores!N13)+0.5*COUNTIFS(R_Scores!$B$5:$B$44,1,R_Scores!$C$5:$C$44,"Paper condition",R_Scores!N$5:N$44,R_Scores!N13),"")</f>
        <v>3</v>
      </c>
      <c r="DD13" s="1" t="n">
        <f aca="false">IF(AND(R_Scores!$B13=1,OR(R_Scores!$C13="Tool condition",R_Scores!$C13="Paper condition"),ISNUMBER(R_Scores!N13)),(COUNTIFS(R_Scores!$B$5:$B$44,1,R_Scores!$C$5:$C$44,"Tool condition",R_Scores!N$5:N$44,R_Scores!N13)+COUNTIFS(R_Scores!$B$5:$B$44,1,R_Scores!$C$5:$C$44,"Paper condition",R_Scores!N$5:N$44,R_Scores!N13))^2-1,"")</f>
        <v>63</v>
      </c>
      <c r="DE13" s="1" t="str">
        <f aca="false">IF(AND(R_Scores!$B13=2,R_Scores!$C13="Tool condition",ISNUMBER(R_Scores!N13)),COUNTIFS(R_Scores!$B$5:$B$44,2,R_Scores!$C$5:$C$44,"Paper condition",R_Scores!N$5:N$44,"&lt;"&amp;R_Scores!N13)+0.5*COUNTIFS(R_Scores!$B$5:$B$44,2,R_Scores!$C$5:$C$44,"Paper condition",R_Scores!N$5:N$44,R_Scores!N13),"")</f>
        <v/>
      </c>
      <c r="DF13" s="1" t="str">
        <f aca="false">IF(AND(R_Scores!$B13=2,OR(R_Scores!$C13="Tool condition",R_Scores!$C13="Paper condition"),ISNUMBER(R_Scores!N13)),(COUNTIFS(R_Scores!$B$5:$B$44,2,R_Scores!$C$5:$C$44,"Tool condition",R_Scores!N$5:N$44,R_Scores!N13)+COUNTIFS(R_Scores!$B$5:$B$44,2,R_Scores!$C$5:$C$44,"Paper condition",R_Scores!N$5:N$44,R_Scores!N13))^2-1,"")</f>
        <v/>
      </c>
      <c r="DG13" s="1" t="n">
        <f aca="false">IF(ISNUMBER(R_Scores!N13),R_Scores!N13^2,"")</f>
        <v>0</v>
      </c>
      <c r="DH13" s="1" t="n">
        <f aca="false">IF(AND(R_Scores!$B13=1,R_Scores!$C13="Tool condition",ISNUMBER(R_Scores!O13)),COUNTIFS(R_Scores!$B$5:$B$44,1,R_Scores!$C$5:$C$44,"Paper condition",R_Scores!O$5:O$44,"&lt;"&amp;R_Scores!O13)+0.5*COUNTIFS(R_Scores!$B$5:$B$44,1,R_Scores!$C$5:$C$44,"Paper condition",R_Scores!O$5:O$44,R_Scores!O13),"")</f>
        <v>7.5</v>
      </c>
      <c r="DI13" s="1" t="n">
        <f aca="false">IF(AND(R_Scores!$B13=1,OR(R_Scores!$C13="Tool condition",R_Scores!$C13="Paper condition"),ISNUMBER(R_Scores!O13)),(COUNTIFS(R_Scores!$B$5:$B$44,1,R_Scores!$C$5:$C$44,"Tool condition",R_Scores!O$5:O$44,R_Scores!O13)+COUNTIFS(R_Scores!$B$5:$B$44,1,R_Scores!$C$5:$C$44,"Paper condition",R_Scores!O$5:O$44,R_Scores!O13))^2-1,"")</f>
        <v>168</v>
      </c>
      <c r="DJ13" s="1" t="str">
        <f aca="false">IF(AND(R_Scores!$B13=2,R_Scores!$C13="Tool condition",ISNUMBER(R_Scores!O13)),COUNTIFS(R_Scores!$B$5:$B$44,2,R_Scores!$C$5:$C$44,"Paper condition",R_Scores!O$5:O$44,"&lt;"&amp;R_Scores!O13)+0.5*COUNTIFS(R_Scores!$B$5:$B$44,2,R_Scores!$C$5:$C$44,"Paper condition",R_Scores!O$5:O$44,R_Scores!O13),"")</f>
        <v/>
      </c>
      <c r="DK13" s="1" t="str">
        <f aca="false">IF(AND(R_Scores!$B13=2,OR(R_Scores!$C13="Tool condition",R_Scores!$C13="Paper condition"),ISNUMBER(R_Scores!O13)),(COUNTIFS(R_Scores!$B$5:$B$44,2,R_Scores!$C$5:$C$44,"Tool condition",R_Scores!O$5:O$44,R_Scores!O13)+COUNTIFS(R_Scores!$B$5:$B$44,2,R_Scores!$C$5:$C$44,"Paper condition",R_Scores!O$5:O$44,R_Scores!O13))^2-1,"")</f>
        <v/>
      </c>
      <c r="DL13" s="1" t="n">
        <f aca="false">IF(ISNUMBER(R_Scores!O13),R_Scores!O13^2,"")</f>
        <v>1</v>
      </c>
      <c r="DM13" s="1" t="n">
        <f aca="false">IF(AND(R_Scores!$B13=1,R_Scores!$C13="Tool condition",ISNUMBER(R_Scores!P13)),COUNTIFS(R_Scores!$B$5:$B$44,1,R_Scores!$C$5:$C$44,"Paper condition",R_Scores!P$5:P$44,"&lt;"&amp;R_Scores!P13)+0.5*COUNTIFS(R_Scores!$B$5:$B$44,1,R_Scores!$C$5:$C$44,"Paper condition",R_Scores!P$5:P$44,R_Scores!P13),"")</f>
        <v>8.5</v>
      </c>
      <c r="DN13" s="1" t="n">
        <f aca="false">IF(AND(R_Scores!$B13=1,OR(R_Scores!$C13="Tool condition",R_Scores!$C13="Paper condition"),ISNUMBER(R_Scores!P13)),(COUNTIFS(R_Scores!$B$5:$B$44,1,R_Scores!$C$5:$C$44,"Tool condition",R_Scores!P$5:P$44,R_Scores!P13)+COUNTIFS(R_Scores!$B$5:$B$44,1,R_Scores!$C$5:$C$44,"Paper condition",R_Scores!P$5:P$44,R_Scores!P13))^2-1,"")</f>
        <v>120</v>
      </c>
      <c r="DO13" s="1" t="str">
        <f aca="false">IF(AND(R_Scores!$B13=2,R_Scores!$C13="Tool condition",ISNUMBER(R_Scores!P13)),COUNTIFS(R_Scores!$B$5:$B$44,2,R_Scores!$C$5:$C$44,"Paper condition",R_Scores!P$5:P$44,"&lt;"&amp;R_Scores!P13)+0.5*COUNTIFS(R_Scores!$B$5:$B$44,2,R_Scores!$C$5:$C$44,"Paper condition",R_Scores!P$5:P$44,R_Scores!P13),"")</f>
        <v/>
      </c>
      <c r="DP13" s="1" t="str">
        <f aca="false">IF(AND(R_Scores!$B13=2,OR(R_Scores!$C13="Tool condition",R_Scores!$C13="Paper condition"),ISNUMBER(R_Scores!P13)),(COUNTIFS(R_Scores!$B$5:$B$44,2,R_Scores!$C$5:$C$44,"Tool condition",R_Scores!P$5:P$44,R_Scores!P13)+COUNTIFS(R_Scores!$B$5:$B$44,2,R_Scores!$C$5:$C$44,"Paper condition",R_Scores!P$5:P$44,R_Scores!P13))^2-1,"")</f>
        <v/>
      </c>
      <c r="DQ13" s="1" t="n">
        <f aca="false">IF(ISNUMBER(R_Scores!P13),R_Scores!P13^2,"")</f>
        <v>1</v>
      </c>
      <c r="DR13" s="1" t="n">
        <f aca="false">IF(AND(Scores!$B13=1,Scores!$C13="Tool condition",ISNUMBER(Scores!Q13)),COUNTIFS(Scores!$B$5:$B$44,1,Scores!$C$5:$C$44,"Paper condition",Scores!Q$5:Q$44,"&lt;"&amp;Scores!Q13)+0.5*COUNTIFS(Scores!$B$5:$B$44,1,Scores!$C$5:$C$44,"Paper condition",Scores!Q$5:Q$44,Scores!Q13),"")</f>
        <v>10</v>
      </c>
      <c r="DS13" s="1" t="n">
        <f aca="false">IF(AND(Scores!$B13=1,OR(Scores!$C13="Tool condition",Scores!$C13="Paper condition"),ISNUMBER(Scores!Q13)),(COUNTIFS(Scores!$B$5:$B$44,1,Scores!$C$5:$C$44,"Tool condition",Scores!Q$5:Q$44,Scores!Q13)+COUNTIFS(Scores!$B$5:$B$44,1,Scores!$C$5:$C$44,"Paper condition",Scores!Q$5:Q$44,Scores!Q13))^2-1,"")</f>
        <v>99</v>
      </c>
      <c r="DT13" s="1" t="str">
        <f aca="false">IF(AND(Scores!$B13=2,Scores!$C13="Tool condition",ISNUMBER(Scores!Q13)),COUNTIFS(Scores!$B$5:$B$44,2,Scores!$C$5:$C$44,"Paper condition",Scores!Q$5:Q$44,"&lt;"&amp;Scores!Q13)+0.5*COUNTIFS(Scores!$B$5:$B$44,2,Scores!$C$5:$C$44,"Paper condition",Scores!Q$5:Q$44,Scores!Q13),"")</f>
        <v/>
      </c>
      <c r="DU13" s="1" t="str">
        <f aca="false">IF(AND(Scores!$B13=2,OR(Scores!$C13="Tool condition",Scores!$C13="Paper condition"),ISNUMBER(Scores!Q13)),(COUNTIFS(Scores!$B$5:$B$44,2,Scores!$C$5:$C$44,"Tool condition",Scores!Q$5:Q$44,Scores!Q13)+COUNTIFS(Scores!$B$5:$B$44,2,Scores!$C$5:$C$44,"Paper condition",Scores!Q$5:Q$44,Scores!Q13))^2-1,"")</f>
        <v/>
      </c>
      <c r="DV13" s="1" t="n">
        <f aca="false">IF(ISNUMBER(Scores!Q13),Scores!Q13^2,"")</f>
        <v>576</v>
      </c>
      <c r="DW13" s="1" t="n">
        <f aca="false">IF(AND(Scores!$B13=1,Scores!$C13="Tool condition",ISNUMBER(Scores!R13)),COUNTIFS(Scores!$B$5:$B$44,1,Scores!$C$5:$C$44,"Paper condition",Scores!R$5:R$44,"&lt;"&amp;Scores!R13)+0.5*COUNTIFS(Scores!$B$5:$B$44,1,Scores!$C$5:$C$44,"Paper condition",Scores!R$5:R$44,Scores!R13),"")</f>
        <v>9.5</v>
      </c>
      <c r="DX13" s="1" t="n">
        <f aca="false">IF(AND(Scores!$B13=1,OR(Scores!$C13="Tool condition",Scores!$C13="Paper condition"),ISNUMBER(Scores!R13)),(COUNTIFS(Scores!$B$5:$B$44,1,Scores!$C$5:$C$44,"Tool condition",Scores!R$5:R$44,Scores!R13)+COUNTIFS(Scores!$B$5:$B$44,1,Scores!$C$5:$C$44,"Paper condition",Scores!R$5:R$44,Scores!R13))^2-1,"")</f>
        <v>120</v>
      </c>
      <c r="DY13" s="1" t="str">
        <f aca="false">IF(AND(Scores!$B13=2,Scores!$C13="Tool condition",ISNUMBER(Scores!R13)),COUNTIFS(Scores!$B$5:$B$44,2,Scores!$C$5:$C$44,"Paper condition",Scores!R$5:R$44,"&lt;"&amp;Scores!R13)+0.5*COUNTIFS(Scores!$B$5:$B$44,2,Scores!$C$5:$C$44,"Paper condition",Scores!R$5:R$44,Scores!R13),"")</f>
        <v/>
      </c>
      <c r="DZ13" s="1" t="str">
        <f aca="false">IF(AND(Scores!$B13=2,OR(Scores!$C13="Tool condition",Scores!$C13="Paper condition"),ISNUMBER(Scores!R13)),(COUNTIFS(Scores!$B$5:$B$44,2,Scores!$C$5:$C$44,"Tool condition",Scores!R$5:R$44,Scores!R13)+COUNTIFS(Scores!$B$5:$B$44,2,Scores!$C$5:$C$44,"Paper condition",Scores!R$5:R$44,Scores!R13))^2-1,"")</f>
        <v/>
      </c>
      <c r="EA13" s="1" t="n">
        <f aca="false">IF(ISNUMBER(Scores!R13),Scores!R13^2,"")</f>
        <v>196</v>
      </c>
      <c r="EB13" s="1" t="n">
        <f aca="false">IF(AND(Scores!$B13=1,Scores!$C13="Tool condition",ISNUMBER(Scores!S13)),COUNTIFS(Scores!$B$5:$B$44,1,Scores!$C$5:$C$44,"Paper condition",Scores!S$5:S$44,"&lt;"&amp;Scores!S13)+0.5*COUNTIFS(Scores!$B$5:$B$44,1,Scores!$C$5:$C$44,"Paper condition",Scores!S$5:S$44,Scores!S13),"")</f>
        <v>9</v>
      </c>
      <c r="EC13" s="1" t="n">
        <f aca="false">IF(AND(Scores!$B13=1,OR(Scores!$C13="Tool condition",Scores!$C13="Paper condition"),ISNUMBER(Scores!S13)),(COUNTIFS(Scores!$B$5:$B$44,1,Scores!$C$5:$C$44,"Tool condition",Scores!S$5:S$44,Scores!S13)+COUNTIFS(Scores!$B$5:$B$44,1,Scores!$C$5:$C$44,"Paper condition",Scores!S$5:S$44,Scores!S13))^2-1,"")</f>
        <v>143</v>
      </c>
      <c r="ED13" s="1" t="str">
        <f aca="false">IF(AND(Scores!$B13=2,Scores!$C13="Tool condition",ISNUMBER(Scores!S13)),COUNTIFS(Scores!$B$5:$B$44,2,Scores!$C$5:$C$44,"Paper condition",Scores!S$5:S$44,"&lt;"&amp;Scores!S13)+0.5*COUNTIFS(Scores!$B$5:$B$44,2,Scores!$C$5:$C$44,"Paper condition",Scores!S$5:S$44,Scores!S13),"")</f>
        <v/>
      </c>
      <c r="EE13" s="1" t="str">
        <f aca="false">IF(AND(Scores!$B13=2,OR(Scores!$C13="Tool condition",Scores!$C13="Paper condition"),ISNUMBER(Scores!S13)),(COUNTIFS(Scores!$B$5:$B$44,2,Scores!$C$5:$C$44,"Tool condition",Scores!S$5:S$44,Scores!S13)+COUNTIFS(Scores!$B$5:$B$44,2,Scores!$C$5:$C$44,"Paper condition",Scores!S$5:S$44,Scores!S13))^2-1,"")</f>
        <v/>
      </c>
      <c r="EF13" s="1" t="n">
        <f aca="false">IF(ISNUMBER(Scores!S13),Scores!S13^2,"")</f>
        <v>100</v>
      </c>
      <c r="EG13" s="1" t="n">
        <f aca="false">IF(AND(Scores!$B13=1,Scores!$C13="Tool condition",ISNUMBER(Scores!T13)),COUNTIFS(Scores!$B$5:$B$44,1,Scores!$C$5:$C$44,"Paper condition",Scores!T$5:T$44,"&lt;"&amp;Scores!T13)+0.5*COUNTIFS(Scores!$B$5:$B$44,1,Scores!$C$5:$C$44,"Paper condition",Scores!T$5:T$44,Scores!T13),"")</f>
        <v>8.5</v>
      </c>
      <c r="EH13" s="1" t="n">
        <f aca="false">IF(AND(Scores!$B13=1,OR(Scores!$C13="Tool condition",Scores!$C13="Paper condition"),ISNUMBER(Scores!T13)),(COUNTIFS(Scores!$B$5:$B$44,1,Scores!$C$5:$C$44,"Tool condition",Scores!T$5:T$44,Scores!T13)+COUNTIFS(Scores!$B$5:$B$44,1,Scores!$C$5:$C$44,"Paper condition",Scores!T$5:T$44,Scores!T13))^2-1,"")</f>
        <v>168</v>
      </c>
      <c r="EI13" s="1" t="str">
        <f aca="false">IF(AND(Scores!$B13=2,Scores!$C13="Tool condition",ISNUMBER(Scores!T13)),COUNTIFS(Scores!$B$5:$B$44,2,Scores!$C$5:$C$44,"Paper condition",Scores!T$5:T$44,"&lt;"&amp;Scores!T13)+0.5*COUNTIFS(Scores!$B$5:$B$44,2,Scores!$C$5:$C$44,"Paper condition",Scores!T$5:T$44,Scores!T13),"")</f>
        <v/>
      </c>
      <c r="EJ13" s="1" t="str">
        <f aca="false">IF(AND(Scores!$B13=2,OR(Scores!$C13="Tool condition",Scores!$C13="Paper condition"),ISNUMBER(Scores!T13)),(COUNTIFS(Scores!$B$5:$B$44,2,Scores!$C$5:$C$44,"Tool condition",Scores!T$5:T$44,Scores!T13)+COUNTIFS(Scores!$B$5:$B$44,2,Scores!$C$5:$C$44,"Paper condition",Scores!T$5:T$44,Scores!T13))^2-1,"")</f>
        <v/>
      </c>
      <c r="EK13" s="1" t="n">
        <f aca="false">IF(ISNUMBER(Scores!T13),Scores!T13^2,"")</f>
        <v>64</v>
      </c>
      <c r="EL13" s="1" t="n">
        <f aca="false">IF(AND(Scores!$B13=1,Scores!$C13="Tool condition",ISNUMBER(Scores!U13)),COUNTIFS(Scores!$B$5:$B$44,1,Scores!$C$5:$C$44,"Paper condition",Scores!U$5:U$44,"&lt;"&amp;Scores!U13)+0.5*COUNTIFS(Scores!$B$5:$B$44,1,Scores!$C$5:$C$44,"Paper condition",Scores!U$5:U$44,Scores!U13),"")</f>
        <v>8.5</v>
      </c>
      <c r="EM13" s="1" t="n">
        <f aca="false">IF(AND(Scores!$B13=1,OR(Scores!$C13="Tool condition",Scores!$C13="Paper condition"),ISNUMBER(Scores!U13)),(COUNTIFS(Scores!$B$5:$B$44,1,Scores!$C$5:$C$44,"Tool condition",Scores!U$5:U$44,Scores!U13)+COUNTIFS(Scores!$B$5:$B$44,1,Scores!$C$5:$C$44,"Paper condition",Scores!U$5:U$44,Scores!U13))^2-1,"")</f>
        <v>168</v>
      </c>
      <c r="EN13" s="1" t="str">
        <f aca="false">IF(AND(Scores!$B13=2,Scores!$C13="Tool condition",ISNUMBER(Scores!U13)),COUNTIFS(Scores!$B$5:$B$44,2,Scores!$C$5:$C$44,"Paper condition",Scores!U$5:U$44,"&lt;"&amp;Scores!U13)+0.5*COUNTIFS(Scores!$B$5:$B$44,2,Scores!$C$5:$C$44,"Paper condition",Scores!U$5:U$44,Scores!U13),"")</f>
        <v/>
      </c>
      <c r="EO13" s="1" t="str">
        <f aca="false">IF(AND(Scores!$B13=2,OR(Scores!$C13="Tool condition",Scores!$C13="Paper condition"),ISNUMBER(Scores!U13)),(COUNTIFS(Scores!$B$5:$B$44,2,Scores!$C$5:$C$44,"Tool condition",Scores!U$5:U$44,Scores!U13)+COUNTIFS(Scores!$B$5:$B$44,2,Scores!$C$5:$C$44,"Paper condition",Scores!U$5:U$44,Scores!U13))^2-1,"")</f>
        <v/>
      </c>
      <c r="EP13" s="1" t="n">
        <f aca="false">IF(ISNUMBER(Scores!U13),Scores!U13^2,"")</f>
        <v>36</v>
      </c>
      <c r="EQ13" s="1" t="n">
        <f aca="false">IF(AND(Scores!$B13=1,Scores!$C13="Tool condition",ISNUMBER(Scores!V13)),COUNTIFS(Scores!$B$5:$B$44,1,Scores!$C$5:$C$44,"Paper condition",Scores!V$5:V$44,"&lt;"&amp;Scores!V13)+0.5*COUNTIFS(Scores!$B$5:$B$44,1,Scores!$C$5:$C$44,"Paper condition",Scores!V$5:V$44,Scores!V13),"")</f>
        <v>10</v>
      </c>
      <c r="ER13" s="1" t="n">
        <f aca="false">IF(AND(Scores!$B13=1,OR(Scores!$C13="Tool condition",Scores!$C13="Paper condition"),ISNUMBER(Scores!V13)),(COUNTIFS(Scores!$B$5:$B$44,1,Scores!$C$5:$C$44,"Tool condition",Scores!V$5:V$44,Scores!V13)+COUNTIFS(Scores!$B$5:$B$44,1,Scores!$C$5:$C$44,"Paper condition",Scores!V$5:V$44,Scores!V13))^2-1,"")</f>
        <v>99</v>
      </c>
      <c r="ES13" s="1" t="str">
        <f aca="false">IF(AND(Scores!$B13=2,Scores!$C13="Tool condition",ISNUMBER(Scores!V13)),COUNTIFS(Scores!$B$5:$B$44,2,Scores!$C$5:$C$44,"Paper condition",Scores!V$5:V$44,"&lt;"&amp;Scores!V13)+0.5*COUNTIFS(Scores!$B$5:$B$44,2,Scores!$C$5:$C$44,"Paper condition",Scores!V$5:V$44,Scores!V13),"")</f>
        <v/>
      </c>
      <c r="ET13" s="1" t="str">
        <f aca="false">IF(AND(Scores!$B13=2,OR(Scores!$C13="Tool condition",Scores!$C13="Paper condition"),ISNUMBER(Scores!V13)),(COUNTIFS(Scores!$B$5:$B$44,2,Scores!$C$5:$C$44,"Tool condition",Scores!V$5:V$44,Scores!V13)+COUNTIFS(Scores!$B$5:$B$44,2,Scores!$C$5:$C$44,"Paper condition",Scores!V$5:V$44,Scores!V13))^2-1,"")</f>
        <v/>
      </c>
      <c r="EU13" s="1" t="n">
        <f aca="false">IF(ISNUMBER(Scores!V13),Scores!V13^2,"")</f>
        <v>100</v>
      </c>
      <c r="EV13" s="1" t="n">
        <f aca="false">IF(AND(R_Scores!$B13=1,R_Scores!$C13="Tool condition",ISNUMBER(R_Scores!Q13)),COUNTIFS(R_Scores!$B$5:$B$44,1,R_Scores!$C$5:$C$44,"Paper condition",R_Scores!Q$5:Q$44,"&lt;"&amp;R_Scores!Q13)+0.5*COUNTIFS(R_Scores!$B$5:$B$44,1,R_Scores!$C$5:$C$44,"Paper condition",R_Scores!Q$5:Q$44,R_Scores!Q13),"")</f>
        <v>6</v>
      </c>
      <c r="EW13" s="1" t="n">
        <f aca="false">IF(AND(R_Scores!$B13=1,OR(R_Scores!$C13="Tool condition",R_Scores!$C13="Paper condition"),ISNUMBER(R_Scores!Q13)),(COUNTIFS(R_Scores!$B$5:$B$44,1,R_Scores!$C$5:$C$44,"Tool condition",R_Scores!Q$5:Q$44,R_Scores!Q13)+COUNTIFS(R_Scores!$B$5:$B$44,1,R_Scores!$C$5:$C$44,"Paper condition",R_Scores!Q$5:Q$44,R_Scores!Q13))^2-1,"")</f>
        <v>8</v>
      </c>
      <c r="EX13" s="1" t="str">
        <f aca="false">IF(AND(R_Scores!$B13=2,R_Scores!$C13="Tool condition",ISNUMBER(R_Scores!Q13)),COUNTIFS(R_Scores!$B$5:$B$44,2,R_Scores!$C$5:$C$44,"Paper condition",R_Scores!Q$5:Q$44,"&lt;"&amp;R_Scores!Q13)+0.5*COUNTIFS(R_Scores!$B$5:$B$44,2,R_Scores!$C$5:$C$44,"Paper condition",R_Scores!Q$5:Q$44,R_Scores!Q13),"")</f>
        <v/>
      </c>
      <c r="EY13" s="1" t="str">
        <f aca="false">IF(AND(R_Scores!$B13=2,OR(R_Scores!$C13="Tool condition",R_Scores!$C13="Paper condition"),ISNUMBER(R_Scores!Q13)),(COUNTIFS(R_Scores!$B$5:$B$44,2,R_Scores!$C$5:$C$44,"Tool condition",R_Scores!Q$5:Q$44,R_Scores!Q13)+COUNTIFS(R_Scores!$B$5:$B$44,2,R_Scores!$C$5:$C$44,"Paper condition",R_Scores!Q$5:Q$44,R_Scores!Q13))^2-1,"")</f>
        <v/>
      </c>
      <c r="EZ13" s="1" t="n">
        <f aca="false">IF(ISNUMBER(R_Scores!Q13),R_Scores!Q13^2,"")</f>
        <v>25</v>
      </c>
      <c r="FA13" s="1" t="n">
        <f aca="false">IF(AND(R_Scores!$B13=1,R_Scores!$C13="Tool condition",ISNUMBER(R_Scores!R13)),COUNTIFS(R_Scores!$B$5:$B$44,1,R_Scores!$C$5:$C$44,"Paper condition",R_Scores!R$5:R$44,"&lt;"&amp;R_Scores!R13)+0.5*COUNTIFS(R_Scores!$B$5:$B$44,1,R_Scores!$C$5:$C$44,"Paper condition",R_Scores!R$5:R$44,R_Scores!R13),"")</f>
        <v>9</v>
      </c>
      <c r="FB13" s="1" t="n">
        <f aca="false">IF(AND(R_Scores!$B13=1,OR(R_Scores!$C13="Tool condition",R_Scores!$C13="Paper condition"),ISNUMBER(R_Scores!R13)),(COUNTIFS(R_Scores!$B$5:$B$44,1,R_Scores!$C$5:$C$44,"Tool condition",R_Scores!R$5:R$44,R_Scores!R13)+COUNTIFS(R_Scores!$B$5:$B$44,1,R_Scores!$C$5:$C$44,"Paper condition",R_Scores!R$5:R$44,R_Scores!R13))^2-1,"")</f>
        <v>24</v>
      </c>
      <c r="FC13" s="1" t="str">
        <f aca="false">IF(AND(R_Scores!$B13=2,R_Scores!$C13="Tool condition",ISNUMBER(R_Scores!R13)),COUNTIFS(R_Scores!$B$5:$B$44,2,R_Scores!$C$5:$C$44,"Paper condition",R_Scores!R$5:R$44,"&lt;"&amp;R_Scores!R13)+0.5*COUNTIFS(R_Scores!$B$5:$B$44,2,R_Scores!$C$5:$C$44,"Paper condition",R_Scores!R$5:R$44,R_Scores!R13),"")</f>
        <v/>
      </c>
      <c r="FD13" s="1" t="str">
        <f aca="false">IF(AND(R_Scores!$B13=2,OR(R_Scores!$C13="Tool condition",R_Scores!$C13="Paper condition"),ISNUMBER(R_Scores!R13)),(COUNTIFS(R_Scores!$B$5:$B$44,2,R_Scores!$C$5:$C$44,"Tool condition",R_Scores!R$5:R$44,R_Scores!R13)+COUNTIFS(R_Scores!$B$5:$B$44,2,R_Scores!$C$5:$C$44,"Paper condition",R_Scores!R$5:R$44,R_Scores!R13))^2-1,"")</f>
        <v/>
      </c>
      <c r="FE13" s="1" t="n">
        <f aca="false">IF(ISNUMBER(R_Scores!R13),R_Scores!R13^2,"")</f>
        <v>841</v>
      </c>
    </row>
    <row r="14" customFormat="false" ht="14.25" hidden="false" customHeight="true" outlineLevel="0" collapsed="false">
      <c r="B14" s="1" t="n">
        <f aca="false">IF(AND(Scores!$B14=1,Scores!$C14="Tool condition",ISNUMBER(Scores!E14)),COUNTIFS(Scores!$B$5:$B$44,1,Scores!$C$5:$C$44,"Paper condition",Scores!E$5:E$44,"&lt;"&amp;Scores!E14)+0.5*COUNTIFS(Scores!$B$5:$B$44,1,Scores!$C$5:$C$44,"Paper condition",Scores!E$5:E$44,Scores!E14),"")</f>
        <v>7</v>
      </c>
      <c r="C14" s="1" t="n">
        <f aca="false">IF(AND(Scores!$B14=1,OR(Scores!$C14="Tool condition",Scores!$C14="Paper condition"),ISNUMBER(Scores!E14)),(COUNTIFS(Scores!$B$5:$B$44,1,Scores!$C$5:$C$44,"Tool condition",Scores!E$5:E$44,Scores!E14)+COUNTIFS(Scores!$B$5:$B$44,1,Scores!$C$5:$C$44,"Paper condition",Scores!E$5:E$44,Scores!E14))^2-1,"")</f>
        <v>255</v>
      </c>
      <c r="D14" s="1" t="str">
        <f aca="false">IF(AND(Scores!$B14=2,Scores!$C14="Tool condition",ISNUMBER(Scores!E14)),COUNTIFS(Scores!$B$5:$B$44,2,Scores!$C$5:$C$44,"Paper condition",Scores!E$5:E$44,"&lt;"&amp;Scores!E14)+0.5*COUNTIFS(Scores!$B$5:$B$44,2,Scores!$C$5:$C$44,"Paper condition",Scores!E$5:E$44,Scores!E14),"")</f>
        <v/>
      </c>
      <c r="E14" s="1" t="str">
        <f aca="false">IF(AND(Scores!$B14=2,OR(Scores!$C14="Tool condition",Scores!$C14="Paper condition"),ISNUMBER(Scores!E14)),(COUNTIFS(Scores!$B$5:$B$44,2,Scores!$C$5:$C$44,"Tool condition",Scores!E$5:E$44,Scores!E14)+COUNTIFS(Scores!$B$5:$B$44,2,Scores!$C$5:$C$44,"Paper condition",Scores!E$5:E$44,Scores!E14))^2-1,"")</f>
        <v/>
      </c>
      <c r="F14" s="1" t="n">
        <f aca="false">IF(ISNUMBER(Scores!E14),Scores!E14^2,"")</f>
        <v>4</v>
      </c>
      <c r="G14" s="1" t="n">
        <f aca="false">IF(AND(Scores!$B14=1,Scores!$C14="Tool condition",ISNUMBER(Scores!F14)),COUNTIFS(Scores!$B$5:$B$44,1,Scores!$C$5:$C$44,"Paper condition",Scores!F$5:F$44,"&lt;"&amp;Scores!F14)+0.5*COUNTIFS(Scores!$B$5:$B$44,1,Scores!$C$5:$C$44,"Paper condition",Scores!F$5:F$44,Scores!F14),"")</f>
        <v>8</v>
      </c>
      <c r="H14" s="1" t="n">
        <f aca="false">IF(AND(Scores!$B14=1,OR(Scores!$C14="Tool condition",Scores!$C14="Paper condition"),ISNUMBER(Scores!F14)),(COUNTIFS(Scores!$B$5:$B$44,1,Scores!$C$5:$C$44,"Tool condition",Scores!F$5:F$44,Scores!F14)+COUNTIFS(Scores!$B$5:$B$44,1,Scores!$C$5:$C$44,"Paper condition",Scores!F$5:F$44,Scores!F14))^2-1,"")</f>
        <v>195</v>
      </c>
      <c r="I14" s="1" t="str">
        <f aca="false">IF(AND(Scores!$B14=2,Scores!$C14="Tool condition",ISNUMBER(Scores!F14)),COUNTIFS(Scores!$B$5:$B$44,2,Scores!$C$5:$C$44,"Paper condition",Scores!F$5:F$44,"&lt;"&amp;Scores!F14)+0.5*COUNTIFS(Scores!$B$5:$B$44,2,Scores!$C$5:$C$44,"Paper condition",Scores!F$5:F$44,Scores!F14),"")</f>
        <v/>
      </c>
      <c r="J14" s="1" t="str">
        <f aca="false">IF(AND(Scores!$B14=2,OR(Scores!$C14="Tool condition",Scores!$C14="Paper condition"),ISNUMBER(Scores!F14)),(COUNTIFS(Scores!$B$5:$B$44,2,Scores!$C$5:$C$44,"Tool condition",Scores!F$5:F$44,Scores!F14)+COUNTIFS(Scores!$B$5:$B$44,2,Scores!$C$5:$C$44,"Paper condition",Scores!F$5:F$44,Scores!F14))^2-1,"")</f>
        <v/>
      </c>
      <c r="K14" s="1" t="n">
        <f aca="false">IF(ISNUMBER(Scores!F14),Scores!F14^2,"")</f>
        <v>4</v>
      </c>
      <c r="L14" s="1" t="n">
        <f aca="false">IF(AND(Scores!$B14=1,Scores!$C14="Tool condition",ISNUMBER(Scores!G14)),COUNTIFS(Scores!$B$5:$B$44,1,Scores!$C$5:$C$44,"Paper condition",Scores!G$5:G$44,"&lt;"&amp;Scores!G14)+0.5*COUNTIFS(Scores!$B$5:$B$44,1,Scores!$C$5:$C$44,"Paper condition",Scores!G$5:G$44,Scores!G14),"")</f>
        <v>6.5</v>
      </c>
      <c r="M14" s="1" t="n">
        <f aca="false">IF(AND(Scores!$B14=1,OR(Scores!$C14="Tool condition",Scores!$C14="Paper condition"),ISNUMBER(Scores!G14)),(COUNTIFS(Scores!$B$5:$B$44,1,Scores!$C$5:$C$44,"Tool condition",Scores!G$5:G$44,Scores!G14)+COUNTIFS(Scores!$B$5:$B$44,1,Scores!$C$5:$C$44,"Paper condition",Scores!G$5:G$44,Scores!G14))^2-1,"")</f>
        <v>288</v>
      </c>
      <c r="N14" s="1" t="str">
        <f aca="false">IF(AND(Scores!$B14=2,Scores!$C14="Tool condition",ISNUMBER(Scores!G14)),COUNTIFS(Scores!$B$5:$B$44,2,Scores!$C$5:$C$44,"Paper condition",Scores!G$5:G$44,"&lt;"&amp;Scores!G14)+0.5*COUNTIFS(Scores!$B$5:$B$44,2,Scores!$C$5:$C$44,"Paper condition",Scores!G$5:G$44,Scores!G14),"")</f>
        <v/>
      </c>
      <c r="O14" s="1" t="str">
        <f aca="false">IF(AND(Scores!$B14=2,OR(Scores!$C14="Tool condition",Scores!$C14="Paper condition"),ISNUMBER(Scores!G14)),(COUNTIFS(Scores!$B$5:$B$44,2,Scores!$C$5:$C$44,"Tool condition",Scores!G$5:G$44,Scores!G14)+COUNTIFS(Scores!$B$5:$B$44,2,Scores!$C$5:$C$44,"Paper condition",Scores!G$5:G$44,Scores!G14))^2-1,"")</f>
        <v/>
      </c>
      <c r="P14" s="1" t="n">
        <f aca="false">IF(ISNUMBER(Scores!G14),Scores!G14^2,"")</f>
        <v>4</v>
      </c>
      <c r="Q14" s="1" t="n">
        <f aca="false">IF(AND(Scores!$B14=1,Scores!$C14="Tool condition",ISNUMBER(Scores!H14)),COUNTIFS(Scores!$B$5:$B$44,1,Scores!$C$5:$C$44,"Paper condition",Scores!H$5:H$44,"&lt;"&amp;Scores!H14)+0.5*COUNTIFS(Scores!$B$5:$B$44,1,Scores!$C$5:$C$44,"Paper condition",Scores!H$5:H$44,Scores!H14),"")</f>
        <v>7</v>
      </c>
      <c r="R14" s="1" t="n">
        <f aca="false">IF(AND(Scores!$B14=1,OR(Scores!$C14="Tool condition",Scores!$C14="Paper condition"),ISNUMBER(Scores!H14)),(COUNTIFS(Scores!$B$5:$B$44,1,Scores!$C$5:$C$44,"Tool condition",Scores!H$5:H$44,Scores!H14)+COUNTIFS(Scores!$B$5:$B$44,1,Scores!$C$5:$C$44,"Paper condition",Scores!H$5:H$44,Scores!H14))^2-1,"")</f>
        <v>255</v>
      </c>
      <c r="S14" s="1" t="str">
        <f aca="false">IF(AND(Scores!$B14=2,Scores!$C14="Tool condition",ISNUMBER(Scores!H14)),COUNTIFS(Scores!$B$5:$B$44,2,Scores!$C$5:$C$44,"Paper condition",Scores!H$5:H$44,"&lt;"&amp;Scores!H14)+0.5*COUNTIFS(Scores!$B$5:$B$44,2,Scores!$C$5:$C$44,"Paper condition",Scores!H$5:H$44,Scores!H14),"")</f>
        <v/>
      </c>
      <c r="T14" s="1" t="str">
        <f aca="false">IF(AND(Scores!$B14=2,OR(Scores!$C14="Tool condition",Scores!$C14="Paper condition"),ISNUMBER(Scores!H14)),(COUNTIFS(Scores!$B$5:$B$44,2,Scores!$C$5:$C$44,"Tool condition",Scores!H$5:H$44,Scores!H14)+COUNTIFS(Scores!$B$5:$B$44,2,Scores!$C$5:$C$44,"Paper condition",Scores!H$5:H$44,Scores!H14))^2-1,"")</f>
        <v/>
      </c>
      <c r="U14" s="1" t="n">
        <f aca="false">IF(ISNUMBER(Scores!H14),Scores!H14^2,"")</f>
        <v>4</v>
      </c>
      <c r="V14" s="1" t="n">
        <f aca="false">IF(AND(Scores!$B14=1,Scores!$C14="Tool condition",ISNUMBER(Scores!I14)),COUNTIFS(Scores!$B$5:$B$44,1,Scores!$C$5:$C$44,"Paper condition",Scores!I$5:I$44,"&lt;"&amp;Scores!I14)+0.5*COUNTIFS(Scores!$B$5:$B$44,1,Scores!$C$5:$C$44,"Paper condition",Scores!I$5:I$44,Scores!I14),"")</f>
        <v>8</v>
      </c>
      <c r="W14" s="1" t="n">
        <f aca="false">IF(AND(Scores!$B14=1,OR(Scores!$C14="Tool condition",Scores!$C14="Paper condition"),ISNUMBER(Scores!I14)),(COUNTIFS(Scores!$B$5:$B$44,1,Scores!$C$5:$C$44,"Tool condition",Scores!I$5:I$44,Scores!I14)+COUNTIFS(Scores!$B$5:$B$44,1,Scores!$C$5:$C$44,"Paper condition",Scores!I$5:I$44,Scores!I14))^2-1,"")</f>
        <v>195</v>
      </c>
      <c r="X14" s="1" t="str">
        <f aca="false">IF(AND(Scores!$B14=2,Scores!$C14="Tool condition",ISNUMBER(Scores!I14)),COUNTIFS(Scores!$B$5:$B$44,2,Scores!$C$5:$C$44,"Paper condition",Scores!I$5:I$44,"&lt;"&amp;Scores!I14)+0.5*COUNTIFS(Scores!$B$5:$B$44,2,Scores!$C$5:$C$44,"Paper condition",Scores!I$5:I$44,Scores!I14),"")</f>
        <v/>
      </c>
      <c r="Y14" s="1" t="str">
        <f aca="false">IF(AND(Scores!$B14=2,OR(Scores!$C14="Tool condition",Scores!$C14="Paper condition"),ISNUMBER(Scores!I14)),(COUNTIFS(Scores!$B$5:$B$44,2,Scores!$C$5:$C$44,"Tool condition",Scores!I$5:I$44,Scores!I14)+COUNTIFS(Scores!$B$5:$B$44,2,Scores!$C$5:$C$44,"Paper condition",Scores!I$5:I$44,Scores!I14))^2-1,"")</f>
        <v/>
      </c>
      <c r="Z14" s="1" t="n">
        <f aca="false">IF(ISNUMBER(Scores!I14),Scores!I14^2,"")</f>
        <v>4</v>
      </c>
      <c r="AA14" s="1" t="n">
        <f aca="false">IF(AND(Scores!$B14=1,Scores!$C14="Tool condition",ISNUMBER(Scores!J14)),COUNTIFS(Scores!$B$5:$B$44,1,Scores!$C$5:$C$44,"Paper condition",Scores!J$5:J$44,"&lt;"&amp;Scores!J14)+0.5*COUNTIFS(Scores!$B$5:$B$44,1,Scores!$C$5:$C$44,"Paper condition",Scores!J$5:J$44,Scores!J14),"")</f>
        <v>7.5</v>
      </c>
      <c r="AB14" s="1" t="n">
        <f aca="false">IF(AND(Scores!$B14=1,OR(Scores!$C14="Tool condition",Scores!$C14="Paper condition"),ISNUMBER(Scores!J14)),(COUNTIFS(Scores!$B$5:$B$44,1,Scores!$C$5:$C$44,"Tool condition",Scores!J$5:J$44,Scores!J14)+COUNTIFS(Scores!$B$5:$B$44,1,Scores!$C$5:$C$44,"Paper condition",Scores!J$5:J$44,Scores!J14))^2-1,"")</f>
        <v>224</v>
      </c>
      <c r="AC14" s="1" t="str">
        <f aca="false">IF(AND(Scores!$B14=2,Scores!$C14="Tool condition",ISNUMBER(Scores!J14)),COUNTIFS(Scores!$B$5:$B$44,2,Scores!$C$5:$C$44,"Paper condition",Scores!J$5:J$44,"&lt;"&amp;Scores!J14)+0.5*COUNTIFS(Scores!$B$5:$B$44,2,Scores!$C$5:$C$44,"Paper condition",Scores!J$5:J$44,Scores!J14),"")</f>
        <v/>
      </c>
      <c r="AD14" s="1" t="str">
        <f aca="false">IF(AND(Scores!$B14=2,OR(Scores!$C14="Tool condition",Scores!$C14="Paper condition"),ISNUMBER(Scores!J14)),(COUNTIFS(Scores!$B$5:$B$44,2,Scores!$C$5:$C$44,"Tool condition",Scores!J$5:J$44,Scores!J14)+COUNTIFS(Scores!$B$5:$B$44,2,Scores!$C$5:$C$44,"Paper condition",Scores!J$5:J$44,Scores!J14))^2-1,"")</f>
        <v/>
      </c>
      <c r="AE14" s="1" t="n">
        <f aca="false">IF(ISNUMBER(Scores!J14),Scores!J14^2,"")</f>
        <v>4</v>
      </c>
      <c r="AF14" s="1" t="n">
        <f aca="false">IF(AND(Scores!$B14=1,Scores!$C14="Tool condition",ISNUMBER(Scores!K14)),COUNTIFS(Scores!$B$5:$B$44,1,Scores!$C$5:$C$44,"Paper condition",Scores!K$5:K$44,"&lt;"&amp;Scores!K14)+0.5*COUNTIFS(Scores!$B$5:$B$44,1,Scores!$C$5:$C$44,"Paper condition",Scores!K$5:K$44,Scores!K14),"")</f>
        <v>7</v>
      </c>
      <c r="AG14" s="1" t="n">
        <f aca="false">IF(AND(Scores!$B14=1,OR(Scores!$C14="Tool condition",Scores!$C14="Paper condition"),ISNUMBER(Scores!K14)),(COUNTIFS(Scores!$B$5:$B$44,1,Scores!$C$5:$C$44,"Tool condition",Scores!K$5:K$44,Scores!K14)+COUNTIFS(Scores!$B$5:$B$44,1,Scores!$C$5:$C$44,"Paper condition",Scores!K$5:K$44,Scores!K14))^2-1,"")</f>
        <v>255</v>
      </c>
      <c r="AH14" s="1" t="str">
        <f aca="false">IF(AND(Scores!$B14=2,Scores!$C14="Tool condition",ISNUMBER(Scores!K14)),COUNTIFS(Scores!$B$5:$B$44,2,Scores!$C$5:$C$44,"Paper condition",Scores!K$5:K$44,"&lt;"&amp;Scores!K14)+0.5*COUNTIFS(Scores!$B$5:$B$44,2,Scores!$C$5:$C$44,"Paper condition",Scores!K$5:K$44,Scores!K14),"")</f>
        <v/>
      </c>
      <c r="AI14" s="1" t="str">
        <f aca="false">IF(AND(Scores!$B14=2,OR(Scores!$C14="Tool condition",Scores!$C14="Paper condition"),ISNUMBER(Scores!K14)),(COUNTIFS(Scores!$B$5:$B$44,2,Scores!$C$5:$C$44,"Tool condition",Scores!K$5:K$44,Scores!K14)+COUNTIFS(Scores!$B$5:$B$44,2,Scores!$C$5:$C$44,"Paper condition",Scores!K$5:K$44,Scores!K14))^2-1,"")</f>
        <v/>
      </c>
      <c r="AJ14" s="1" t="n">
        <f aca="false">IF(ISNUMBER(Scores!K14),Scores!K14^2,"")</f>
        <v>4</v>
      </c>
      <c r="AK14" s="1" t="n">
        <f aca="false">IF(AND(Scores!$B14=1,Scores!$C14="Tool condition",ISNUMBER(Scores!L14)),COUNTIFS(Scores!$B$5:$B$44,1,Scores!$C$5:$C$44,"Paper condition",Scores!L$5:L$44,"&lt;"&amp;Scores!L14)+0.5*COUNTIFS(Scores!$B$5:$B$44,1,Scores!$C$5:$C$44,"Paper condition",Scores!L$5:L$44,Scores!L14),"")</f>
        <v>6.5</v>
      </c>
      <c r="AL14" s="1" t="n">
        <f aca="false">IF(AND(Scores!$B14=1,OR(Scores!$C14="Tool condition",Scores!$C14="Paper condition"),ISNUMBER(Scores!L14)),(COUNTIFS(Scores!$B$5:$B$44,1,Scores!$C$5:$C$44,"Tool condition",Scores!L$5:L$44,Scores!L14)+COUNTIFS(Scores!$B$5:$B$44,1,Scores!$C$5:$C$44,"Paper condition",Scores!L$5:L$44,Scores!L14))^2-1,"")</f>
        <v>288</v>
      </c>
      <c r="AM14" s="1" t="str">
        <f aca="false">IF(AND(Scores!$B14=2,Scores!$C14="Tool condition",ISNUMBER(Scores!L14)),COUNTIFS(Scores!$B$5:$B$44,2,Scores!$C$5:$C$44,"Paper condition",Scores!L$5:L$44,"&lt;"&amp;Scores!L14)+0.5*COUNTIFS(Scores!$B$5:$B$44,2,Scores!$C$5:$C$44,"Paper condition",Scores!L$5:L$44,Scores!L14),"")</f>
        <v/>
      </c>
      <c r="AN14" s="1" t="str">
        <f aca="false">IF(AND(Scores!$B14=2,OR(Scores!$C14="Tool condition",Scores!$C14="Paper condition"),ISNUMBER(Scores!L14)),(COUNTIFS(Scores!$B$5:$B$44,2,Scores!$C$5:$C$44,"Tool condition",Scores!L$5:L$44,Scores!L14)+COUNTIFS(Scores!$B$5:$B$44,2,Scores!$C$5:$C$44,"Paper condition",Scores!L$5:L$44,Scores!L14))^2-1,"")</f>
        <v/>
      </c>
      <c r="AO14" s="1" t="n">
        <f aca="false">IF(ISNUMBER(Scores!L14),Scores!L14^2,"")</f>
        <v>4</v>
      </c>
      <c r="AP14" s="1" t="n">
        <f aca="false">IF(AND(Scores!$B14=1,Scores!$C14="Tool condition",ISNUMBER(Scores!M14)),COUNTIFS(Scores!$B$5:$B$44,1,Scores!$C$5:$C$44,"Paper condition",Scores!M$5:M$44,"&lt;"&amp;Scores!M14)+0.5*COUNTIFS(Scores!$B$5:$B$44,1,Scores!$C$5:$C$44,"Paper condition",Scores!M$5:M$44,Scores!M14),"")</f>
        <v>6.5</v>
      </c>
      <c r="AQ14" s="1" t="n">
        <f aca="false">IF(AND(Scores!$B14=1,OR(Scores!$C14="Tool condition",Scores!$C14="Paper condition"),ISNUMBER(Scores!M14)),(COUNTIFS(Scores!$B$5:$B$44,1,Scores!$C$5:$C$44,"Tool condition",Scores!M$5:M$44,Scores!M14)+COUNTIFS(Scores!$B$5:$B$44,1,Scores!$C$5:$C$44,"Paper condition",Scores!M$5:M$44,Scores!M14))^2-1,"")</f>
        <v>288</v>
      </c>
      <c r="AR14" s="1" t="str">
        <f aca="false">IF(AND(Scores!$B14=2,Scores!$C14="Tool condition",ISNUMBER(Scores!M14)),COUNTIFS(Scores!$B$5:$B$44,2,Scores!$C$5:$C$44,"Paper condition",Scores!M$5:M$44,"&lt;"&amp;Scores!M14)+0.5*COUNTIFS(Scores!$B$5:$B$44,2,Scores!$C$5:$C$44,"Paper condition",Scores!M$5:M$44,Scores!M14),"")</f>
        <v/>
      </c>
      <c r="AS14" s="1" t="str">
        <f aca="false">IF(AND(Scores!$B14=2,OR(Scores!$C14="Tool condition",Scores!$C14="Paper condition"),ISNUMBER(Scores!M14)),(COUNTIFS(Scores!$B$5:$B$44,2,Scores!$C$5:$C$44,"Tool condition",Scores!M$5:M$44,Scores!M14)+COUNTIFS(Scores!$B$5:$B$44,2,Scores!$C$5:$C$44,"Paper condition",Scores!M$5:M$44,Scores!M14))^2-1,"")</f>
        <v/>
      </c>
      <c r="AT14" s="1" t="n">
        <f aca="false">IF(ISNUMBER(Scores!M14),Scores!M14^2,"")</f>
        <v>4</v>
      </c>
      <c r="AU14" s="1" t="n">
        <f aca="false">IF(AND(Scores!$B14=1,Scores!$C14="Tool condition",ISNUMBER(Scores!N14)),COUNTIFS(Scores!$B$5:$B$44,1,Scores!$C$5:$C$44,"Paper condition",Scores!N$5:N$44,"&lt;"&amp;Scores!N14)+0.5*COUNTIFS(Scores!$B$5:$B$44,1,Scores!$C$5:$C$44,"Paper condition",Scores!N$5:N$44,Scores!N14),"")</f>
        <v>8</v>
      </c>
      <c r="AV14" s="1" t="n">
        <f aca="false">IF(AND(Scores!$B14=1,OR(Scores!$C14="Tool condition",Scores!$C14="Paper condition"),ISNUMBER(Scores!N14)),(COUNTIFS(Scores!$B$5:$B$44,1,Scores!$C$5:$C$44,"Tool condition",Scores!N$5:N$44,Scores!N14)+COUNTIFS(Scores!$B$5:$B$44,1,Scores!$C$5:$C$44,"Paper condition",Scores!N$5:N$44,Scores!N14))^2-1,"")</f>
        <v>195</v>
      </c>
      <c r="AW14" s="1" t="str">
        <f aca="false">IF(AND(Scores!$B14=2,Scores!$C14="Tool condition",ISNUMBER(Scores!N14)),COUNTIFS(Scores!$B$5:$B$44,2,Scores!$C$5:$C$44,"Paper condition",Scores!N$5:N$44,"&lt;"&amp;Scores!N14)+0.5*COUNTIFS(Scores!$B$5:$B$44,2,Scores!$C$5:$C$44,"Paper condition",Scores!N$5:N$44,Scores!N14),"")</f>
        <v/>
      </c>
      <c r="AX14" s="1" t="str">
        <f aca="false">IF(AND(Scores!$B14=2,OR(Scores!$C14="Tool condition",Scores!$C14="Paper condition"),ISNUMBER(Scores!N14)),(COUNTIFS(Scores!$B$5:$B$44,2,Scores!$C$5:$C$44,"Tool condition",Scores!N$5:N$44,Scores!N14)+COUNTIFS(Scores!$B$5:$B$44,2,Scores!$C$5:$C$44,"Paper condition",Scores!N$5:N$44,Scores!N14))^2-1,"")</f>
        <v/>
      </c>
      <c r="AY14" s="1" t="n">
        <f aca="false">IF(ISNUMBER(Scores!N14),Scores!N14^2,"")</f>
        <v>4</v>
      </c>
      <c r="AZ14" s="1" t="n">
        <f aca="false">IF(AND(Scores!$B14=1,Scores!$C14="Tool condition",ISNUMBER(Scores!O14)),COUNTIFS(Scores!$B$5:$B$44,1,Scores!$C$5:$C$44,"Paper condition",Scores!O$5:O$44,"&lt;"&amp;Scores!O14)+0.5*COUNTIFS(Scores!$B$5:$B$44,1,Scores!$C$5:$C$44,"Paper condition",Scores!O$5:O$44,Scores!O14),"")</f>
        <v>7.5</v>
      </c>
      <c r="BA14" s="1" t="n">
        <f aca="false">IF(AND(Scores!$B14=1,OR(Scores!$C14="Tool condition",Scores!$C14="Paper condition"),ISNUMBER(Scores!O14)),(COUNTIFS(Scores!$B$5:$B$44,1,Scores!$C$5:$C$44,"Tool condition",Scores!O$5:O$44,Scores!O14)+COUNTIFS(Scores!$B$5:$B$44,1,Scores!$C$5:$C$44,"Paper condition",Scores!O$5:O$44,Scores!O14))^2-1,"")</f>
        <v>224</v>
      </c>
      <c r="BB14" s="1" t="str">
        <f aca="false">IF(AND(Scores!$B14=2,Scores!$C14="Tool condition",ISNUMBER(Scores!O14)),COUNTIFS(Scores!$B$5:$B$44,2,Scores!$C$5:$C$44,"Paper condition",Scores!O$5:O$44,"&lt;"&amp;Scores!O14)+0.5*COUNTIFS(Scores!$B$5:$B$44,2,Scores!$C$5:$C$44,"Paper condition",Scores!O$5:O$44,Scores!O14),"")</f>
        <v/>
      </c>
      <c r="BC14" s="1" t="str">
        <f aca="false">IF(AND(Scores!$B14=2,OR(Scores!$C14="Tool condition",Scores!$C14="Paper condition"),ISNUMBER(Scores!O14)),(COUNTIFS(Scores!$B$5:$B$44,2,Scores!$C$5:$C$44,"Tool condition",Scores!O$5:O$44,Scores!O14)+COUNTIFS(Scores!$B$5:$B$44,2,Scores!$C$5:$C$44,"Paper condition",Scores!O$5:O$44,Scores!O14))^2-1,"")</f>
        <v/>
      </c>
      <c r="BD14" s="1" t="n">
        <f aca="false">IF(ISNUMBER(Scores!O14),Scores!O14^2,"")</f>
        <v>4</v>
      </c>
      <c r="BE14" s="1" t="n">
        <f aca="false">IF(AND(Scores!$B14=1,Scores!$C14="Tool condition",ISNUMBER(Scores!P14)),COUNTIFS(Scores!$B$5:$B$44,1,Scores!$C$5:$C$44,"Paper condition",Scores!P$5:P$44,"&lt;"&amp;Scores!P14)+0.5*COUNTIFS(Scores!$B$5:$B$44,1,Scores!$C$5:$C$44,"Paper condition",Scores!P$5:P$44,Scores!P14),"")</f>
        <v>8.5</v>
      </c>
      <c r="BF14" s="1" t="n">
        <f aca="false">IF(AND(Scores!$B14=1,OR(Scores!$C14="Tool condition",Scores!$C14="Paper condition"),ISNUMBER(Scores!P14)),(COUNTIFS(Scores!$B$5:$B$44,1,Scores!$C$5:$C$44,"Tool condition",Scores!P$5:P$44,Scores!P14)+COUNTIFS(Scores!$B$5:$B$44,1,Scores!$C$5:$C$44,"Paper condition",Scores!P$5:P$44,Scores!P14))^2-1,"")</f>
        <v>168</v>
      </c>
      <c r="BG14" s="1" t="str">
        <f aca="false">IF(AND(Scores!$B14=2,Scores!$C14="Tool condition",ISNUMBER(Scores!P14)),COUNTIFS(Scores!$B$5:$B$44,2,Scores!$C$5:$C$44,"Paper condition",Scores!P$5:P$44,"&lt;"&amp;Scores!P14)+0.5*COUNTIFS(Scores!$B$5:$B$44,2,Scores!$C$5:$C$44,"Paper condition",Scores!P$5:P$44,Scores!P14),"")</f>
        <v/>
      </c>
      <c r="BH14" s="1" t="str">
        <f aca="false">IF(AND(Scores!$B14=2,OR(Scores!$C14="Tool condition",Scores!$C14="Paper condition"),ISNUMBER(Scores!P14)),(COUNTIFS(Scores!$B$5:$B$44,2,Scores!$C$5:$C$44,"Tool condition",Scores!P$5:P$44,Scores!P14)+COUNTIFS(Scores!$B$5:$B$44,2,Scores!$C$5:$C$44,"Paper condition",Scores!P$5:P$44,Scores!P14))^2-1,"")</f>
        <v/>
      </c>
      <c r="BI14" s="1" t="n">
        <f aca="false">IF(ISNUMBER(Scores!P14),Scores!P14^2,"")</f>
        <v>4</v>
      </c>
      <c r="BJ14" s="1" t="n">
        <f aca="false">IF(AND(R_Scores!$B14=1,R_Scores!$C14="Tool condition",ISNUMBER(R_Scores!E14)),COUNTIFS(R_Scores!$B$5:$B$44,1,R_Scores!$C$5:$C$44,"Paper condition",R_Scores!E$5:E$44,"&lt;"&amp;R_Scores!E14)+0.5*COUNTIFS(R_Scores!$B$5:$B$44,1,R_Scores!$C$5:$C$44,"Paper condition",R_Scores!E$5:E$44,R_Scores!E14),"")</f>
        <v>7</v>
      </c>
      <c r="BK14" s="1" t="n">
        <f aca="false">IF(AND(R_Scores!$B14=1,OR(R_Scores!$C14="Tool condition",R_Scores!$C14="Paper condition"),ISNUMBER(R_Scores!E14)),(COUNTIFS(R_Scores!$B$5:$B$44,1,R_Scores!$C$5:$C$44,"Tool condition",R_Scores!E$5:E$44,R_Scores!E14)+COUNTIFS(R_Scores!$B$5:$B$44,1,R_Scores!$C$5:$C$44,"Paper condition",R_Scores!E$5:E$44,R_Scores!E14))^2-1,"")</f>
        <v>224</v>
      </c>
      <c r="BL14" s="1" t="str">
        <f aca="false">IF(AND(R_Scores!$B14=2,R_Scores!$C14="Tool condition",ISNUMBER(R_Scores!E14)),COUNTIFS(R_Scores!$B$5:$B$44,2,R_Scores!$C$5:$C$44,"Paper condition",R_Scores!E$5:E$44,"&lt;"&amp;R_Scores!E14)+0.5*COUNTIFS(R_Scores!$B$5:$B$44,2,R_Scores!$C$5:$C$44,"Paper condition",R_Scores!E$5:E$44,R_Scores!E14),"")</f>
        <v/>
      </c>
      <c r="BM14" s="1" t="str">
        <f aca="false">IF(AND(R_Scores!$B14=2,OR(R_Scores!$C14="Tool condition",R_Scores!$C14="Paper condition"),ISNUMBER(R_Scores!E14)),(COUNTIFS(R_Scores!$B$5:$B$44,2,R_Scores!$C$5:$C$44,"Tool condition",R_Scores!E$5:E$44,R_Scores!E14)+COUNTIFS(R_Scores!$B$5:$B$44,2,R_Scores!$C$5:$C$44,"Paper condition",R_Scores!E$5:E$44,R_Scores!E14))^2-1,"")</f>
        <v/>
      </c>
      <c r="BN14" s="1" t="n">
        <f aca="false">IF(ISNUMBER(R_Scores!E14),R_Scores!E14^2,"")</f>
        <v>1</v>
      </c>
      <c r="BO14" s="1" t="n">
        <f aca="false">IF(AND(R_Scores!$B14=1,R_Scores!$C14="Tool condition",ISNUMBER(R_Scores!F14)),COUNTIFS(R_Scores!$B$5:$B$44,1,R_Scores!$C$5:$C$44,"Paper condition",R_Scores!F$5:F$44,"&lt;"&amp;R_Scores!F14)+0.5*COUNTIFS(R_Scores!$B$5:$B$44,1,R_Scores!$C$5:$C$44,"Paper condition",R_Scores!F$5:F$44,R_Scores!F14),"")</f>
        <v>7</v>
      </c>
      <c r="BP14" s="1" t="n">
        <f aca="false">IF(AND(R_Scores!$B14=1,OR(R_Scores!$C14="Tool condition",R_Scores!$C14="Paper condition"),ISNUMBER(R_Scores!F14)),(COUNTIFS(R_Scores!$B$5:$B$44,1,R_Scores!$C$5:$C$44,"Tool condition",R_Scores!F$5:F$44,R_Scores!F14)+COUNTIFS(R_Scores!$B$5:$B$44,1,R_Scores!$C$5:$C$44,"Paper condition",R_Scores!F$5:F$44,R_Scores!F14))^2-1,"")</f>
        <v>195</v>
      </c>
      <c r="BQ14" s="1" t="str">
        <f aca="false">IF(AND(R_Scores!$B14=2,R_Scores!$C14="Tool condition",ISNUMBER(R_Scores!F14)),COUNTIFS(R_Scores!$B$5:$B$44,2,R_Scores!$C$5:$C$44,"Paper condition",R_Scores!F$5:F$44,"&lt;"&amp;R_Scores!F14)+0.5*COUNTIFS(R_Scores!$B$5:$B$44,2,R_Scores!$C$5:$C$44,"Paper condition",R_Scores!F$5:F$44,R_Scores!F14),"")</f>
        <v/>
      </c>
      <c r="BR14" s="1" t="str">
        <f aca="false">IF(AND(R_Scores!$B14=2,OR(R_Scores!$C14="Tool condition",R_Scores!$C14="Paper condition"),ISNUMBER(R_Scores!F14)),(COUNTIFS(R_Scores!$B$5:$B$44,2,R_Scores!$C$5:$C$44,"Tool condition",R_Scores!F$5:F$44,R_Scores!F14)+COUNTIFS(R_Scores!$B$5:$B$44,2,R_Scores!$C$5:$C$44,"Paper condition",R_Scores!F$5:F$44,R_Scores!F14))^2-1,"")</f>
        <v/>
      </c>
      <c r="BS14" s="1" t="n">
        <f aca="false">IF(ISNUMBER(R_Scores!F14),R_Scores!F14^2,"")</f>
        <v>1</v>
      </c>
      <c r="BT14" s="1" t="str">
        <f aca="false">IF(AND(R_Scores!$B14=1,R_Scores!$C14="Tool condition",ISNUMBER(R_Scores!G14)),COUNTIFS(R_Scores!$B$5:$B$44,1,R_Scores!$C$5:$C$44,"Paper condition",R_Scores!G$5:G$44,"&lt;"&amp;R_Scores!G14)+0.5*COUNTIFS(R_Scores!$B$5:$B$44,1,R_Scores!$C$5:$C$44,"Paper condition",R_Scores!G$5:G$44,R_Scores!G14),"")</f>
        <v/>
      </c>
      <c r="BU14" s="1" t="str">
        <f aca="false">IF(AND(R_Scores!$B14=1,OR(R_Scores!$C14="Tool condition",R_Scores!$C14="Paper condition"),ISNUMBER(R_Scores!G14)),(COUNTIFS(R_Scores!$B$5:$B$44,1,R_Scores!$C$5:$C$44,"Tool condition",R_Scores!G$5:G$44,R_Scores!G14)+COUNTIFS(R_Scores!$B$5:$B$44,1,R_Scores!$C$5:$C$44,"Paper condition",R_Scores!G$5:G$44,R_Scores!G14))^2-1,"")</f>
        <v/>
      </c>
      <c r="BV14" s="1" t="str">
        <f aca="false">IF(AND(R_Scores!$B14=2,R_Scores!$C14="Tool condition",ISNUMBER(R_Scores!G14)),COUNTIFS(R_Scores!$B$5:$B$44,2,R_Scores!$C$5:$C$44,"Paper condition",R_Scores!G$5:G$44,"&lt;"&amp;R_Scores!G14)+0.5*COUNTIFS(R_Scores!$B$5:$B$44,2,R_Scores!$C$5:$C$44,"Paper condition",R_Scores!G$5:G$44,R_Scores!G14),"")</f>
        <v/>
      </c>
      <c r="BW14" s="1" t="str">
        <f aca="false">IF(AND(R_Scores!$B14=2,OR(R_Scores!$C14="Tool condition",R_Scores!$C14="Paper condition"),ISNUMBER(R_Scores!G14)),(COUNTIFS(R_Scores!$B$5:$B$44,2,R_Scores!$C$5:$C$44,"Tool condition",R_Scores!G$5:G$44,R_Scores!G14)+COUNTIFS(R_Scores!$B$5:$B$44,2,R_Scores!$C$5:$C$44,"Paper condition",R_Scores!G$5:G$44,R_Scores!G14))^2-1,"")</f>
        <v/>
      </c>
      <c r="BX14" s="1" t="str">
        <f aca="false">IF(ISNUMBER(R_Scores!G14),R_Scores!G14^2,"")</f>
        <v/>
      </c>
      <c r="BY14" s="1" t="str">
        <f aca="false">IF(AND(R_Scores!$B14=1,R_Scores!$C14="Tool condition",ISNUMBER(R_Scores!H14)),COUNTIFS(R_Scores!$B$5:$B$44,1,R_Scores!$C$5:$C$44,"Paper condition",R_Scores!H$5:H$44,"&lt;"&amp;R_Scores!H14)+0.5*COUNTIFS(R_Scores!$B$5:$B$44,1,R_Scores!$C$5:$C$44,"Paper condition",R_Scores!H$5:H$44,R_Scores!H14),"")</f>
        <v/>
      </c>
      <c r="BZ14" s="1" t="str">
        <f aca="false">IF(AND(R_Scores!$B14=1,OR(R_Scores!$C14="Tool condition",R_Scores!$C14="Paper condition"),ISNUMBER(R_Scores!H14)),(COUNTIFS(R_Scores!$B$5:$B$44,1,R_Scores!$C$5:$C$44,"Tool condition",R_Scores!H$5:H$44,R_Scores!H14)+COUNTIFS(R_Scores!$B$5:$B$44,1,R_Scores!$C$5:$C$44,"Paper condition",R_Scores!H$5:H$44,R_Scores!H14))^2-1,"")</f>
        <v/>
      </c>
      <c r="CA14" s="1" t="str">
        <f aca="false">IF(AND(R_Scores!$B14=2,R_Scores!$C14="Tool condition",ISNUMBER(R_Scores!H14)),COUNTIFS(R_Scores!$B$5:$B$44,2,R_Scores!$C$5:$C$44,"Paper condition",R_Scores!H$5:H$44,"&lt;"&amp;R_Scores!H14)+0.5*COUNTIFS(R_Scores!$B$5:$B$44,2,R_Scores!$C$5:$C$44,"Paper condition",R_Scores!H$5:H$44,R_Scores!H14),"")</f>
        <v/>
      </c>
      <c r="CB14" s="1" t="str">
        <f aca="false">IF(AND(R_Scores!$B14=2,OR(R_Scores!$C14="Tool condition",R_Scores!$C14="Paper condition"),ISNUMBER(R_Scores!H14)),(COUNTIFS(R_Scores!$B$5:$B$44,2,R_Scores!$C$5:$C$44,"Tool condition",R_Scores!H$5:H$44,R_Scores!H14)+COUNTIFS(R_Scores!$B$5:$B$44,2,R_Scores!$C$5:$C$44,"Paper condition",R_Scores!H$5:H$44,R_Scores!H14))^2-1,"")</f>
        <v/>
      </c>
      <c r="CC14" s="1" t="str">
        <f aca="false">IF(ISNUMBER(R_Scores!H14),R_Scores!H14^2,"")</f>
        <v/>
      </c>
      <c r="CD14" s="1" t="n">
        <f aca="false">IF(AND(R_Scores!$B14=1,R_Scores!$C14="Tool condition",ISNUMBER(R_Scores!I14)),COUNTIFS(R_Scores!$B$5:$B$44,1,R_Scores!$C$5:$C$44,"Paper condition",R_Scores!I$5:I$44,"&lt;"&amp;R_Scores!I14)+0.5*COUNTIFS(R_Scores!$B$5:$B$44,1,R_Scores!$C$5:$C$44,"Paper condition",R_Scores!I$5:I$44,R_Scores!I14),"")</f>
        <v>2.5</v>
      </c>
      <c r="CE14" s="1" t="n">
        <f aca="false">IF(AND(R_Scores!$B14=1,OR(R_Scores!$C14="Tool condition",R_Scores!$C14="Paper condition"),ISNUMBER(R_Scores!I14)),(COUNTIFS(R_Scores!$B$5:$B$44,1,R_Scores!$C$5:$C$44,"Tool condition",R_Scores!I$5:I$44,R_Scores!I14)+COUNTIFS(R_Scores!$B$5:$B$44,1,R_Scores!$C$5:$C$44,"Paper condition",R_Scores!I$5:I$44,R_Scores!I14))^2-1,"")</f>
        <v>48</v>
      </c>
      <c r="CF14" s="1" t="str">
        <f aca="false">IF(AND(R_Scores!$B14=2,R_Scores!$C14="Tool condition",ISNUMBER(R_Scores!I14)),COUNTIFS(R_Scores!$B$5:$B$44,2,R_Scores!$C$5:$C$44,"Paper condition",R_Scores!I$5:I$44,"&lt;"&amp;R_Scores!I14)+0.5*COUNTIFS(R_Scores!$B$5:$B$44,2,R_Scores!$C$5:$C$44,"Paper condition",R_Scores!I$5:I$44,R_Scores!I14),"")</f>
        <v/>
      </c>
      <c r="CG14" s="1" t="str">
        <f aca="false">IF(AND(R_Scores!$B14=2,OR(R_Scores!$C14="Tool condition",R_Scores!$C14="Paper condition"),ISNUMBER(R_Scores!I14)),(COUNTIFS(R_Scores!$B$5:$B$44,2,R_Scores!$C$5:$C$44,"Tool condition",R_Scores!I$5:I$44,R_Scores!I14)+COUNTIFS(R_Scores!$B$5:$B$44,2,R_Scores!$C$5:$C$44,"Paper condition",R_Scores!I$5:I$44,R_Scores!I14))^2-1,"")</f>
        <v/>
      </c>
      <c r="CH14" s="1" t="n">
        <f aca="false">IF(ISNUMBER(R_Scores!I14),R_Scores!I14^2,"")</f>
        <v>0</v>
      </c>
      <c r="CI14" s="1" t="n">
        <f aca="false">IF(AND(R_Scores!$B14=1,R_Scores!$C14="Tool condition",ISNUMBER(R_Scores!J14)),COUNTIFS(R_Scores!$B$5:$B$44,1,R_Scores!$C$5:$C$44,"Paper condition",R_Scores!J$5:J$44,"&lt;"&amp;R_Scores!J14)+0.5*COUNTIFS(R_Scores!$B$5:$B$44,1,R_Scores!$C$5:$C$44,"Paper condition",R_Scores!J$5:J$44,R_Scores!J14),"")</f>
        <v>7</v>
      </c>
      <c r="CJ14" s="1" t="n">
        <f aca="false">IF(AND(R_Scores!$B14=1,OR(R_Scores!$C14="Tool condition",R_Scores!$C14="Paper condition"),ISNUMBER(R_Scores!J14)),(COUNTIFS(R_Scores!$B$5:$B$44,1,R_Scores!$C$5:$C$44,"Tool condition",R_Scores!J$5:J$44,R_Scores!J14)+COUNTIFS(R_Scores!$B$5:$B$44,1,R_Scores!$C$5:$C$44,"Paper condition",R_Scores!J$5:J$44,R_Scores!J14))^2-1,"")</f>
        <v>224</v>
      </c>
      <c r="CK14" s="1" t="str">
        <f aca="false">IF(AND(R_Scores!$B14=2,R_Scores!$C14="Tool condition",ISNUMBER(R_Scores!J14)),COUNTIFS(R_Scores!$B$5:$B$44,2,R_Scores!$C$5:$C$44,"Paper condition",R_Scores!J$5:J$44,"&lt;"&amp;R_Scores!J14)+0.5*COUNTIFS(R_Scores!$B$5:$B$44,2,R_Scores!$C$5:$C$44,"Paper condition",R_Scores!J$5:J$44,R_Scores!J14),"")</f>
        <v/>
      </c>
      <c r="CL14" s="1" t="str">
        <f aca="false">IF(AND(R_Scores!$B14=2,OR(R_Scores!$C14="Tool condition",R_Scores!$C14="Paper condition"),ISNUMBER(R_Scores!J14)),(COUNTIFS(R_Scores!$B$5:$B$44,2,R_Scores!$C$5:$C$44,"Tool condition",R_Scores!J$5:J$44,R_Scores!J14)+COUNTIFS(R_Scores!$B$5:$B$44,2,R_Scores!$C$5:$C$44,"Paper condition",R_Scores!J$5:J$44,R_Scores!J14))^2-1,"")</f>
        <v/>
      </c>
      <c r="CM14" s="1" t="n">
        <f aca="false">IF(ISNUMBER(R_Scores!J14),R_Scores!J14^2,"")</f>
        <v>1</v>
      </c>
      <c r="CN14" s="1" t="str">
        <f aca="false">IF(AND(R_Scores!$B14=1,R_Scores!$C14="Tool condition",ISNUMBER(R_Scores!K14)),COUNTIFS(R_Scores!$B$5:$B$44,1,R_Scores!$C$5:$C$44,"Paper condition",R_Scores!K$5:K$44,"&lt;"&amp;R_Scores!K14)+0.5*COUNTIFS(R_Scores!$B$5:$B$44,1,R_Scores!$C$5:$C$44,"Paper condition",R_Scores!K$5:K$44,R_Scores!K14),"")</f>
        <v/>
      </c>
      <c r="CO14" s="1" t="str">
        <f aca="false">IF(AND(R_Scores!$B14=1,OR(R_Scores!$C14="Tool condition",R_Scores!$C14="Paper condition"),ISNUMBER(R_Scores!K14)),(COUNTIFS(R_Scores!$B$5:$B$44,1,R_Scores!$C$5:$C$44,"Tool condition",R_Scores!K$5:K$44,R_Scores!K14)+COUNTIFS(R_Scores!$B$5:$B$44,1,R_Scores!$C$5:$C$44,"Paper condition",R_Scores!K$5:K$44,R_Scores!K14))^2-1,"")</f>
        <v/>
      </c>
      <c r="CP14" s="1" t="str">
        <f aca="false">IF(AND(R_Scores!$B14=2,R_Scores!$C14="Tool condition",ISNUMBER(R_Scores!K14)),COUNTIFS(R_Scores!$B$5:$B$44,2,R_Scores!$C$5:$C$44,"Paper condition",R_Scores!K$5:K$44,"&lt;"&amp;R_Scores!K14)+0.5*COUNTIFS(R_Scores!$B$5:$B$44,2,R_Scores!$C$5:$C$44,"Paper condition",R_Scores!K$5:K$44,R_Scores!K14),"")</f>
        <v/>
      </c>
      <c r="CQ14" s="1" t="str">
        <f aca="false">IF(AND(R_Scores!$B14=2,OR(R_Scores!$C14="Tool condition",R_Scores!$C14="Paper condition"),ISNUMBER(R_Scores!K14)),(COUNTIFS(R_Scores!$B$5:$B$44,2,R_Scores!$C$5:$C$44,"Tool condition",R_Scores!K$5:K$44,R_Scores!K14)+COUNTIFS(R_Scores!$B$5:$B$44,2,R_Scores!$C$5:$C$44,"Paper condition",R_Scores!K$5:K$44,R_Scores!K14))^2-1,"")</f>
        <v/>
      </c>
      <c r="CR14" s="1" t="str">
        <f aca="false">IF(ISNUMBER(R_Scores!K14),R_Scores!K14^2,"")</f>
        <v/>
      </c>
      <c r="CS14" s="1" t="str">
        <f aca="false">IF(AND(R_Scores!$B14=1,R_Scores!$C14="Tool condition",ISNUMBER(R_Scores!L14)),COUNTIFS(R_Scores!$B$5:$B$44,1,R_Scores!$C$5:$C$44,"Paper condition",R_Scores!L$5:L$44,"&lt;"&amp;R_Scores!L14)+0.5*COUNTIFS(R_Scores!$B$5:$B$44,1,R_Scores!$C$5:$C$44,"Paper condition",R_Scores!L$5:L$44,R_Scores!L14),"")</f>
        <v/>
      </c>
      <c r="CT14" s="1" t="str">
        <f aca="false">IF(AND(R_Scores!$B14=1,OR(R_Scores!$C14="Tool condition",R_Scores!$C14="Paper condition"),ISNUMBER(R_Scores!L14)),(COUNTIFS(R_Scores!$B$5:$B$44,1,R_Scores!$C$5:$C$44,"Tool condition",R_Scores!L$5:L$44,R_Scores!L14)+COUNTIFS(R_Scores!$B$5:$B$44,1,R_Scores!$C$5:$C$44,"Paper condition",R_Scores!L$5:L$44,R_Scores!L14))^2-1,"")</f>
        <v/>
      </c>
      <c r="CU14" s="1" t="str">
        <f aca="false">IF(AND(R_Scores!$B14=2,R_Scores!$C14="Tool condition",ISNUMBER(R_Scores!L14)),COUNTIFS(R_Scores!$B$5:$B$44,2,R_Scores!$C$5:$C$44,"Paper condition",R_Scores!L$5:L$44,"&lt;"&amp;R_Scores!L14)+0.5*COUNTIFS(R_Scores!$B$5:$B$44,2,R_Scores!$C$5:$C$44,"Paper condition",R_Scores!L$5:L$44,R_Scores!L14),"")</f>
        <v/>
      </c>
      <c r="CV14" s="1" t="str">
        <f aca="false">IF(AND(R_Scores!$B14=2,OR(R_Scores!$C14="Tool condition",R_Scores!$C14="Paper condition"),ISNUMBER(R_Scores!L14)),(COUNTIFS(R_Scores!$B$5:$B$44,2,R_Scores!$C$5:$C$44,"Tool condition",R_Scores!L$5:L$44,R_Scores!L14)+COUNTIFS(R_Scores!$B$5:$B$44,2,R_Scores!$C$5:$C$44,"Paper condition",R_Scores!L$5:L$44,R_Scores!L14))^2-1,"")</f>
        <v/>
      </c>
      <c r="CW14" s="1" t="str">
        <f aca="false">IF(ISNUMBER(R_Scores!L14),R_Scores!L14^2,"")</f>
        <v/>
      </c>
      <c r="CX14" s="1" t="str">
        <f aca="false">IF(AND(R_Scores!$B14=1,R_Scores!$C14="Tool condition",ISNUMBER(R_Scores!M14)),COUNTIFS(R_Scores!$B$5:$B$44,1,R_Scores!$C$5:$C$44,"Paper condition",R_Scores!M$5:M$44,"&lt;"&amp;R_Scores!M14)+0.5*COUNTIFS(R_Scores!$B$5:$B$44,1,R_Scores!$C$5:$C$44,"Paper condition",R_Scores!M$5:M$44,R_Scores!M14),"")</f>
        <v/>
      </c>
      <c r="CY14" s="1" t="str">
        <f aca="false">IF(AND(R_Scores!$B14=1,OR(R_Scores!$C14="Tool condition",R_Scores!$C14="Paper condition"),ISNUMBER(R_Scores!M14)),(COUNTIFS(R_Scores!$B$5:$B$44,1,R_Scores!$C$5:$C$44,"Tool condition",R_Scores!M$5:M$44,R_Scores!M14)+COUNTIFS(R_Scores!$B$5:$B$44,1,R_Scores!$C$5:$C$44,"Paper condition",R_Scores!M$5:M$44,R_Scores!M14))^2-1,"")</f>
        <v/>
      </c>
      <c r="CZ14" s="1" t="str">
        <f aca="false">IF(AND(R_Scores!$B14=2,R_Scores!$C14="Tool condition",ISNUMBER(R_Scores!M14)),COUNTIFS(R_Scores!$B$5:$B$44,2,R_Scores!$C$5:$C$44,"Paper condition",R_Scores!M$5:M$44,"&lt;"&amp;R_Scores!M14)+0.5*COUNTIFS(R_Scores!$B$5:$B$44,2,R_Scores!$C$5:$C$44,"Paper condition",R_Scores!M$5:M$44,R_Scores!M14),"")</f>
        <v/>
      </c>
      <c r="DA14" s="1" t="str">
        <f aca="false">IF(AND(R_Scores!$B14=2,OR(R_Scores!$C14="Tool condition",R_Scores!$C14="Paper condition"),ISNUMBER(R_Scores!M14)),(COUNTIFS(R_Scores!$B$5:$B$44,2,R_Scores!$C$5:$C$44,"Tool condition",R_Scores!M$5:M$44,R_Scores!M14)+COUNTIFS(R_Scores!$B$5:$B$44,2,R_Scores!$C$5:$C$44,"Paper condition",R_Scores!M$5:M$44,R_Scores!M14))^2-1,"")</f>
        <v/>
      </c>
      <c r="DB14" s="1" t="str">
        <f aca="false">IF(ISNUMBER(R_Scores!M14),R_Scores!M14^2,"")</f>
        <v/>
      </c>
      <c r="DC14" s="1" t="n">
        <f aca="false">IF(AND(R_Scores!$B14=1,R_Scores!$C14="Tool condition",ISNUMBER(R_Scores!N14)),COUNTIFS(R_Scores!$B$5:$B$44,1,R_Scores!$C$5:$C$44,"Paper condition",R_Scores!N$5:N$44,"&lt;"&amp;R_Scores!N14)+0.5*COUNTIFS(R_Scores!$B$5:$B$44,1,R_Scores!$C$5:$C$44,"Paper condition",R_Scores!N$5:N$44,R_Scores!N14),"")</f>
        <v>8</v>
      </c>
      <c r="DD14" s="1" t="n">
        <f aca="false">IF(AND(R_Scores!$B14=1,OR(R_Scores!$C14="Tool condition",R_Scores!$C14="Paper condition"),ISNUMBER(R_Scores!N14)),(COUNTIFS(R_Scores!$B$5:$B$44,1,R_Scores!$C$5:$C$44,"Tool condition",R_Scores!N$5:N$44,R_Scores!N14)+COUNTIFS(R_Scores!$B$5:$B$44,1,R_Scores!$C$5:$C$44,"Paper condition",R_Scores!N$5:N$44,R_Scores!N14))^2-1,"")</f>
        <v>143</v>
      </c>
      <c r="DE14" s="1" t="str">
        <f aca="false">IF(AND(R_Scores!$B14=2,R_Scores!$C14="Tool condition",ISNUMBER(R_Scores!N14)),COUNTIFS(R_Scores!$B$5:$B$44,2,R_Scores!$C$5:$C$44,"Paper condition",R_Scores!N$5:N$44,"&lt;"&amp;R_Scores!N14)+0.5*COUNTIFS(R_Scores!$B$5:$B$44,2,R_Scores!$C$5:$C$44,"Paper condition",R_Scores!N$5:N$44,R_Scores!N14),"")</f>
        <v/>
      </c>
      <c r="DF14" s="1" t="str">
        <f aca="false">IF(AND(R_Scores!$B14=2,OR(R_Scores!$C14="Tool condition",R_Scores!$C14="Paper condition"),ISNUMBER(R_Scores!N14)),(COUNTIFS(R_Scores!$B$5:$B$44,2,R_Scores!$C$5:$C$44,"Tool condition",R_Scores!N$5:N$44,R_Scores!N14)+COUNTIFS(R_Scores!$B$5:$B$44,2,R_Scores!$C$5:$C$44,"Paper condition",R_Scores!N$5:N$44,R_Scores!N14))^2-1,"")</f>
        <v/>
      </c>
      <c r="DG14" s="1" t="n">
        <f aca="false">IF(ISNUMBER(R_Scores!N14),R_Scores!N14^2,"")</f>
        <v>1</v>
      </c>
      <c r="DH14" s="1" t="n">
        <f aca="false">IF(AND(R_Scores!$B14=1,R_Scores!$C14="Tool condition",ISNUMBER(R_Scores!O14)),COUNTIFS(R_Scores!$B$5:$B$44,1,R_Scores!$C$5:$C$44,"Paper condition",R_Scores!O$5:O$44,"&lt;"&amp;R_Scores!O14)+0.5*COUNTIFS(R_Scores!$B$5:$B$44,1,R_Scores!$C$5:$C$44,"Paper condition",R_Scores!O$5:O$44,R_Scores!O14),"")</f>
        <v>2.5</v>
      </c>
      <c r="DI14" s="1" t="n">
        <f aca="false">IF(AND(R_Scores!$B14=1,OR(R_Scores!$C14="Tool condition",R_Scores!$C14="Paper condition"),ISNUMBER(R_Scores!O14)),(COUNTIFS(R_Scores!$B$5:$B$44,1,R_Scores!$C$5:$C$44,"Tool condition",R_Scores!O$5:O$44,R_Scores!O14)+COUNTIFS(R_Scores!$B$5:$B$44,1,R_Scores!$C$5:$C$44,"Paper condition",R_Scores!O$5:O$44,R_Scores!O14))^2-1,"")</f>
        <v>48</v>
      </c>
      <c r="DJ14" s="1" t="str">
        <f aca="false">IF(AND(R_Scores!$B14=2,R_Scores!$C14="Tool condition",ISNUMBER(R_Scores!O14)),COUNTIFS(R_Scores!$B$5:$B$44,2,R_Scores!$C$5:$C$44,"Paper condition",R_Scores!O$5:O$44,"&lt;"&amp;R_Scores!O14)+0.5*COUNTIFS(R_Scores!$B$5:$B$44,2,R_Scores!$C$5:$C$44,"Paper condition",R_Scores!O$5:O$44,R_Scores!O14),"")</f>
        <v/>
      </c>
      <c r="DK14" s="1" t="str">
        <f aca="false">IF(AND(R_Scores!$B14=2,OR(R_Scores!$C14="Tool condition",R_Scores!$C14="Paper condition"),ISNUMBER(R_Scores!O14)),(COUNTIFS(R_Scores!$B$5:$B$44,2,R_Scores!$C$5:$C$44,"Tool condition",R_Scores!O$5:O$44,R_Scores!O14)+COUNTIFS(R_Scores!$B$5:$B$44,2,R_Scores!$C$5:$C$44,"Paper condition",R_Scores!O$5:O$44,R_Scores!O14))^2-1,"")</f>
        <v/>
      </c>
      <c r="DL14" s="1" t="n">
        <f aca="false">IF(ISNUMBER(R_Scores!O14),R_Scores!O14^2,"")</f>
        <v>0</v>
      </c>
      <c r="DM14" s="1" t="n">
        <f aca="false">IF(AND(R_Scores!$B14=1,R_Scores!$C14="Tool condition",ISNUMBER(R_Scores!P14)),COUNTIFS(R_Scores!$B$5:$B$44,1,R_Scores!$C$5:$C$44,"Paper condition",R_Scores!P$5:P$44,"&lt;"&amp;R_Scores!P14)+0.5*COUNTIFS(R_Scores!$B$5:$B$44,1,R_Scores!$C$5:$C$44,"Paper condition",R_Scores!P$5:P$44,R_Scores!P14),"")</f>
        <v>8.5</v>
      </c>
      <c r="DN14" s="1" t="n">
        <f aca="false">IF(AND(R_Scores!$B14=1,OR(R_Scores!$C14="Tool condition",R_Scores!$C14="Paper condition"),ISNUMBER(R_Scores!P14)),(COUNTIFS(R_Scores!$B$5:$B$44,1,R_Scores!$C$5:$C$44,"Tool condition",R_Scores!P$5:P$44,R_Scores!P14)+COUNTIFS(R_Scores!$B$5:$B$44,1,R_Scores!$C$5:$C$44,"Paper condition",R_Scores!P$5:P$44,R_Scores!P14))^2-1,"")</f>
        <v>120</v>
      </c>
      <c r="DO14" s="1" t="str">
        <f aca="false">IF(AND(R_Scores!$B14=2,R_Scores!$C14="Tool condition",ISNUMBER(R_Scores!P14)),COUNTIFS(R_Scores!$B$5:$B$44,2,R_Scores!$C$5:$C$44,"Paper condition",R_Scores!P$5:P$44,"&lt;"&amp;R_Scores!P14)+0.5*COUNTIFS(R_Scores!$B$5:$B$44,2,R_Scores!$C$5:$C$44,"Paper condition",R_Scores!P$5:P$44,R_Scores!P14),"")</f>
        <v/>
      </c>
      <c r="DP14" s="1" t="str">
        <f aca="false">IF(AND(R_Scores!$B14=2,OR(R_Scores!$C14="Tool condition",R_Scores!$C14="Paper condition"),ISNUMBER(R_Scores!P14)),(COUNTIFS(R_Scores!$B$5:$B$44,2,R_Scores!$C$5:$C$44,"Tool condition",R_Scores!P$5:P$44,R_Scores!P14)+COUNTIFS(R_Scores!$B$5:$B$44,2,R_Scores!$C$5:$C$44,"Paper condition",R_Scores!P$5:P$44,R_Scores!P14))^2-1,"")</f>
        <v/>
      </c>
      <c r="DQ14" s="1" t="n">
        <f aca="false">IF(ISNUMBER(R_Scores!P14),R_Scores!P14^2,"")</f>
        <v>1</v>
      </c>
      <c r="DR14" s="1" t="n">
        <f aca="false">IF(AND(Scores!$B14=1,Scores!$C14="Tool condition",ISNUMBER(Scores!Q14)),COUNTIFS(Scores!$B$5:$B$44,1,Scores!$C$5:$C$44,"Paper condition",Scores!Q$5:Q$44,"&lt;"&amp;Scores!Q14)+0.5*COUNTIFS(Scores!$B$5:$B$44,1,Scores!$C$5:$C$44,"Paper condition",Scores!Q$5:Q$44,Scores!Q14),"")</f>
        <v>10</v>
      </c>
      <c r="DS14" s="1" t="n">
        <f aca="false">IF(AND(Scores!$B14=1,OR(Scores!$C14="Tool condition",Scores!$C14="Paper condition"),ISNUMBER(Scores!Q14)),(COUNTIFS(Scores!$B$5:$B$44,1,Scores!$C$5:$C$44,"Tool condition",Scores!Q$5:Q$44,Scores!Q14)+COUNTIFS(Scores!$B$5:$B$44,1,Scores!$C$5:$C$44,"Paper condition",Scores!Q$5:Q$44,Scores!Q14))^2-1,"")</f>
        <v>99</v>
      </c>
      <c r="DT14" s="1" t="str">
        <f aca="false">IF(AND(Scores!$B14=2,Scores!$C14="Tool condition",ISNUMBER(Scores!Q14)),COUNTIFS(Scores!$B$5:$B$44,2,Scores!$C$5:$C$44,"Paper condition",Scores!Q$5:Q$44,"&lt;"&amp;Scores!Q14)+0.5*COUNTIFS(Scores!$B$5:$B$44,2,Scores!$C$5:$C$44,"Paper condition",Scores!Q$5:Q$44,Scores!Q14),"")</f>
        <v/>
      </c>
      <c r="DU14" s="1" t="str">
        <f aca="false">IF(AND(Scores!$B14=2,OR(Scores!$C14="Tool condition",Scores!$C14="Paper condition"),ISNUMBER(Scores!Q14)),(COUNTIFS(Scores!$B$5:$B$44,2,Scores!$C$5:$C$44,"Tool condition",Scores!Q$5:Q$44,Scores!Q14)+COUNTIFS(Scores!$B$5:$B$44,2,Scores!$C$5:$C$44,"Paper condition",Scores!Q$5:Q$44,Scores!Q14))^2-1,"")</f>
        <v/>
      </c>
      <c r="DV14" s="1" t="n">
        <f aca="false">IF(ISNUMBER(Scores!Q14),Scores!Q14^2,"")</f>
        <v>576</v>
      </c>
      <c r="DW14" s="1" t="n">
        <f aca="false">IF(AND(Scores!$B14=1,Scores!$C14="Tool condition",ISNUMBER(Scores!R14)),COUNTIFS(Scores!$B$5:$B$44,1,Scores!$C$5:$C$44,"Paper condition",Scores!R$5:R$44,"&lt;"&amp;Scores!R14)+0.5*COUNTIFS(Scores!$B$5:$B$44,1,Scores!$C$5:$C$44,"Paper condition",Scores!R$5:R$44,Scores!R14),"")</f>
        <v>9.5</v>
      </c>
      <c r="DX14" s="1" t="n">
        <f aca="false">IF(AND(Scores!$B14=1,OR(Scores!$C14="Tool condition",Scores!$C14="Paper condition"),ISNUMBER(Scores!R14)),(COUNTIFS(Scores!$B$5:$B$44,1,Scores!$C$5:$C$44,"Tool condition",Scores!R$5:R$44,Scores!R14)+COUNTIFS(Scores!$B$5:$B$44,1,Scores!$C$5:$C$44,"Paper condition",Scores!R$5:R$44,Scores!R14))^2-1,"")</f>
        <v>120</v>
      </c>
      <c r="DY14" s="1" t="str">
        <f aca="false">IF(AND(Scores!$B14=2,Scores!$C14="Tool condition",ISNUMBER(Scores!R14)),COUNTIFS(Scores!$B$5:$B$44,2,Scores!$C$5:$C$44,"Paper condition",Scores!R$5:R$44,"&lt;"&amp;Scores!R14)+0.5*COUNTIFS(Scores!$B$5:$B$44,2,Scores!$C$5:$C$44,"Paper condition",Scores!R$5:R$44,Scores!R14),"")</f>
        <v/>
      </c>
      <c r="DZ14" s="1" t="str">
        <f aca="false">IF(AND(Scores!$B14=2,OR(Scores!$C14="Tool condition",Scores!$C14="Paper condition"),ISNUMBER(Scores!R14)),(COUNTIFS(Scores!$B$5:$B$44,2,Scores!$C$5:$C$44,"Tool condition",Scores!R$5:R$44,Scores!R14)+COUNTIFS(Scores!$B$5:$B$44,2,Scores!$C$5:$C$44,"Paper condition",Scores!R$5:R$44,Scores!R14))^2-1,"")</f>
        <v/>
      </c>
      <c r="EA14" s="1" t="n">
        <f aca="false">IF(ISNUMBER(Scores!R14),Scores!R14^2,"")</f>
        <v>196</v>
      </c>
      <c r="EB14" s="1" t="n">
        <f aca="false">IF(AND(Scores!$B14=1,Scores!$C14="Tool condition",ISNUMBER(Scores!S14)),COUNTIFS(Scores!$B$5:$B$44,1,Scores!$C$5:$C$44,"Paper condition",Scores!S$5:S$44,"&lt;"&amp;Scores!S14)+0.5*COUNTIFS(Scores!$B$5:$B$44,1,Scores!$C$5:$C$44,"Paper condition",Scores!S$5:S$44,Scores!S14),"")</f>
        <v>9</v>
      </c>
      <c r="EC14" s="1" t="n">
        <f aca="false">IF(AND(Scores!$B14=1,OR(Scores!$C14="Tool condition",Scores!$C14="Paper condition"),ISNUMBER(Scores!S14)),(COUNTIFS(Scores!$B$5:$B$44,1,Scores!$C$5:$C$44,"Tool condition",Scores!S$5:S$44,Scores!S14)+COUNTIFS(Scores!$B$5:$B$44,1,Scores!$C$5:$C$44,"Paper condition",Scores!S$5:S$44,Scores!S14))^2-1,"")</f>
        <v>143</v>
      </c>
      <c r="ED14" s="1" t="str">
        <f aca="false">IF(AND(Scores!$B14=2,Scores!$C14="Tool condition",ISNUMBER(Scores!S14)),COUNTIFS(Scores!$B$5:$B$44,2,Scores!$C$5:$C$44,"Paper condition",Scores!S$5:S$44,"&lt;"&amp;Scores!S14)+0.5*COUNTIFS(Scores!$B$5:$B$44,2,Scores!$C$5:$C$44,"Paper condition",Scores!S$5:S$44,Scores!S14),"")</f>
        <v/>
      </c>
      <c r="EE14" s="1" t="str">
        <f aca="false">IF(AND(Scores!$B14=2,OR(Scores!$C14="Tool condition",Scores!$C14="Paper condition"),ISNUMBER(Scores!S14)),(COUNTIFS(Scores!$B$5:$B$44,2,Scores!$C$5:$C$44,"Tool condition",Scores!S$5:S$44,Scores!S14)+COUNTIFS(Scores!$B$5:$B$44,2,Scores!$C$5:$C$44,"Paper condition",Scores!S$5:S$44,Scores!S14))^2-1,"")</f>
        <v/>
      </c>
      <c r="EF14" s="1" t="n">
        <f aca="false">IF(ISNUMBER(Scores!S14),Scores!S14^2,"")</f>
        <v>100</v>
      </c>
      <c r="EG14" s="1" t="n">
        <f aca="false">IF(AND(Scores!$B14=1,Scores!$C14="Tool condition",ISNUMBER(Scores!T14)),COUNTIFS(Scores!$B$5:$B$44,1,Scores!$C$5:$C$44,"Paper condition",Scores!T$5:T$44,"&lt;"&amp;Scores!T14)+0.5*COUNTIFS(Scores!$B$5:$B$44,1,Scores!$C$5:$C$44,"Paper condition",Scores!T$5:T$44,Scores!T14),"")</f>
        <v>8.5</v>
      </c>
      <c r="EH14" s="1" t="n">
        <f aca="false">IF(AND(Scores!$B14=1,OR(Scores!$C14="Tool condition",Scores!$C14="Paper condition"),ISNUMBER(Scores!T14)),(COUNTIFS(Scores!$B$5:$B$44,1,Scores!$C$5:$C$44,"Tool condition",Scores!T$5:T$44,Scores!T14)+COUNTIFS(Scores!$B$5:$B$44,1,Scores!$C$5:$C$44,"Paper condition",Scores!T$5:T$44,Scores!T14))^2-1,"")</f>
        <v>168</v>
      </c>
      <c r="EI14" s="1" t="str">
        <f aca="false">IF(AND(Scores!$B14=2,Scores!$C14="Tool condition",ISNUMBER(Scores!T14)),COUNTIFS(Scores!$B$5:$B$44,2,Scores!$C$5:$C$44,"Paper condition",Scores!T$5:T$44,"&lt;"&amp;Scores!T14)+0.5*COUNTIFS(Scores!$B$5:$B$44,2,Scores!$C$5:$C$44,"Paper condition",Scores!T$5:T$44,Scores!T14),"")</f>
        <v/>
      </c>
      <c r="EJ14" s="1" t="str">
        <f aca="false">IF(AND(Scores!$B14=2,OR(Scores!$C14="Tool condition",Scores!$C14="Paper condition"),ISNUMBER(Scores!T14)),(COUNTIFS(Scores!$B$5:$B$44,2,Scores!$C$5:$C$44,"Tool condition",Scores!T$5:T$44,Scores!T14)+COUNTIFS(Scores!$B$5:$B$44,2,Scores!$C$5:$C$44,"Paper condition",Scores!T$5:T$44,Scores!T14))^2-1,"")</f>
        <v/>
      </c>
      <c r="EK14" s="1" t="n">
        <f aca="false">IF(ISNUMBER(Scores!T14),Scores!T14^2,"")</f>
        <v>64</v>
      </c>
      <c r="EL14" s="1" t="n">
        <f aca="false">IF(AND(Scores!$B14=1,Scores!$C14="Tool condition",ISNUMBER(Scores!U14)),COUNTIFS(Scores!$B$5:$B$44,1,Scores!$C$5:$C$44,"Paper condition",Scores!U$5:U$44,"&lt;"&amp;Scores!U14)+0.5*COUNTIFS(Scores!$B$5:$B$44,1,Scores!$C$5:$C$44,"Paper condition",Scores!U$5:U$44,Scores!U14),"")</f>
        <v>8.5</v>
      </c>
      <c r="EM14" s="1" t="n">
        <f aca="false">IF(AND(Scores!$B14=1,OR(Scores!$C14="Tool condition",Scores!$C14="Paper condition"),ISNUMBER(Scores!U14)),(COUNTIFS(Scores!$B$5:$B$44,1,Scores!$C$5:$C$44,"Tool condition",Scores!U$5:U$44,Scores!U14)+COUNTIFS(Scores!$B$5:$B$44,1,Scores!$C$5:$C$44,"Paper condition",Scores!U$5:U$44,Scores!U14))^2-1,"")</f>
        <v>168</v>
      </c>
      <c r="EN14" s="1" t="str">
        <f aca="false">IF(AND(Scores!$B14=2,Scores!$C14="Tool condition",ISNUMBER(Scores!U14)),COUNTIFS(Scores!$B$5:$B$44,2,Scores!$C$5:$C$44,"Paper condition",Scores!U$5:U$44,"&lt;"&amp;Scores!U14)+0.5*COUNTIFS(Scores!$B$5:$B$44,2,Scores!$C$5:$C$44,"Paper condition",Scores!U$5:U$44,Scores!U14),"")</f>
        <v/>
      </c>
      <c r="EO14" s="1" t="str">
        <f aca="false">IF(AND(Scores!$B14=2,OR(Scores!$C14="Tool condition",Scores!$C14="Paper condition"),ISNUMBER(Scores!U14)),(COUNTIFS(Scores!$B$5:$B$44,2,Scores!$C$5:$C$44,"Tool condition",Scores!U$5:U$44,Scores!U14)+COUNTIFS(Scores!$B$5:$B$44,2,Scores!$C$5:$C$44,"Paper condition",Scores!U$5:U$44,Scores!U14))^2-1,"")</f>
        <v/>
      </c>
      <c r="EP14" s="1" t="n">
        <f aca="false">IF(ISNUMBER(Scores!U14),Scores!U14^2,"")</f>
        <v>36</v>
      </c>
      <c r="EQ14" s="1" t="n">
        <f aca="false">IF(AND(Scores!$B14=1,Scores!$C14="Tool condition",ISNUMBER(Scores!V14)),COUNTIFS(Scores!$B$5:$B$44,1,Scores!$C$5:$C$44,"Paper condition",Scores!V$5:V$44,"&lt;"&amp;Scores!V14)+0.5*COUNTIFS(Scores!$B$5:$B$44,1,Scores!$C$5:$C$44,"Paper condition",Scores!V$5:V$44,Scores!V14),"")</f>
        <v>10</v>
      </c>
      <c r="ER14" s="1" t="n">
        <f aca="false">IF(AND(Scores!$B14=1,OR(Scores!$C14="Tool condition",Scores!$C14="Paper condition"),ISNUMBER(Scores!V14)),(COUNTIFS(Scores!$B$5:$B$44,1,Scores!$C$5:$C$44,"Tool condition",Scores!V$5:V$44,Scores!V14)+COUNTIFS(Scores!$B$5:$B$44,1,Scores!$C$5:$C$44,"Paper condition",Scores!V$5:V$44,Scores!V14))^2-1,"")</f>
        <v>99</v>
      </c>
      <c r="ES14" s="1" t="str">
        <f aca="false">IF(AND(Scores!$B14=2,Scores!$C14="Tool condition",ISNUMBER(Scores!V14)),COUNTIFS(Scores!$B$5:$B$44,2,Scores!$C$5:$C$44,"Paper condition",Scores!V$5:V$44,"&lt;"&amp;Scores!V14)+0.5*COUNTIFS(Scores!$B$5:$B$44,2,Scores!$C$5:$C$44,"Paper condition",Scores!V$5:V$44,Scores!V14),"")</f>
        <v/>
      </c>
      <c r="ET14" s="1" t="str">
        <f aca="false">IF(AND(Scores!$B14=2,OR(Scores!$C14="Tool condition",Scores!$C14="Paper condition"),ISNUMBER(Scores!V14)),(COUNTIFS(Scores!$B$5:$B$44,2,Scores!$C$5:$C$44,"Tool condition",Scores!V$5:V$44,Scores!V14)+COUNTIFS(Scores!$B$5:$B$44,2,Scores!$C$5:$C$44,"Paper condition",Scores!V$5:V$44,Scores!V14))^2-1,"")</f>
        <v/>
      </c>
      <c r="EU14" s="1" t="n">
        <f aca="false">IF(ISNUMBER(Scores!V14),Scores!V14^2,"")</f>
        <v>100</v>
      </c>
      <c r="EV14" s="1" t="n">
        <f aca="false">IF(AND(R_Scores!$B14=1,R_Scores!$C14="Tool condition",ISNUMBER(R_Scores!Q14)),COUNTIFS(R_Scores!$B$5:$B$44,1,R_Scores!$C$5:$C$44,"Paper condition",R_Scores!Q$5:Q$44,"&lt;"&amp;R_Scores!Q14)+0.5*COUNTIFS(R_Scores!$B$5:$B$44,1,R_Scores!$C$5:$C$44,"Paper condition",R_Scores!Q$5:Q$44,R_Scores!Q14),"")</f>
        <v>6</v>
      </c>
      <c r="EW14" s="1" t="n">
        <f aca="false">IF(AND(R_Scores!$B14=1,OR(R_Scores!$C14="Tool condition",R_Scores!$C14="Paper condition"),ISNUMBER(R_Scores!Q14)),(COUNTIFS(R_Scores!$B$5:$B$44,1,R_Scores!$C$5:$C$44,"Tool condition",R_Scores!Q$5:Q$44,R_Scores!Q14)+COUNTIFS(R_Scores!$B$5:$B$44,1,R_Scores!$C$5:$C$44,"Paper condition",R_Scores!Q$5:Q$44,R_Scores!Q14))^2-1,"")</f>
        <v>8</v>
      </c>
      <c r="EX14" s="1" t="str">
        <f aca="false">IF(AND(R_Scores!$B14=2,R_Scores!$C14="Tool condition",ISNUMBER(R_Scores!Q14)),COUNTIFS(R_Scores!$B$5:$B$44,2,R_Scores!$C$5:$C$44,"Paper condition",R_Scores!Q$5:Q$44,"&lt;"&amp;R_Scores!Q14)+0.5*COUNTIFS(R_Scores!$B$5:$B$44,2,R_Scores!$C$5:$C$44,"Paper condition",R_Scores!Q$5:Q$44,R_Scores!Q14),"")</f>
        <v/>
      </c>
      <c r="EY14" s="1" t="str">
        <f aca="false">IF(AND(R_Scores!$B14=2,OR(R_Scores!$C14="Tool condition",R_Scores!$C14="Paper condition"),ISNUMBER(R_Scores!Q14)),(COUNTIFS(R_Scores!$B$5:$B$44,2,R_Scores!$C$5:$C$44,"Tool condition",R_Scores!Q$5:Q$44,R_Scores!Q14)+COUNTIFS(R_Scores!$B$5:$B$44,2,R_Scores!$C$5:$C$44,"Paper condition",R_Scores!Q$5:Q$44,R_Scores!Q14))^2-1,"")</f>
        <v/>
      </c>
      <c r="EZ14" s="1" t="n">
        <f aca="false">IF(ISNUMBER(R_Scores!Q14),R_Scores!Q14^2,"")</f>
        <v>25</v>
      </c>
      <c r="FA14" s="1" t="n">
        <f aca="false">IF(AND(R_Scores!$B14=1,R_Scores!$C14="Tool condition",ISNUMBER(R_Scores!R14)),COUNTIFS(R_Scores!$B$5:$B$44,1,R_Scores!$C$5:$C$44,"Paper condition",R_Scores!R$5:R$44,"&lt;"&amp;R_Scores!R14)+0.5*COUNTIFS(R_Scores!$B$5:$B$44,1,R_Scores!$C$5:$C$44,"Paper condition",R_Scores!R$5:R$44,R_Scores!R14),"")</f>
        <v>9</v>
      </c>
      <c r="FB14" s="1" t="n">
        <f aca="false">IF(AND(R_Scores!$B14=1,OR(R_Scores!$C14="Tool condition",R_Scores!$C14="Paper condition"),ISNUMBER(R_Scores!R14)),(COUNTIFS(R_Scores!$B$5:$B$44,1,R_Scores!$C$5:$C$44,"Tool condition",R_Scores!R$5:R$44,R_Scores!R14)+COUNTIFS(R_Scores!$B$5:$B$44,1,R_Scores!$C$5:$C$44,"Paper condition",R_Scores!R$5:R$44,R_Scores!R14))^2-1,"")</f>
        <v>24</v>
      </c>
      <c r="FC14" s="1" t="str">
        <f aca="false">IF(AND(R_Scores!$B14=2,R_Scores!$C14="Tool condition",ISNUMBER(R_Scores!R14)),COUNTIFS(R_Scores!$B$5:$B$44,2,R_Scores!$C$5:$C$44,"Paper condition",R_Scores!R$5:R$44,"&lt;"&amp;R_Scores!R14)+0.5*COUNTIFS(R_Scores!$B$5:$B$44,2,R_Scores!$C$5:$C$44,"Paper condition",R_Scores!R$5:R$44,R_Scores!R14),"")</f>
        <v/>
      </c>
      <c r="FD14" s="1" t="str">
        <f aca="false">IF(AND(R_Scores!$B14=2,OR(R_Scores!$C14="Tool condition",R_Scores!$C14="Paper condition"),ISNUMBER(R_Scores!R14)),(COUNTIFS(R_Scores!$B$5:$B$44,2,R_Scores!$C$5:$C$44,"Tool condition",R_Scores!R$5:R$44,R_Scores!R14)+COUNTIFS(R_Scores!$B$5:$B$44,2,R_Scores!$C$5:$C$44,"Paper condition",R_Scores!R$5:R$44,R_Scores!R14))^2-1,"")</f>
        <v/>
      </c>
      <c r="FE14" s="1" t="n">
        <f aca="false">IF(ISNUMBER(R_Scores!R14),R_Scores!R14^2,"")</f>
        <v>841</v>
      </c>
    </row>
    <row r="15" customFormat="false" ht="14.25" hidden="false" customHeight="true" outlineLevel="0" collapsed="false">
      <c r="B15" s="1" t="str">
        <f aca="false">IF(AND(Scores!$B15=1,Scores!$C15="Tool condition",ISNUMBER(Scores!E15)),COUNTIFS(Scores!$B$5:$B$44,1,Scores!$C$5:$C$44,"Paper condition",Scores!E$5:E$44,"&lt;"&amp;Scores!E15)+0.5*COUNTIFS(Scores!$B$5:$B$44,1,Scores!$C$5:$C$44,"Paper condition",Scores!E$5:E$44,Scores!E15),"")</f>
        <v/>
      </c>
      <c r="C15" s="1" t="n">
        <f aca="false">IF(AND(Scores!$B15=1,OR(Scores!$C15="Tool condition",Scores!$C15="Paper condition"),ISNUMBER(Scores!E15)),(COUNTIFS(Scores!$B$5:$B$44,1,Scores!$C$5:$C$44,"Tool condition",Scores!E$5:E$44,Scores!E15)+COUNTIFS(Scores!$B$5:$B$44,1,Scores!$C$5:$C$44,"Paper condition",Scores!E$5:E$44,Scores!E15))^2-1,"")</f>
        <v>255</v>
      </c>
      <c r="D15" s="1" t="str">
        <f aca="false">IF(AND(Scores!$B15=2,Scores!$C15="Tool condition",ISNUMBER(Scores!E15)),COUNTIFS(Scores!$B$5:$B$44,2,Scores!$C$5:$C$44,"Paper condition",Scores!E$5:E$44,"&lt;"&amp;Scores!E15)+0.5*COUNTIFS(Scores!$B$5:$B$44,2,Scores!$C$5:$C$44,"Paper condition",Scores!E$5:E$44,Scores!E15),"")</f>
        <v/>
      </c>
      <c r="E15" s="1" t="str">
        <f aca="false">IF(AND(Scores!$B15=2,OR(Scores!$C15="Tool condition",Scores!$C15="Paper condition"),ISNUMBER(Scores!E15)),(COUNTIFS(Scores!$B$5:$B$44,2,Scores!$C$5:$C$44,"Tool condition",Scores!E$5:E$44,Scores!E15)+COUNTIFS(Scores!$B$5:$B$44,2,Scores!$C$5:$C$44,"Paper condition",Scores!E$5:E$44,Scores!E15))^2-1,"")</f>
        <v/>
      </c>
      <c r="F15" s="1" t="n">
        <f aca="false">IF(ISNUMBER(Scores!E15),Scores!E15^2,"")</f>
        <v>4</v>
      </c>
      <c r="G15" s="1" t="str">
        <f aca="false">IF(AND(Scores!$B15=1,Scores!$C15="Tool condition",ISNUMBER(Scores!F15)),COUNTIFS(Scores!$B$5:$B$44,1,Scores!$C$5:$C$44,"Paper condition",Scores!F$5:F$44,"&lt;"&amp;Scores!F15)+0.5*COUNTIFS(Scores!$B$5:$B$44,1,Scores!$C$5:$C$44,"Paper condition",Scores!F$5:F$44,Scores!F15),"")</f>
        <v/>
      </c>
      <c r="H15" s="1" t="n">
        <f aca="false">IF(AND(Scores!$B15=1,OR(Scores!$C15="Tool condition",Scores!$C15="Paper condition"),ISNUMBER(Scores!F15)),(COUNTIFS(Scores!$B$5:$B$44,1,Scores!$C$5:$C$44,"Tool condition",Scores!F$5:F$44,Scores!F15)+COUNTIFS(Scores!$B$5:$B$44,1,Scores!$C$5:$C$44,"Paper condition",Scores!F$5:F$44,Scores!F15))^2-1,"")</f>
        <v>24</v>
      </c>
      <c r="I15" s="1" t="str">
        <f aca="false">IF(AND(Scores!$B15=2,Scores!$C15="Tool condition",ISNUMBER(Scores!F15)),COUNTIFS(Scores!$B$5:$B$44,2,Scores!$C$5:$C$44,"Paper condition",Scores!F$5:F$44,"&lt;"&amp;Scores!F15)+0.5*COUNTIFS(Scores!$B$5:$B$44,2,Scores!$C$5:$C$44,"Paper condition",Scores!F$5:F$44,Scores!F15),"")</f>
        <v/>
      </c>
      <c r="J15" s="1" t="str">
        <f aca="false">IF(AND(Scores!$B15=2,OR(Scores!$C15="Tool condition",Scores!$C15="Paper condition"),ISNUMBER(Scores!F15)),(COUNTIFS(Scores!$B$5:$B$44,2,Scores!$C$5:$C$44,"Tool condition",Scores!F$5:F$44,Scores!F15)+COUNTIFS(Scores!$B$5:$B$44,2,Scores!$C$5:$C$44,"Paper condition",Scores!F$5:F$44,Scores!F15))^2-1,"")</f>
        <v/>
      </c>
      <c r="K15" s="1" t="n">
        <f aca="false">IF(ISNUMBER(Scores!F15),Scores!F15^2,"")</f>
        <v>1</v>
      </c>
      <c r="L15" s="1" t="str">
        <f aca="false">IF(AND(Scores!$B15=1,Scores!$C15="Tool condition",ISNUMBER(Scores!G15)),COUNTIFS(Scores!$B$5:$B$44,1,Scores!$C$5:$C$44,"Paper condition",Scores!G$5:G$44,"&lt;"&amp;Scores!G15)+0.5*COUNTIFS(Scores!$B$5:$B$44,1,Scores!$C$5:$C$44,"Paper condition",Scores!G$5:G$44,Scores!G15),"")</f>
        <v/>
      </c>
      <c r="M15" s="1" t="n">
        <f aca="false">IF(AND(Scores!$B15=1,OR(Scores!$C15="Tool condition",Scores!$C15="Paper condition"),ISNUMBER(Scores!G15)),(COUNTIFS(Scores!$B$5:$B$44,1,Scores!$C$5:$C$44,"Tool condition",Scores!G$5:G$44,Scores!G15)+COUNTIFS(Scores!$B$5:$B$44,1,Scores!$C$5:$C$44,"Paper condition",Scores!G$5:G$44,Scores!G15))^2-1,"")</f>
        <v>288</v>
      </c>
      <c r="N15" s="1" t="str">
        <f aca="false">IF(AND(Scores!$B15=2,Scores!$C15="Tool condition",ISNUMBER(Scores!G15)),COUNTIFS(Scores!$B$5:$B$44,2,Scores!$C$5:$C$44,"Paper condition",Scores!G$5:G$44,"&lt;"&amp;Scores!G15)+0.5*COUNTIFS(Scores!$B$5:$B$44,2,Scores!$C$5:$C$44,"Paper condition",Scores!G$5:G$44,Scores!G15),"")</f>
        <v/>
      </c>
      <c r="O15" s="1" t="str">
        <f aca="false">IF(AND(Scores!$B15=2,OR(Scores!$C15="Tool condition",Scores!$C15="Paper condition"),ISNUMBER(Scores!G15)),(COUNTIFS(Scores!$B$5:$B$44,2,Scores!$C$5:$C$44,"Tool condition",Scores!G$5:G$44,Scores!G15)+COUNTIFS(Scores!$B$5:$B$44,2,Scores!$C$5:$C$44,"Paper condition",Scores!G$5:G$44,Scores!G15))^2-1,"")</f>
        <v/>
      </c>
      <c r="P15" s="1" t="n">
        <f aca="false">IF(ISNUMBER(Scores!G15),Scores!G15^2,"")</f>
        <v>4</v>
      </c>
      <c r="Q15" s="1" t="str">
        <f aca="false">IF(AND(Scores!$B15=1,Scores!$C15="Tool condition",ISNUMBER(Scores!H15)),COUNTIFS(Scores!$B$5:$B$44,1,Scores!$C$5:$C$44,"Paper condition",Scores!H$5:H$44,"&lt;"&amp;Scores!H15)+0.5*COUNTIFS(Scores!$B$5:$B$44,1,Scores!$C$5:$C$44,"Paper condition",Scores!H$5:H$44,Scores!H15),"")</f>
        <v/>
      </c>
      <c r="R15" s="1" t="n">
        <f aca="false">IF(AND(Scores!$B15=1,OR(Scores!$C15="Tool condition",Scores!$C15="Paper condition"),ISNUMBER(Scores!H15)),(COUNTIFS(Scores!$B$5:$B$44,1,Scores!$C$5:$C$44,"Tool condition",Scores!H$5:H$44,Scores!H15)+COUNTIFS(Scores!$B$5:$B$44,1,Scores!$C$5:$C$44,"Paper condition",Scores!H$5:H$44,Scores!H15))^2-1,"")</f>
        <v>255</v>
      </c>
      <c r="S15" s="1" t="str">
        <f aca="false">IF(AND(Scores!$B15=2,Scores!$C15="Tool condition",ISNUMBER(Scores!H15)),COUNTIFS(Scores!$B$5:$B$44,2,Scores!$C$5:$C$44,"Paper condition",Scores!H$5:H$44,"&lt;"&amp;Scores!H15)+0.5*COUNTIFS(Scores!$B$5:$B$44,2,Scores!$C$5:$C$44,"Paper condition",Scores!H$5:H$44,Scores!H15),"")</f>
        <v/>
      </c>
      <c r="T15" s="1" t="str">
        <f aca="false">IF(AND(Scores!$B15=2,OR(Scores!$C15="Tool condition",Scores!$C15="Paper condition"),ISNUMBER(Scores!H15)),(COUNTIFS(Scores!$B$5:$B$44,2,Scores!$C$5:$C$44,"Tool condition",Scores!H$5:H$44,Scores!H15)+COUNTIFS(Scores!$B$5:$B$44,2,Scores!$C$5:$C$44,"Paper condition",Scores!H$5:H$44,Scores!H15))^2-1,"")</f>
        <v/>
      </c>
      <c r="U15" s="1" t="n">
        <f aca="false">IF(ISNUMBER(Scores!H15),Scores!H15^2,"")</f>
        <v>4</v>
      </c>
      <c r="V15" s="1" t="str">
        <f aca="false">IF(AND(Scores!$B15=1,Scores!$C15="Tool condition",ISNUMBER(Scores!I15)),COUNTIFS(Scores!$B$5:$B$44,1,Scores!$C$5:$C$44,"Paper condition",Scores!I$5:I$44,"&lt;"&amp;Scores!I15)+0.5*COUNTIFS(Scores!$B$5:$B$44,1,Scores!$C$5:$C$44,"Paper condition",Scores!I$5:I$44,Scores!I15),"")</f>
        <v/>
      </c>
      <c r="W15" s="1" t="n">
        <f aca="false">IF(AND(Scores!$B15=1,OR(Scores!$C15="Tool condition",Scores!$C15="Paper condition"),ISNUMBER(Scores!I15)),(COUNTIFS(Scores!$B$5:$B$44,1,Scores!$C$5:$C$44,"Tool condition",Scores!I$5:I$44,Scores!I15)+COUNTIFS(Scores!$B$5:$B$44,1,Scores!$C$5:$C$44,"Paper condition",Scores!I$5:I$44,Scores!I15))^2-1,"")</f>
        <v>15</v>
      </c>
      <c r="X15" s="1" t="str">
        <f aca="false">IF(AND(Scores!$B15=2,Scores!$C15="Tool condition",ISNUMBER(Scores!I15)),COUNTIFS(Scores!$B$5:$B$44,2,Scores!$C$5:$C$44,"Paper condition",Scores!I$5:I$44,"&lt;"&amp;Scores!I15)+0.5*COUNTIFS(Scores!$B$5:$B$44,2,Scores!$C$5:$C$44,"Paper condition",Scores!I$5:I$44,Scores!I15),"")</f>
        <v/>
      </c>
      <c r="Y15" s="1" t="str">
        <f aca="false">IF(AND(Scores!$B15=2,OR(Scores!$C15="Tool condition",Scores!$C15="Paper condition"),ISNUMBER(Scores!I15)),(COUNTIFS(Scores!$B$5:$B$44,2,Scores!$C$5:$C$44,"Tool condition",Scores!I$5:I$44,Scores!I15)+COUNTIFS(Scores!$B$5:$B$44,2,Scores!$C$5:$C$44,"Paper condition",Scores!I$5:I$44,Scores!I15))^2-1,"")</f>
        <v/>
      </c>
      <c r="Z15" s="1" t="n">
        <f aca="false">IF(ISNUMBER(Scores!I15),Scores!I15^2,"")</f>
        <v>1</v>
      </c>
      <c r="AA15" s="1" t="str">
        <f aca="false">IF(AND(Scores!$B15=1,Scores!$C15="Tool condition",ISNUMBER(Scores!J15)),COUNTIFS(Scores!$B$5:$B$44,1,Scores!$C$5:$C$44,"Paper condition",Scores!J$5:J$44,"&lt;"&amp;Scores!J15)+0.5*COUNTIFS(Scores!$B$5:$B$44,1,Scores!$C$5:$C$44,"Paper condition",Scores!J$5:J$44,Scores!J15),"")</f>
        <v/>
      </c>
      <c r="AB15" s="1" t="n">
        <f aca="false">IF(AND(Scores!$B15=1,OR(Scores!$C15="Tool condition",Scores!$C15="Paper condition"),ISNUMBER(Scores!J15)),(COUNTIFS(Scores!$B$5:$B$44,1,Scores!$C$5:$C$44,"Tool condition",Scores!J$5:J$44,Scores!J15)+COUNTIFS(Scores!$B$5:$B$44,1,Scores!$C$5:$C$44,"Paper condition",Scores!J$5:J$44,Scores!J15))^2-1,"")</f>
        <v>224</v>
      </c>
      <c r="AC15" s="1" t="str">
        <f aca="false">IF(AND(Scores!$B15=2,Scores!$C15="Tool condition",ISNUMBER(Scores!J15)),COUNTIFS(Scores!$B$5:$B$44,2,Scores!$C$5:$C$44,"Paper condition",Scores!J$5:J$44,"&lt;"&amp;Scores!J15)+0.5*COUNTIFS(Scores!$B$5:$B$44,2,Scores!$C$5:$C$44,"Paper condition",Scores!J$5:J$44,Scores!J15),"")</f>
        <v/>
      </c>
      <c r="AD15" s="1" t="str">
        <f aca="false">IF(AND(Scores!$B15=2,OR(Scores!$C15="Tool condition",Scores!$C15="Paper condition"),ISNUMBER(Scores!J15)),(COUNTIFS(Scores!$B$5:$B$44,2,Scores!$C$5:$C$44,"Tool condition",Scores!J$5:J$44,Scores!J15)+COUNTIFS(Scores!$B$5:$B$44,2,Scores!$C$5:$C$44,"Paper condition",Scores!J$5:J$44,Scores!J15))^2-1,"")</f>
        <v/>
      </c>
      <c r="AE15" s="1" t="n">
        <f aca="false">IF(ISNUMBER(Scores!J15),Scores!J15^2,"")</f>
        <v>4</v>
      </c>
      <c r="AF15" s="1" t="str">
        <f aca="false">IF(AND(Scores!$B15=1,Scores!$C15="Tool condition",ISNUMBER(Scores!K15)),COUNTIFS(Scores!$B$5:$B$44,1,Scores!$C$5:$C$44,"Paper condition",Scores!K$5:K$44,"&lt;"&amp;Scores!K15)+0.5*COUNTIFS(Scores!$B$5:$B$44,1,Scores!$C$5:$C$44,"Paper condition",Scores!K$5:K$44,Scores!K15),"")</f>
        <v/>
      </c>
      <c r="AG15" s="1" t="n">
        <f aca="false">IF(AND(Scores!$B15=1,OR(Scores!$C15="Tool condition",Scores!$C15="Paper condition"),ISNUMBER(Scores!K15)),(COUNTIFS(Scores!$B$5:$B$44,1,Scores!$C$5:$C$44,"Tool condition",Scores!K$5:K$44,Scores!K15)+COUNTIFS(Scores!$B$5:$B$44,1,Scores!$C$5:$C$44,"Paper condition",Scores!K$5:K$44,Scores!K15))^2-1,"")</f>
        <v>15</v>
      </c>
      <c r="AH15" s="1" t="str">
        <f aca="false">IF(AND(Scores!$B15=2,Scores!$C15="Tool condition",ISNUMBER(Scores!K15)),COUNTIFS(Scores!$B$5:$B$44,2,Scores!$C$5:$C$44,"Paper condition",Scores!K$5:K$44,"&lt;"&amp;Scores!K15)+0.5*COUNTIFS(Scores!$B$5:$B$44,2,Scores!$C$5:$C$44,"Paper condition",Scores!K$5:K$44,Scores!K15),"")</f>
        <v/>
      </c>
      <c r="AI15" s="1" t="str">
        <f aca="false">IF(AND(Scores!$B15=2,OR(Scores!$C15="Tool condition",Scores!$C15="Paper condition"),ISNUMBER(Scores!K15)),(COUNTIFS(Scores!$B$5:$B$44,2,Scores!$C$5:$C$44,"Tool condition",Scores!K$5:K$44,Scores!K15)+COUNTIFS(Scores!$B$5:$B$44,2,Scores!$C$5:$C$44,"Paper condition",Scores!K$5:K$44,Scores!K15))^2-1,"")</f>
        <v/>
      </c>
      <c r="AJ15" s="1" t="n">
        <f aca="false">IF(ISNUMBER(Scores!K15),Scores!K15^2,"")</f>
        <v>1</v>
      </c>
      <c r="AK15" s="1" t="str">
        <f aca="false">IF(AND(Scores!$B15=1,Scores!$C15="Tool condition",ISNUMBER(Scores!L15)),COUNTIFS(Scores!$B$5:$B$44,1,Scores!$C$5:$C$44,"Paper condition",Scores!L$5:L$44,"&lt;"&amp;Scores!L15)+0.5*COUNTIFS(Scores!$B$5:$B$44,1,Scores!$C$5:$C$44,"Paper condition",Scores!L$5:L$44,Scores!L15),"")</f>
        <v/>
      </c>
      <c r="AL15" s="1" t="n">
        <f aca="false">IF(AND(Scores!$B15=1,OR(Scores!$C15="Tool condition",Scores!$C15="Paper condition"),ISNUMBER(Scores!L15)),(COUNTIFS(Scores!$B$5:$B$44,1,Scores!$C$5:$C$44,"Tool condition",Scores!L$5:L$44,Scores!L15)+COUNTIFS(Scores!$B$5:$B$44,1,Scores!$C$5:$C$44,"Paper condition",Scores!L$5:L$44,Scores!L15))^2-1,"")</f>
        <v>288</v>
      </c>
      <c r="AM15" s="1" t="str">
        <f aca="false">IF(AND(Scores!$B15=2,Scores!$C15="Tool condition",ISNUMBER(Scores!L15)),COUNTIFS(Scores!$B$5:$B$44,2,Scores!$C$5:$C$44,"Paper condition",Scores!L$5:L$44,"&lt;"&amp;Scores!L15)+0.5*COUNTIFS(Scores!$B$5:$B$44,2,Scores!$C$5:$C$44,"Paper condition",Scores!L$5:L$44,Scores!L15),"")</f>
        <v/>
      </c>
      <c r="AN15" s="1" t="str">
        <f aca="false">IF(AND(Scores!$B15=2,OR(Scores!$C15="Tool condition",Scores!$C15="Paper condition"),ISNUMBER(Scores!L15)),(COUNTIFS(Scores!$B$5:$B$44,2,Scores!$C$5:$C$44,"Tool condition",Scores!L$5:L$44,Scores!L15)+COUNTIFS(Scores!$B$5:$B$44,2,Scores!$C$5:$C$44,"Paper condition",Scores!L$5:L$44,Scores!L15))^2-1,"")</f>
        <v/>
      </c>
      <c r="AO15" s="1" t="n">
        <f aca="false">IF(ISNUMBER(Scores!L15),Scores!L15^2,"")</f>
        <v>4</v>
      </c>
      <c r="AP15" s="1" t="str">
        <f aca="false">IF(AND(Scores!$B15=1,Scores!$C15="Tool condition",ISNUMBER(Scores!M15)),COUNTIFS(Scores!$B$5:$B$44,1,Scores!$C$5:$C$44,"Paper condition",Scores!M$5:M$44,"&lt;"&amp;Scores!M15)+0.5*COUNTIFS(Scores!$B$5:$B$44,1,Scores!$C$5:$C$44,"Paper condition",Scores!M$5:M$44,Scores!M15),"")</f>
        <v/>
      </c>
      <c r="AQ15" s="1" t="n">
        <f aca="false">IF(AND(Scores!$B15=1,OR(Scores!$C15="Tool condition",Scores!$C15="Paper condition"),ISNUMBER(Scores!M15)),(COUNTIFS(Scores!$B$5:$B$44,1,Scores!$C$5:$C$44,"Tool condition",Scores!M$5:M$44,Scores!M15)+COUNTIFS(Scores!$B$5:$B$44,1,Scores!$C$5:$C$44,"Paper condition",Scores!M$5:M$44,Scores!M15))^2-1,"")</f>
        <v>288</v>
      </c>
      <c r="AR15" s="1" t="str">
        <f aca="false">IF(AND(Scores!$B15=2,Scores!$C15="Tool condition",ISNUMBER(Scores!M15)),COUNTIFS(Scores!$B$5:$B$44,2,Scores!$C$5:$C$44,"Paper condition",Scores!M$5:M$44,"&lt;"&amp;Scores!M15)+0.5*COUNTIFS(Scores!$B$5:$B$44,2,Scores!$C$5:$C$44,"Paper condition",Scores!M$5:M$44,Scores!M15),"")</f>
        <v/>
      </c>
      <c r="AS15" s="1" t="str">
        <f aca="false">IF(AND(Scores!$B15=2,OR(Scores!$C15="Tool condition",Scores!$C15="Paper condition"),ISNUMBER(Scores!M15)),(COUNTIFS(Scores!$B$5:$B$44,2,Scores!$C$5:$C$44,"Tool condition",Scores!M$5:M$44,Scores!M15)+COUNTIFS(Scores!$B$5:$B$44,2,Scores!$C$5:$C$44,"Paper condition",Scores!M$5:M$44,Scores!M15))^2-1,"")</f>
        <v/>
      </c>
      <c r="AT15" s="1" t="n">
        <f aca="false">IF(ISNUMBER(Scores!M15),Scores!M15^2,"")</f>
        <v>4</v>
      </c>
      <c r="AU15" s="1" t="str">
        <f aca="false">IF(AND(Scores!$B15=1,Scores!$C15="Tool condition",ISNUMBER(Scores!N15)),COUNTIFS(Scores!$B$5:$B$44,1,Scores!$C$5:$C$44,"Paper condition",Scores!N$5:N$44,"&lt;"&amp;Scores!N15)+0.5*COUNTIFS(Scores!$B$5:$B$44,1,Scores!$C$5:$C$44,"Paper condition",Scores!N$5:N$44,Scores!N15),"")</f>
        <v/>
      </c>
      <c r="AV15" s="1" t="n">
        <f aca="false">IF(AND(Scores!$B15=1,OR(Scores!$C15="Tool condition",Scores!$C15="Paper condition"),ISNUMBER(Scores!N15)),(COUNTIFS(Scores!$B$5:$B$44,1,Scores!$C$5:$C$44,"Tool condition",Scores!N$5:N$44,Scores!N15)+COUNTIFS(Scores!$B$5:$B$44,1,Scores!$C$5:$C$44,"Paper condition",Scores!N$5:N$44,Scores!N15))^2-1,"")</f>
        <v>15</v>
      </c>
      <c r="AW15" s="1" t="str">
        <f aca="false">IF(AND(Scores!$B15=2,Scores!$C15="Tool condition",ISNUMBER(Scores!N15)),COUNTIFS(Scores!$B$5:$B$44,2,Scores!$C$5:$C$44,"Paper condition",Scores!N$5:N$44,"&lt;"&amp;Scores!N15)+0.5*COUNTIFS(Scores!$B$5:$B$44,2,Scores!$C$5:$C$44,"Paper condition",Scores!N$5:N$44,Scores!N15),"")</f>
        <v/>
      </c>
      <c r="AX15" s="1" t="str">
        <f aca="false">IF(AND(Scores!$B15=2,OR(Scores!$C15="Tool condition",Scores!$C15="Paper condition"),ISNUMBER(Scores!N15)),(COUNTIFS(Scores!$B$5:$B$44,2,Scores!$C$5:$C$44,"Tool condition",Scores!N$5:N$44,Scores!N15)+COUNTIFS(Scores!$B$5:$B$44,2,Scores!$C$5:$C$44,"Paper condition",Scores!N$5:N$44,Scores!N15))^2-1,"")</f>
        <v/>
      </c>
      <c r="AY15" s="1" t="n">
        <f aca="false">IF(ISNUMBER(Scores!N15),Scores!N15^2,"")</f>
        <v>1</v>
      </c>
      <c r="AZ15" s="1" t="str">
        <f aca="false">IF(AND(Scores!$B15=1,Scores!$C15="Tool condition",ISNUMBER(Scores!O15)),COUNTIFS(Scores!$B$5:$B$44,1,Scores!$C$5:$C$44,"Paper condition",Scores!O$5:O$44,"&lt;"&amp;Scores!O15)+0.5*COUNTIFS(Scores!$B$5:$B$44,1,Scores!$C$5:$C$44,"Paper condition",Scores!O$5:O$44,Scores!O15),"")</f>
        <v/>
      </c>
      <c r="BA15" s="1" t="n">
        <f aca="false">IF(AND(Scores!$B15=1,OR(Scores!$C15="Tool condition",Scores!$C15="Paper condition"),ISNUMBER(Scores!O15)),(COUNTIFS(Scores!$B$5:$B$44,1,Scores!$C$5:$C$44,"Tool condition",Scores!O$5:O$44,Scores!O15)+COUNTIFS(Scores!$B$5:$B$44,1,Scores!$C$5:$C$44,"Paper condition",Scores!O$5:O$44,Scores!O15))^2-1,"")</f>
        <v>224</v>
      </c>
      <c r="BB15" s="1" t="str">
        <f aca="false">IF(AND(Scores!$B15=2,Scores!$C15="Tool condition",ISNUMBER(Scores!O15)),COUNTIFS(Scores!$B$5:$B$44,2,Scores!$C$5:$C$44,"Paper condition",Scores!O$5:O$44,"&lt;"&amp;Scores!O15)+0.5*COUNTIFS(Scores!$B$5:$B$44,2,Scores!$C$5:$C$44,"Paper condition",Scores!O$5:O$44,Scores!O15),"")</f>
        <v/>
      </c>
      <c r="BC15" s="1" t="str">
        <f aca="false">IF(AND(Scores!$B15=2,OR(Scores!$C15="Tool condition",Scores!$C15="Paper condition"),ISNUMBER(Scores!O15)),(COUNTIFS(Scores!$B$5:$B$44,2,Scores!$C$5:$C$44,"Tool condition",Scores!O$5:O$44,Scores!O15)+COUNTIFS(Scores!$B$5:$B$44,2,Scores!$C$5:$C$44,"Paper condition",Scores!O$5:O$44,Scores!O15))^2-1,"")</f>
        <v/>
      </c>
      <c r="BD15" s="1" t="n">
        <f aca="false">IF(ISNUMBER(Scores!O15),Scores!O15^2,"")</f>
        <v>4</v>
      </c>
      <c r="BE15" s="1" t="str">
        <f aca="false">IF(AND(Scores!$B15=1,Scores!$C15="Tool condition",ISNUMBER(Scores!P15)),COUNTIFS(Scores!$B$5:$B$44,1,Scores!$C$5:$C$44,"Paper condition",Scores!P$5:P$44,"&lt;"&amp;Scores!P15)+0.5*COUNTIFS(Scores!$B$5:$B$44,1,Scores!$C$5:$C$44,"Paper condition",Scores!P$5:P$44,Scores!P15),"")</f>
        <v/>
      </c>
      <c r="BF15" s="1" t="n">
        <f aca="false">IF(AND(Scores!$B15=1,OR(Scores!$C15="Tool condition",Scores!$C15="Paper condition"),ISNUMBER(Scores!P15)),(COUNTIFS(Scores!$B$5:$B$44,1,Scores!$C$5:$C$44,"Tool condition",Scores!P$5:P$44,Scores!P15)+COUNTIFS(Scores!$B$5:$B$44,1,Scores!$C$5:$C$44,"Paper condition",Scores!P$5:P$44,Scores!P15))^2-1,"")</f>
        <v>35</v>
      </c>
      <c r="BG15" s="1" t="str">
        <f aca="false">IF(AND(Scores!$B15=2,Scores!$C15="Tool condition",ISNUMBER(Scores!P15)),COUNTIFS(Scores!$B$5:$B$44,2,Scores!$C$5:$C$44,"Paper condition",Scores!P$5:P$44,"&lt;"&amp;Scores!P15)+0.5*COUNTIFS(Scores!$B$5:$B$44,2,Scores!$C$5:$C$44,"Paper condition",Scores!P$5:P$44,Scores!P15),"")</f>
        <v/>
      </c>
      <c r="BH15" s="1" t="str">
        <f aca="false">IF(AND(Scores!$B15=2,OR(Scores!$C15="Tool condition",Scores!$C15="Paper condition"),ISNUMBER(Scores!P15)),(COUNTIFS(Scores!$B$5:$B$44,2,Scores!$C$5:$C$44,"Tool condition",Scores!P$5:P$44,Scores!P15)+COUNTIFS(Scores!$B$5:$B$44,2,Scores!$C$5:$C$44,"Paper condition",Scores!P$5:P$44,Scores!P15))^2-1,"")</f>
        <v/>
      </c>
      <c r="BI15" s="1" t="n">
        <f aca="false">IF(ISNUMBER(Scores!P15),Scores!P15^2,"")</f>
        <v>1</v>
      </c>
      <c r="BJ15" s="1" t="str">
        <f aca="false">IF(AND(R_Scores!$B15=1,R_Scores!$C15="Tool condition",ISNUMBER(R_Scores!E15)),COUNTIFS(R_Scores!$B$5:$B$44,1,R_Scores!$C$5:$C$44,"Paper condition",R_Scores!E$5:E$44,"&lt;"&amp;R_Scores!E15)+0.5*COUNTIFS(R_Scores!$B$5:$B$44,1,R_Scores!$C$5:$C$44,"Paper condition",R_Scores!E$5:E$44,R_Scores!E15),"")</f>
        <v/>
      </c>
      <c r="BK15" s="1" t="n">
        <f aca="false">IF(AND(R_Scores!$B15=1,OR(R_Scores!$C15="Tool condition",R_Scores!$C15="Paper condition"),ISNUMBER(R_Scores!E15)),(COUNTIFS(R_Scores!$B$5:$B$44,1,R_Scores!$C$5:$C$44,"Tool condition",R_Scores!E$5:E$44,R_Scores!E15)+COUNTIFS(R_Scores!$B$5:$B$44,1,R_Scores!$C$5:$C$44,"Paper condition",R_Scores!E$5:E$44,R_Scores!E15))^2-1,"")</f>
        <v>224</v>
      </c>
      <c r="BL15" s="1" t="str">
        <f aca="false">IF(AND(R_Scores!$B15=2,R_Scores!$C15="Tool condition",ISNUMBER(R_Scores!E15)),COUNTIFS(R_Scores!$B$5:$B$44,2,R_Scores!$C$5:$C$44,"Paper condition",R_Scores!E$5:E$44,"&lt;"&amp;R_Scores!E15)+0.5*COUNTIFS(R_Scores!$B$5:$B$44,2,R_Scores!$C$5:$C$44,"Paper condition",R_Scores!E$5:E$44,R_Scores!E15),"")</f>
        <v/>
      </c>
      <c r="BM15" s="1" t="str">
        <f aca="false">IF(AND(R_Scores!$B15=2,OR(R_Scores!$C15="Tool condition",R_Scores!$C15="Paper condition"),ISNUMBER(R_Scores!E15)),(COUNTIFS(R_Scores!$B$5:$B$44,2,R_Scores!$C$5:$C$44,"Tool condition",R_Scores!E$5:E$44,R_Scores!E15)+COUNTIFS(R_Scores!$B$5:$B$44,2,R_Scores!$C$5:$C$44,"Paper condition",R_Scores!E$5:E$44,R_Scores!E15))^2-1,"")</f>
        <v/>
      </c>
      <c r="BN15" s="1" t="n">
        <f aca="false">IF(ISNUMBER(R_Scores!E15),R_Scores!E15^2,"")</f>
        <v>1</v>
      </c>
      <c r="BO15" s="1" t="str">
        <f aca="false">IF(AND(R_Scores!$B15=1,R_Scores!$C15="Tool condition",ISNUMBER(R_Scores!F15)),COUNTIFS(R_Scores!$B$5:$B$44,1,R_Scores!$C$5:$C$44,"Paper condition",R_Scores!F$5:F$44,"&lt;"&amp;R_Scores!F15)+0.5*COUNTIFS(R_Scores!$B$5:$B$44,1,R_Scores!$C$5:$C$44,"Paper condition",R_Scores!F$5:F$44,R_Scores!F15),"")</f>
        <v/>
      </c>
      <c r="BP15" s="1" t="n">
        <f aca="false">IF(AND(R_Scores!$B15=1,OR(R_Scores!$C15="Tool condition",R_Scores!$C15="Paper condition"),ISNUMBER(R_Scores!F15)),(COUNTIFS(R_Scores!$B$5:$B$44,1,R_Scores!$C$5:$C$44,"Tool condition",R_Scores!F$5:F$44,R_Scores!F15)+COUNTIFS(R_Scores!$B$5:$B$44,1,R_Scores!$C$5:$C$44,"Paper condition",R_Scores!F$5:F$44,R_Scores!F15))^2-1,"")</f>
        <v>195</v>
      </c>
      <c r="BQ15" s="1" t="str">
        <f aca="false">IF(AND(R_Scores!$B15=2,R_Scores!$C15="Tool condition",ISNUMBER(R_Scores!F15)),COUNTIFS(R_Scores!$B$5:$B$44,2,R_Scores!$C$5:$C$44,"Paper condition",R_Scores!F$5:F$44,"&lt;"&amp;R_Scores!F15)+0.5*COUNTIFS(R_Scores!$B$5:$B$44,2,R_Scores!$C$5:$C$44,"Paper condition",R_Scores!F$5:F$44,R_Scores!F15),"")</f>
        <v/>
      </c>
      <c r="BR15" s="1" t="str">
        <f aca="false">IF(AND(R_Scores!$B15=2,OR(R_Scores!$C15="Tool condition",R_Scores!$C15="Paper condition"),ISNUMBER(R_Scores!F15)),(COUNTIFS(R_Scores!$B$5:$B$44,2,R_Scores!$C$5:$C$44,"Tool condition",R_Scores!F$5:F$44,R_Scores!F15)+COUNTIFS(R_Scores!$B$5:$B$44,2,R_Scores!$C$5:$C$44,"Paper condition",R_Scores!F$5:F$44,R_Scores!F15))^2-1,"")</f>
        <v/>
      </c>
      <c r="BS15" s="1" t="n">
        <f aca="false">IF(ISNUMBER(R_Scores!F15),R_Scores!F15^2,"")</f>
        <v>1</v>
      </c>
      <c r="BT15" s="1" t="str">
        <f aca="false">IF(AND(R_Scores!$B15=1,R_Scores!$C15="Tool condition",ISNUMBER(R_Scores!G15)),COUNTIFS(R_Scores!$B$5:$B$44,1,R_Scores!$C$5:$C$44,"Paper condition",R_Scores!G$5:G$44,"&lt;"&amp;R_Scores!G15)+0.5*COUNTIFS(R_Scores!$B$5:$B$44,1,R_Scores!$C$5:$C$44,"Paper condition",R_Scores!G$5:G$44,R_Scores!G15),"")</f>
        <v/>
      </c>
      <c r="BU15" s="1" t="str">
        <f aca="false">IF(AND(R_Scores!$B15=1,OR(R_Scores!$C15="Tool condition",R_Scores!$C15="Paper condition"),ISNUMBER(R_Scores!G15)),(COUNTIFS(R_Scores!$B$5:$B$44,1,R_Scores!$C$5:$C$44,"Tool condition",R_Scores!G$5:G$44,R_Scores!G15)+COUNTIFS(R_Scores!$B$5:$B$44,1,R_Scores!$C$5:$C$44,"Paper condition",R_Scores!G$5:G$44,R_Scores!G15))^2-1,"")</f>
        <v/>
      </c>
      <c r="BV15" s="1" t="str">
        <f aca="false">IF(AND(R_Scores!$B15=2,R_Scores!$C15="Tool condition",ISNUMBER(R_Scores!G15)),COUNTIFS(R_Scores!$B$5:$B$44,2,R_Scores!$C$5:$C$44,"Paper condition",R_Scores!G$5:G$44,"&lt;"&amp;R_Scores!G15)+0.5*COUNTIFS(R_Scores!$B$5:$B$44,2,R_Scores!$C$5:$C$44,"Paper condition",R_Scores!G$5:G$44,R_Scores!G15),"")</f>
        <v/>
      </c>
      <c r="BW15" s="1" t="str">
        <f aca="false">IF(AND(R_Scores!$B15=2,OR(R_Scores!$C15="Tool condition",R_Scores!$C15="Paper condition"),ISNUMBER(R_Scores!G15)),(COUNTIFS(R_Scores!$B$5:$B$44,2,R_Scores!$C$5:$C$44,"Tool condition",R_Scores!G$5:G$44,R_Scores!G15)+COUNTIFS(R_Scores!$B$5:$B$44,2,R_Scores!$C$5:$C$44,"Paper condition",R_Scores!G$5:G$44,R_Scores!G15))^2-1,"")</f>
        <v/>
      </c>
      <c r="BX15" s="1" t="str">
        <f aca="false">IF(ISNUMBER(R_Scores!G15),R_Scores!G15^2,"")</f>
        <v/>
      </c>
      <c r="BY15" s="1" t="str">
        <f aca="false">IF(AND(R_Scores!$B15=1,R_Scores!$C15="Tool condition",ISNUMBER(R_Scores!H15)),COUNTIFS(R_Scores!$B$5:$B$44,1,R_Scores!$C$5:$C$44,"Paper condition",R_Scores!H$5:H$44,"&lt;"&amp;R_Scores!H15)+0.5*COUNTIFS(R_Scores!$B$5:$B$44,1,R_Scores!$C$5:$C$44,"Paper condition",R_Scores!H$5:H$44,R_Scores!H15),"")</f>
        <v/>
      </c>
      <c r="BZ15" s="1" t="str">
        <f aca="false">IF(AND(R_Scores!$B15=1,OR(R_Scores!$C15="Tool condition",R_Scores!$C15="Paper condition"),ISNUMBER(R_Scores!H15)),(COUNTIFS(R_Scores!$B$5:$B$44,1,R_Scores!$C$5:$C$44,"Tool condition",R_Scores!H$5:H$44,R_Scores!H15)+COUNTIFS(R_Scores!$B$5:$B$44,1,R_Scores!$C$5:$C$44,"Paper condition",R_Scores!H$5:H$44,R_Scores!H15))^2-1,"")</f>
        <v/>
      </c>
      <c r="CA15" s="1" t="str">
        <f aca="false">IF(AND(R_Scores!$B15=2,R_Scores!$C15="Tool condition",ISNUMBER(R_Scores!H15)),COUNTIFS(R_Scores!$B$5:$B$44,2,R_Scores!$C$5:$C$44,"Paper condition",R_Scores!H$5:H$44,"&lt;"&amp;R_Scores!H15)+0.5*COUNTIFS(R_Scores!$B$5:$B$44,2,R_Scores!$C$5:$C$44,"Paper condition",R_Scores!H$5:H$44,R_Scores!H15),"")</f>
        <v/>
      </c>
      <c r="CB15" s="1" t="str">
        <f aca="false">IF(AND(R_Scores!$B15=2,OR(R_Scores!$C15="Tool condition",R_Scores!$C15="Paper condition"),ISNUMBER(R_Scores!H15)),(COUNTIFS(R_Scores!$B$5:$B$44,2,R_Scores!$C$5:$C$44,"Tool condition",R_Scores!H$5:H$44,R_Scores!H15)+COUNTIFS(R_Scores!$B$5:$B$44,2,R_Scores!$C$5:$C$44,"Paper condition",R_Scores!H$5:H$44,R_Scores!H15))^2-1,"")</f>
        <v/>
      </c>
      <c r="CC15" s="1" t="str">
        <f aca="false">IF(ISNUMBER(R_Scores!H15),R_Scores!H15^2,"")</f>
        <v/>
      </c>
      <c r="CD15" s="1" t="str">
        <f aca="false">IF(AND(R_Scores!$B15=1,R_Scores!$C15="Tool condition",ISNUMBER(R_Scores!I15)),COUNTIFS(R_Scores!$B$5:$B$44,1,R_Scores!$C$5:$C$44,"Paper condition",R_Scores!I$5:I$44,"&lt;"&amp;R_Scores!I15)+0.5*COUNTIFS(R_Scores!$B$5:$B$44,1,R_Scores!$C$5:$C$44,"Paper condition",R_Scores!I$5:I$44,R_Scores!I15),"")</f>
        <v/>
      </c>
      <c r="CE15" s="1" t="n">
        <f aca="false">IF(AND(R_Scores!$B15=1,OR(R_Scores!$C15="Tool condition",R_Scores!$C15="Paper condition"),ISNUMBER(R_Scores!I15)),(COUNTIFS(R_Scores!$B$5:$B$44,1,R_Scores!$C$5:$C$44,"Tool condition",R_Scores!I$5:I$44,R_Scores!I15)+COUNTIFS(R_Scores!$B$5:$B$44,1,R_Scores!$C$5:$C$44,"Paper condition",R_Scores!I$5:I$44,R_Scores!I15))^2-1,"")</f>
        <v>48</v>
      </c>
      <c r="CF15" s="1" t="str">
        <f aca="false">IF(AND(R_Scores!$B15=2,R_Scores!$C15="Tool condition",ISNUMBER(R_Scores!I15)),COUNTIFS(R_Scores!$B$5:$B$44,2,R_Scores!$C$5:$C$44,"Paper condition",R_Scores!I$5:I$44,"&lt;"&amp;R_Scores!I15)+0.5*COUNTIFS(R_Scores!$B$5:$B$44,2,R_Scores!$C$5:$C$44,"Paper condition",R_Scores!I$5:I$44,R_Scores!I15),"")</f>
        <v/>
      </c>
      <c r="CG15" s="1" t="str">
        <f aca="false">IF(AND(R_Scores!$B15=2,OR(R_Scores!$C15="Tool condition",R_Scores!$C15="Paper condition"),ISNUMBER(R_Scores!I15)),(COUNTIFS(R_Scores!$B$5:$B$44,2,R_Scores!$C$5:$C$44,"Tool condition",R_Scores!I$5:I$44,R_Scores!I15)+COUNTIFS(R_Scores!$B$5:$B$44,2,R_Scores!$C$5:$C$44,"Paper condition",R_Scores!I$5:I$44,R_Scores!I15))^2-1,"")</f>
        <v/>
      </c>
      <c r="CH15" s="1" t="n">
        <f aca="false">IF(ISNUMBER(R_Scores!I15),R_Scores!I15^2,"")</f>
        <v>0</v>
      </c>
      <c r="CI15" s="1" t="str">
        <f aca="false">IF(AND(R_Scores!$B15=1,R_Scores!$C15="Tool condition",ISNUMBER(R_Scores!J15)),COUNTIFS(R_Scores!$B$5:$B$44,1,R_Scores!$C$5:$C$44,"Paper condition",R_Scores!J$5:J$44,"&lt;"&amp;R_Scores!J15)+0.5*COUNTIFS(R_Scores!$B$5:$B$44,1,R_Scores!$C$5:$C$44,"Paper condition",R_Scores!J$5:J$44,R_Scores!J15),"")</f>
        <v/>
      </c>
      <c r="CJ15" s="1" t="n">
        <f aca="false">IF(AND(R_Scores!$B15=1,OR(R_Scores!$C15="Tool condition",R_Scores!$C15="Paper condition"),ISNUMBER(R_Scores!J15)),(COUNTIFS(R_Scores!$B$5:$B$44,1,R_Scores!$C$5:$C$44,"Tool condition",R_Scores!J$5:J$44,R_Scores!J15)+COUNTIFS(R_Scores!$B$5:$B$44,1,R_Scores!$C$5:$C$44,"Paper condition",R_Scores!J$5:J$44,R_Scores!J15))^2-1,"")</f>
        <v>224</v>
      </c>
      <c r="CK15" s="1" t="str">
        <f aca="false">IF(AND(R_Scores!$B15=2,R_Scores!$C15="Tool condition",ISNUMBER(R_Scores!J15)),COUNTIFS(R_Scores!$B$5:$B$44,2,R_Scores!$C$5:$C$44,"Paper condition",R_Scores!J$5:J$44,"&lt;"&amp;R_Scores!J15)+0.5*COUNTIFS(R_Scores!$B$5:$B$44,2,R_Scores!$C$5:$C$44,"Paper condition",R_Scores!J$5:J$44,R_Scores!J15),"")</f>
        <v/>
      </c>
      <c r="CL15" s="1" t="str">
        <f aca="false">IF(AND(R_Scores!$B15=2,OR(R_Scores!$C15="Tool condition",R_Scores!$C15="Paper condition"),ISNUMBER(R_Scores!J15)),(COUNTIFS(R_Scores!$B$5:$B$44,2,R_Scores!$C$5:$C$44,"Tool condition",R_Scores!J$5:J$44,R_Scores!J15)+COUNTIFS(R_Scores!$B$5:$B$44,2,R_Scores!$C$5:$C$44,"Paper condition",R_Scores!J$5:J$44,R_Scores!J15))^2-1,"")</f>
        <v/>
      </c>
      <c r="CM15" s="1" t="n">
        <f aca="false">IF(ISNUMBER(R_Scores!J15),R_Scores!J15^2,"")</f>
        <v>1</v>
      </c>
      <c r="CN15" s="1" t="str">
        <f aca="false">IF(AND(R_Scores!$B15=1,R_Scores!$C15="Tool condition",ISNUMBER(R_Scores!K15)),COUNTIFS(R_Scores!$B$5:$B$44,1,R_Scores!$C$5:$C$44,"Paper condition",R_Scores!K$5:K$44,"&lt;"&amp;R_Scores!K15)+0.5*COUNTIFS(R_Scores!$B$5:$B$44,1,R_Scores!$C$5:$C$44,"Paper condition",R_Scores!K$5:K$44,R_Scores!K15),"")</f>
        <v/>
      </c>
      <c r="CO15" s="1" t="str">
        <f aca="false">IF(AND(R_Scores!$B15=1,OR(R_Scores!$C15="Tool condition",R_Scores!$C15="Paper condition"),ISNUMBER(R_Scores!K15)),(COUNTIFS(R_Scores!$B$5:$B$44,1,R_Scores!$C$5:$C$44,"Tool condition",R_Scores!K$5:K$44,R_Scores!K15)+COUNTIFS(R_Scores!$B$5:$B$44,1,R_Scores!$C$5:$C$44,"Paper condition",R_Scores!K$5:K$44,R_Scores!K15))^2-1,"")</f>
        <v/>
      </c>
      <c r="CP15" s="1" t="str">
        <f aca="false">IF(AND(R_Scores!$B15=2,R_Scores!$C15="Tool condition",ISNUMBER(R_Scores!K15)),COUNTIFS(R_Scores!$B$5:$B$44,2,R_Scores!$C$5:$C$44,"Paper condition",R_Scores!K$5:K$44,"&lt;"&amp;R_Scores!K15)+0.5*COUNTIFS(R_Scores!$B$5:$B$44,2,R_Scores!$C$5:$C$44,"Paper condition",R_Scores!K$5:K$44,R_Scores!K15),"")</f>
        <v/>
      </c>
      <c r="CQ15" s="1" t="str">
        <f aca="false">IF(AND(R_Scores!$B15=2,OR(R_Scores!$C15="Tool condition",R_Scores!$C15="Paper condition"),ISNUMBER(R_Scores!K15)),(COUNTIFS(R_Scores!$B$5:$B$44,2,R_Scores!$C$5:$C$44,"Tool condition",R_Scores!K$5:K$44,R_Scores!K15)+COUNTIFS(R_Scores!$B$5:$B$44,2,R_Scores!$C$5:$C$44,"Paper condition",R_Scores!K$5:K$44,R_Scores!K15))^2-1,"")</f>
        <v/>
      </c>
      <c r="CR15" s="1" t="str">
        <f aca="false">IF(ISNUMBER(R_Scores!K15),R_Scores!K15^2,"")</f>
        <v/>
      </c>
      <c r="CS15" s="1" t="str">
        <f aca="false">IF(AND(R_Scores!$B15=1,R_Scores!$C15="Tool condition",ISNUMBER(R_Scores!L15)),COUNTIFS(R_Scores!$B$5:$B$44,1,R_Scores!$C$5:$C$44,"Paper condition",R_Scores!L$5:L$44,"&lt;"&amp;R_Scores!L15)+0.5*COUNTIFS(R_Scores!$B$5:$B$44,1,R_Scores!$C$5:$C$44,"Paper condition",R_Scores!L$5:L$44,R_Scores!L15),"")</f>
        <v/>
      </c>
      <c r="CT15" s="1" t="str">
        <f aca="false">IF(AND(R_Scores!$B15=1,OR(R_Scores!$C15="Tool condition",R_Scores!$C15="Paper condition"),ISNUMBER(R_Scores!L15)),(COUNTIFS(R_Scores!$B$5:$B$44,1,R_Scores!$C$5:$C$44,"Tool condition",R_Scores!L$5:L$44,R_Scores!L15)+COUNTIFS(R_Scores!$B$5:$B$44,1,R_Scores!$C$5:$C$44,"Paper condition",R_Scores!L$5:L$44,R_Scores!L15))^2-1,"")</f>
        <v/>
      </c>
      <c r="CU15" s="1" t="str">
        <f aca="false">IF(AND(R_Scores!$B15=2,R_Scores!$C15="Tool condition",ISNUMBER(R_Scores!L15)),COUNTIFS(R_Scores!$B$5:$B$44,2,R_Scores!$C$5:$C$44,"Paper condition",R_Scores!L$5:L$44,"&lt;"&amp;R_Scores!L15)+0.5*COUNTIFS(R_Scores!$B$5:$B$44,2,R_Scores!$C$5:$C$44,"Paper condition",R_Scores!L$5:L$44,R_Scores!L15),"")</f>
        <v/>
      </c>
      <c r="CV15" s="1" t="str">
        <f aca="false">IF(AND(R_Scores!$B15=2,OR(R_Scores!$C15="Tool condition",R_Scores!$C15="Paper condition"),ISNUMBER(R_Scores!L15)),(COUNTIFS(R_Scores!$B$5:$B$44,2,R_Scores!$C$5:$C$44,"Tool condition",R_Scores!L$5:L$44,R_Scores!L15)+COUNTIFS(R_Scores!$B$5:$B$44,2,R_Scores!$C$5:$C$44,"Paper condition",R_Scores!L$5:L$44,R_Scores!L15))^2-1,"")</f>
        <v/>
      </c>
      <c r="CW15" s="1" t="str">
        <f aca="false">IF(ISNUMBER(R_Scores!L15),R_Scores!L15^2,"")</f>
        <v/>
      </c>
      <c r="CX15" s="1" t="str">
        <f aca="false">IF(AND(R_Scores!$B15=1,R_Scores!$C15="Tool condition",ISNUMBER(R_Scores!M15)),COUNTIFS(R_Scores!$B$5:$B$44,1,R_Scores!$C$5:$C$44,"Paper condition",R_Scores!M$5:M$44,"&lt;"&amp;R_Scores!M15)+0.5*COUNTIFS(R_Scores!$B$5:$B$44,1,R_Scores!$C$5:$C$44,"Paper condition",R_Scores!M$5:M$44,R_Scores!M15),"")</f>
        <v/>
      </c>
      <c r="CY15" s="1" t="str">
        <f aca="false">IF(AND(R_Scores!$B15=1,OR(R_Scores!$C15="Tool condition",R_Scores!$C15="Paper condition"),ISNUMBER(R_Scores!M15)),(COUNTIFS(R_Scores!$B$5:$B$44,1,R_Scores!$C$5:$C$44,"Tool condition",R_Scores!M$5:M$44,R_Scores!M15)+COUNTIFS(R_Scores!$B$5:$B$44,1,R_Scores!$C$5:$C$44,"Paper condition",R_Scores!M$5:M$44,R_Scores!M15))^2-1,"")</f>
        <v/>
      </c>
      <c r="CZ15" s="1" t="str">
        <f aca="false">IF(AND(R_Scores!$B15=2,R_Scores!$C15="Tool condition",ISNUMBER(R_Scores!M15)),COUNTIFS(R_Scores!$B$5:$B$44,2,R_Scores!$C$5:$C$44,"Paper condition",R_Scores!M$5:M$44,"&lt;"&amp;R_Scores!M15)+0.5*COUNTIFS(R_Scores!$B$5:$B$44,2,R_Scores!$C$5:$C$44,"Paper condition",R_Scores!M$5:M$44,R_Scores!M15),"")</f>
        <v/>
      </c>
      <c r="DA15" s="1" t="str">
        <f aca="false">IF(AND(R_Scores!$B15=2,OR(R_Scores!$C15="Tool condition",R_Scores!$C15="Paper condition"),ISNUMBER(R_Scores!M15)),(COUNTIFS(R_Scores!$B$5:$B$44,2,R_Scores!$C$5:$C$44,"Tool condition",R_Scores!M$5:M$44,R_Scores!M15)+COUNTIFS(R_Scores!$B$5:$B$44,2,R_Scores!$C$5:$C$44,"Paper condition",R_Scores!M$5:M$44,R_Scores!M15))^2-1,"")</f>
        <v/>
      </c>
      <c r="DB15" s="1" t="str">
        <f aca="false">IF(ISNUMBER(R_Scores!M15),R_Scores!M15^2,"")</f>
        <v/>
      </c>
      <c r="DC15" s="1" t="str">
        <f aca="false">IF(AND(R_Scores!$B15=1,R_Scores!$C15="Tool condition",ISNUMBER(R_Scores!N15)),COUNTIFS(R_Scores!$B$5:$B$44,1,R_Scores!$C$5:$C$44,"Paper condition",R_Scores!N$5:N$44,"&lt;"&amp;R_Scores!N15)+0.5*COUNTIFS(R_Scores!$B$5:$B$44,1,R_Scores!$C$5:$C$44,"Paper condition",R_Scores!N$5:N$44,R_Scores!N15),"")</f>
        <v/>
      </c>
      <c r="DD15" s="1" t="n">
        <f aca="false">IF(AND(R_Scores!$B15=1,OR(R_Scores!$C15="Tool condition",R_Scores!$C15="Paper condition"),ISNUMBER(R_Scores!N15)),(COUNTIFS(R_Scores!$B$5:$B$44,1,R_Scores!$C$5:$C$44,"Tool condition",R_Scores!N$5:N$44,R_Scores!N15)+COUNTIFS(R_Scores!$B$5:$B$44,1,R_Scores!$C$5:$C$44,"Paper condition",R_Scores!N$5:N$44,R_Scores!N15))^2-1,"")</f>
        <v>63</v>
      </c>
      <c r="DE15" s="1" t="str">
        <f aca="false">IF(AND(R_Scores!$B15=2,R_Scores!$C15="Tool condition",ISNUMBER(R_Scores!N15)),COUNTIFS(R_Scores!$B$5:$B$44,2,R_Scores!$C$5:$C$44,"Paper condition",R_Scores!N$5:N$44,"&lt;"&amp;R_Scores!N15)+0.5*COUNTIFS(R_Scores!$B$5:$B$44,2,R_Scores!$C$5:$C$44,"Paper condition",R_Scores!N$5:N$44,R_Scores!N15),"")</f>
        <v/>
      </c>
      <c r="DF15" s="1" t="str">
        <f aca="false">IF(AND(R_Scores!$B15=2,OR(R_Scores!$C15="Tool condition",R_Scores!$C15="Paper condition"),ISNUMBER(R_Scores!N15)),(COUNTIFS(R_Scores!$B$5:$B$44,2,R_Scores!$C$5:$C$44,"Tool condition",R_Scores!N$5:N$44,R_Scores!N15)+COUNTIFS(R_Scores!$B$5:$B$44,2,R_Scores!$C$5:$C$44,"Paper condition",R_Scores!N$5:N$44,R_Scores!N15))^2-1,"")</f>
        <v/>
      </c>
      <c r="DG15" s="1" t="n">
        <f aca="false">IF(ISNUMBER(R_Scores!N15),R_Scores!N15^2,"")</f>
        <v>0</v>
      </c>
      <c r="DH15" s="1" t="str">
        <f aca="false">IF(AND(R_Scores!$B15=1,R_Scores!$C15="Tool condition",ISNUMBER(R_Scores!O15)),COUNTIFS(R_Scores!$B$5:$B$44,1,R_Scores!$C$5:$C$44,"Paper condition",R_Scores!O$5:O$44,"&lt;"&amp;R_Scores!O15)+0.5*COUNTIFS(R_Scores!$B$5:$B$44,1,R_Scores!$C$5:$C$44,"Paper condition",R_Scores!O$5:O$44,R_Scores!O15),"")</f>
        <v/>
      </c>
      <c r="DI15" s="1" t="n">
        <f aca="false">IF(AND(R_Scores!$B15=1,OR(R_Scores!$C15="Tool condition",R_Scores!$C15="Paper condition"),ISNUMBER(R_Scores!O15)),(COUNTIFS(R_Scores!$B$5:$B$44,1,R_Scores!$C$5:$C$44,"Tool condition",R_Scores!O$5:O$44,R_Scores!O15)+COUNTIFS(R_Scores!$B$5:$B$44,1,R_Scores!$C$5:$C$44,"Paper condition",R_Scores!O$5:O$44,R_Scores!O15))^2-1,"")</f>
        <v>168</v>
      </c>
      <c r="DJ15" s="1" t="str">
        <f aca="false">IF(AND(R_Scores!$B15=2,R_Scores!$C15="Tool condition",ISNUMBER(R_Scores!O15)),COUNTIFS(R_Scores!$B$5:$B$44,2,R_Scores!$C$5:$C$44,"Paper condition",R_Scores!O$5:O$44,"&lt;"&amp;R_Scores!O15)+0.5*COUNTIFS(R_Scores!$B$5:$B$44,2,R_Scores!$C$5:$C$44,"Paper condition",R_Scores!O$5:O$44,R_Scores!O15),"")</f>
        <v/>
      </c>
      <c r="DK15" s="1" t="str">
        <f aca="false">IF(AND(R_Scores!$B15=2,OR(R_Scores!$C15="Tool condition",R_Scores!$C15="Paper condition"),ISNUMBER(R_Scores!O15)),(COUNTIFS(R_Scores!$B$5:$B$44,2,R_Scores!$C$5:$C$44,"Tool condition",R_Scores!O$5:O$44,R_Scores!O15)+COUNTIFS(R_Scores!$B$5:$B$44,2,R_Scores!$C$5:$C$44,"Paper condition",R_Scores!O$5:O$44,R_Scores!O15))^2-1,"")</f>
        <v/>
      </c>
      <c r="DL15" s="1" t="n">
        <f aca="false">IF(ISNUMBER(R_Scores!O15),R_Scores!O15^2,"")</f>
        <v>1</v>
      </c>
      <c r="DM15" s="1" t="str">
        <f aca="false">IF(AND(R_Scores!$B15=1,R_Scores!$C15="Tool condition",ISNUMBER(R_Scores!P15)),COUNTIFS(R_Scores!$B$5:$B$44,1,R_Scores!$C$5:$C$44,"Paper condition",R_Scores!P$5:P$44,"&lt;"&amp;R_Scores!P15)+0.5*COUNTIFS(R_Scores!$B$5:$B$44,1,R_Scores!$C$5:$C$44,"Paper condition",R_Scores!P$5:P$44,R_Scores!P15),"")</f>
        <v/>
      </c>
      <c r="DN15" s="1" t="n">
        <f aca="false">IF(AND(R_Scores!$B15=1,OR(R_Scores!$C15="Tool condition",R_Scores!$C15="Paper condition"),ISNUMBER(R_Scores!P15)),(COUNTIFS(R_Scores!$B$5:$B$44,1,R_Scores!$C$5:$C$44,"Tool condition",R_Scores!P$5:P$44,R_Scores!P15)+COUNTIFS(R_Scores!$B$5:$B$44,1,R_Scores!$C$5:$C$44,"Paper condition",R_Scores!P$5:P$44,R_Scores!P15))^2-1,"")</f>
        <v>80</v>
      </c>
      <c r="DO15" s="1" t="str">
        <f aca="false">IF(AND(R_Scores!$B15=2,R_Scores!$C15="Tool condition",ISNUMBER(R_Scores!P15)),COUNTIFS(R_Scores!$B$5:$B$44,2,R_Scores!$C$5:$C$44,"Paper condition",R_Scores!P$5:P$44,"&lt;"&amp;R_Scores!P15)+0.5*COUNTIFS(R_Scores!$B$5:$B$44,2,R_Scores!$C$5:$C$44,"Paper condition",R_Scores!P$5:P$44,R_Scores!P15),"")</f>
        <v/>
      </c>
      <c r="DP15" s="1" t="str">
        <f aca="false">IF(AND(R_Scores!$B15=2,OR(R_Scores!$C15="Tool condition",R_Scores!$C15="Paper condition"),ISNUMBER(R_Scores!P15)),(COUNTIFS(R_Scores!$B$5:$B$44,2,R_Scores!$C$5:$C$44,"Tool condition",R_Scores!P$5:P$44,R_Scores!P15)+COUNTIFS(R_Scores!$B$5:$B$44,2,R_Scores!$C$5:$C$44,"Paper condition",R_Scores!P$5:P$44,R_Scores!P15))^2-1,"")</f>
        <v/>
      </c>
      <c r="DQ15" s="1" t="n">
        <f aca="false">IF(ISNUMBER(R_Scores!P15),R_Scores!P15^2,"")</f>
        <v>0</v>
      </c>
      <c r="DR15" s="1" t="str">
        <f aca="false">IF(AND(Scores!$B15=1,Scores!$C15="Tool condition",ISNUMBER(Scores!Q15)),COUNTIFS(Scores!$B$5:$B$44,1,Scores!$C$5:$C$44,"Paper condition",Scores!Q$5:Q$44,"&lt;"&amp;Scores!Q15)+0.5*COUNTIFS(Scores!$B$5:$B$44,1,Scores!$C$5:$C$44,"Paper condition",Scores!Q$5:Q$44,Scores!Q15),"")</f>
        <v/>
      </c>
      <c r="DS15" s="1" t="n">
        <f aca="false">IF(AND(Scores!$B15=1,OR(Scores!$C15="Tool condition",Scores!$C15="Paper condition"),ISNUMBER(Scores!Q15)),(COUNTIFS(Scores!$B$5:$B$44,1,Scores!$C$5:$C$44,"Tool condition",Scores!Q$5:Q$44,Scores!Q15)+COUNTIFS(Scores!$B$5:$B$44,1,Scores!$C$5:$C$44,"Paper condition",Scores!Q$5:Q$44,Scores!Q15))^2-1,"")</f>
        <v>3</v>
      </c>
      <c r="DT15" s="1" t="str">
        <f aca="false">IF(AND(Scores!$B15=2,Scores!$C15="Tool condition",ISNUMBER(Scores!Q15)),COUNTIFS(Scores!$B$5:$B$44,2,Scores!$C$5:$C$44,"Paper condition",Scores!Q$5:Q$44,"&lt;"&amp;Scores!Q15)+0.5*COUNTIFS(Scores!$B$5:$B$44,2,Scores!$C$5:$C$44,"Paper condition",Scores!Q$5:Q$44,Scores!Q15),"")</f>
        <v/>
      </c>
      <c r="DU15" s="1" t="str">
        <f aca="false">IF(AND(Scores!$B15=2,OR(Scores!$C15="Tool condition",Scores!$C15="Paper condition"),ISNUMBER(Scores!Q15)),(COUNTIFS(Scores!$B$5:$B$44,2,Scores!$C$5:$C$44,"Tool condition",Scores!Q$5:Q$44,Scores!Q15)+COUNTIFS(Scores!$B$5:$B$44,2,Scores!$C$5:$C$44,"Paper condition",Scores!Q$5:Q$44,Scores!Q15))^2-1,"")</f>
        <v/>
      </c>
      <c r="DV15" s="1" t="n">
        <f aca="false">IF(ISNUMBER(Scores!Q15),Scores!Q15^2,"")</f>
        <v>361</v>
      </c>
      <c r="DW15" s="1" t="str">
        <f aca="false">IF(AND(Scores!$B15=1,Scores!$C15="Tool condition",ISNUMBER(Scores!R15)),COUNTIFS(Scores!$B$5:$B$44,1,Scores!$C$5:$C$44,"Paper condition",Scores!R$5:R$44,"&lt;"&amp;Scores!R15)+0.5*COUNTIFS(Scores!$B$5:$B$44,1,Scores!$C$5:$C$44,"Paper condition",Scores!R$5:R$44,Scores!R15),"")</f>
        <v/>
      </c>
      <c r="DX15" s="1" t="n">
        <f aca="false">IF(AND(Scores!$B15=1,OR(Scores!$C15="Tool condition",Scores!$C15="Paper condition"),ISNUMBER(Scores!R15)),(COUNTIFS(Scores!$B$5:$B$44,1,Scores!$C$5:$C$44,"Tool condition",Scores!R$5:R$44,Scores!R15)+COUNTIFS(Scores!$B$5:$B$44,1,Scores!$C$5:$C$44,"Paper condition",Scores!R$5:R$44,Scores!R15))^2-1,"")</f>
        <v>0</v>
      </c>
      <c r="DY15" s="1" t="str">
        <f aca="false">IF(AND(Scores!$B15=2,Scores!$C15="Tool condition",ISNUMBER(Scores!R15)),COUNTIFS(Scores!$B$5:$B$44,2,Scores!$C$5:$C$44,"Paper condition",Scores!R$5:R$44,"&lt;"&amp;Scores!R15)+0.5*COUNTIFS(Scores!$B$5:$B$44,2,Scores!$C$5:$C$44,"Paper condition",Scores!R$5:R$44,Scores!R15),"")</f>
        <v/>
      </c>
      <c r="DZ15" s="1" t="str">
        <f aca="false">IF(AND(Scores!$B15=2,OR(Scores!$C15="Tool condition",Scores!$C15="Paper condition"),ISNUMBER(Scores!R15)),(COUNTIFS(Scores!$B$5:$B$44,2,Scores!$C$5:$C$44,"Tool condition",Scores!R$5:R$44,Scores!R15)+COUNTIFS(Scores!$B$5:$B$44,2,Scores!$C$5:$C$44,"Paper condition",Scores!R$5:R$44,Scores!R15))^2-1,"")</f>
        <v/>
      </c>
      <c r="EA15" s="1" t="n">
        <f aca="false">IF(ISNUMBER(Scores!R15),Scores!R15^2,"")</f>
        <v>121</v>
      </c>
      <c r="EB15" s="1" t="str">
        <f aca="false">IF(AND(Scores!$B15=1,Scores!$C15="Tool condition",ISNUMBER(Scores!S15)),COUNTIFS(Scores!$B$5:$B$44,1,Scores!$C$5:$C$44,"Paper condition",Scores!S$5:S$44,"&lt;"&amp;Scores!S15)+0.5*COUNTIFS(Scores!$B$5:$B$44,1,Scores!$C$5:$C$44,"Paper condition",Scores!S$5:S$44,Scores!S15),"")</f>
        <v/>
      </c>
      <c r="EC15" s="1" t="n">
        <f aca="false">IF(AND(Scores!$B15=1,OR(Scores!$C15="Tool condition",Scores!$C15="Paper condition"),ISNUMBER(Scores!S15)),(COUNTIFS(Scores!$B$5:$B$44,1,Scores!$C$5:$C$44,"Tool condition",Scores!S$5:S$44,Scores!S15)+COUNTIFS(Scores!$B$5:$B$44,1,Scores!$C$5:$C$44,"Paper condition",Scores!S$5:S$44,Scores!S15))^2-1,"")</f>
        <v>15</v>
      </c>
      <c r="ED15" s="1" t="str">
        <f aca="false">IF(AND(Scores!$B15=2,Scores!$C15="Tool condition",ISNUMBER(Scores!S15)),COUNTIFS(Scores!$B$5:$B$44,2,Scores!$C$5:$C$44,"Paper condition",Scores!S$5:S$44,"&lt;"&amp;Scores!S15)+0.5*COUNTIFS(Scores!$B$5:$B$44,2,Scores!$C$5:$C$44,"Paper condition",Scores!S$5:S$44,Scores!S15),"")</f>
        <v/>
      </c>
      <c r="EE15" s="1" t="str">
        <f aca="false">IF(AND(Scores!$B15=2,OR(Scores!$C15="Tool condition",Scores!$C15="Paper condition"),ISNUMBER(Scores!S15)),(COUNTIFS(Scores!$B$5:$B$44,2,Scores!$C$5:$C$44,"Tool condition",Scores!S$5:S$44,Scores!S15)+COUNTIFS(Scores!$B$5:$B$44,2,Scores!$C$5:$C$44,"Paper condition",Scores!S$5:S$44,Scores!S15))^2-1,"")</f>
        <v/>
      </c>
      <c r="EF15" s="1" t="n">
        <f aca="false">IF(ISNUMBER(Scores!S15),Scores!S15^2,"")</f>
        <v>64</v>
      </c>
      <c r="EG15" s="1" t="str">
        <f aca="false">IF(AND(Scores!$B15=1,Scores!$C15="Tool condition",ISNUMBER(Scores!T15)),COUNTIFS(Scores!$B$5:$B$44,1,Scores!$C$5:$C$44,"Paper condition",Scores!T$5:T$44,"&lt;"&amp;Scores!T15)+0.5*COUNTIFS(Scores!$B$5:$B$44,1,Scores!$C$5:$C$44,"Paper condition",Scores!T$5:T$44,Scores!T15),"")</f>
        <v/>
      </c>
      <c r="EH15" s="1" t="n">
        <f aca="false">IF(AND(Scores!$B15=1,OR(Scores!$C15="Tool condition",Scores!$C15="Paper condition"),ISNUMBER(Scores!T15)),(COUNTIFS(Scores!$B$5:$B$44,1,Scores!$C$5:$C$44,"Tool condition",Scores!T$5:T$44,Scores!T15)+COUNTIFS(Scores!$B$5:$B$44,1,Scores!$C$5:$C$44,"Paper condition",Scores!T$5:T$44,Scores!T15))^2-1,"")</f>
        <v>3</v>
      </c>
      <c r="EI15" s="1" t="str">
        <f aca="false">IF(AND(Scores!$B15=2,Scores!$C15="Tool condition",ISNUMBER(Scores!T15)),COUNTIFS(Scores!$B$5:$B$44,2,Scores!$C$5:$C$44,"Paper condition",Scores!T$5:T$44,"&lt;"&amp;Scores!T15)+0.5*COUNTIFS(Scores!$B$5:$B$44,2,Scores!$C$5:$C$44,"Paper condition",Scores!T$5:T$44,Scores!T15),"")</f>
        <v/>
      </c>
      <c r="EJ15" s="1" t="str">
        <f aca="false">IF(AND(Scores!$B15=2,OR(Scores!$C15="Tool condition",Scores!$C15="Paper condition"),ISNUMBER(Scores!T15)),(COUNTIFS(Scores!$B$5:$B$44,2,Scores!$C$5:$C$44,"Tool condition",Scores!T$5:T$44,Scores!T15)+COUNTIFS(Scores!$B$5:$B$44,2,Scores!$C$5:$C$44,"Paper condition",Scores!T$5:T$44,Scores!T15))^2-1,"")</f>
        <v/>
      </c>
      <c r="EK15" s="1" t="n">
        <f aca="false">IF(ISNUMBER(Scores!T15),Scores!T15^2,"")</f>
        <v>49</v>
      </c>
      <c r="EL15" s="1" t="str">
        <f aca="false">IF(AND(Scores!$B15=1,Scores!$C15="Tool condition",ISNUMBER(Scores!U15)),COUNTIFS(Scores!$B$5:$B$44,1,Scores!$C$5:$C$44,"Paper condition",Scores!U$5:U$44,"&lt;"&amp;Scores!U15)+0.5*COUNTIFS(Scores!$B$5:$B$44,1,Scores!$C$5:$C$44,"Paper condition",Scores!U$5:U$44,Scores!U15),"")</f>
        <v/>
      </c>
      <c r="EM15" s="1" t="n">
        <f aca="false">IF(AND(Scores!$B15=1,OR(Scores!$C15="Tool condition",Scores!$C15="Paper condition"),ISNUMBER(Scores!U15)),(COUNTIFS(Scores!$B$5:$B$44,1,Scores!$C$5:$C$44,"Tool condition",Scores!U$5:U$44,Scores!U15)+COUNTIFS(Scores!$B$5:$B$44,1,Scores!$C$5:$C$44,"Paper condition",Scores!U$5:U$44,Scores!U15))^2-1,"")</f>
        <v>3</v>
      </c>
      <c r="EN15" s="1" t="str">
        <f aca="false">IF(AND(Scores!$B15=2,Scores!$C15="Tool condition",ISNUMBER(Scores!U15)),COUNTIFS(Scores!$B$5:$B$44,2,Scores!$C$5:$C$44,"Paper condition",Scores!U$5:U$44,"&lt;"&amp;Scores!U15)+0.5*COUNTIFS(Scores!$B$5:$B$44,2,Scores!$C$5:$C$44,"Paper condition",Scores!U$5:U$44,Scores!U15),"")</f>
        <v/>
      </c>
      <c r="EO15" s="1" t="str">
        <f aca="false">IF(AND(Scores!$B15=2,OR(Scores!$C15="Tool condition",Scores!$C15="Paper condition"),ISNUMBER(Scores!U15)),(COUNTIFS(Scores!$B$5:$B$44,2,Scores!$C$5:$C$44,"Tool condition",Scores!U$5:U$44,Scores!U15)+COUNTIFS(Scores!$B$5:$B$44,2,Scores!$C$5:$C$44,"Paper condition",Scores!U$5:U$44,Scores!U15))^2-1,"")</f>
        <v/>
      </c>
      <c r="EP15" s="1" t="n">
        <f aca="false">IF(ISNUMBER(Scores!U15),Scores!U15^2,"")</f>
        <v>25</v>
      </c>
      <c r="EQ15" s="1" t="str">
        <f aca="false">IF(AND(Scores!$B15=1,Scores!$C15="Tool condition",ISNUMBER(Scores!V15)),COUNTIFS(Scores!$B$5:$B$44,1,Scores!$C$5:$C$44,"Paper condition",Scores!V$5:V$44,"&lt;"&amp;Scores!V15)+0.5*COUNTIFS(Scores!$B$5:$B$44,1,Scores!$C$5:$C$44,"Paper condition",Scores!V$5:V$44,Scores!V15),"")</f>
        <v/>
      </c>
      <c r="ER15" s="1" t="n">
        <f aca="false">IF(AND(Scores!$B15=1,OR(Scores!$C15="Tool condition",Scores!$C15="Paper condition"),ISNUMBER(Scores!V15)),(COUNTIFS(Scores!$B$5:$B$44,1,Scores!$C$5:$C$44,"Tool condition",Scores!V$5:V$44,Scores!V15)+COUNTIFS(Scores!$B$5:$B$44,1,Scores!$C$5:$C$44,"Paper condition",Scores!V$5:V$44,Scores!V15))^2-1,"")</f>
        <v>3</v>
      </c>
      <c r="ES15" s="1" t="str">
        <f aca="false">IF(AND(Scores!$B15=2,Scores!$C15="Tool condition",ISNUMBER(Scores!V15)),COUNTIFS(Scores!$B$5:$B$44,2,Scores!$C$5:$C$44,"Paper condition",Scores!V$5:V$44,"&lt;"&amp;Scores!V15)+0.5*COUNTIFS(Scores!$B$5:$B$44,2,Scores!$C$5:$C$44,"Paper condition",Scores!V$5:V$44,Scores!V15),"")</f>
        <v/>
      </c>
      <c r="ET15" s="1" t="str">
        <f aca="false">IF(AND(Scores!$B15=2,OR(Scores!$C15="Tool condition",Scores!$C15="Paper condition"),ISNUMBER(Scores!V15)),(COUNTIFS(Scores!$B$5:$B$44,2,Scores!$C$5:$C$44,"Tool condition",Scores!V$5:V$44,Scores!V15)+COUNTIFS(Scores!$B$5:$B$44,2,Scores!$C$5:$C$44,"Paper condition",Scores!V$5:V$44,Scores!V15))^2-1,"")</f>
        <v/>
      </c>
      <c r="EU15" s="1" t="n">
        <f aca="false">IF(ISNUMBER(Scores!V15),Scores!V15^2,"")</f>
        <v>49</v>
      </c>
      <c r="EV15" s="1" t="str">
        <f aca="false">IF(AND(R_Scores!$B15=1,R_Scores!$C15="Tool condition",ISNUMBER(R_Scores!Q15)),COUNTIFS(R_Scores!$B$5:$B$44,1,R_Scores!$C$5:$C$44,"Paper condition",R_Scores!Q$5:Q$44,"&lt;"&amp;R_Scores!Q15)+0.5*COUNTIFS(R_Scores!$B$5:$B$44,1,R_Scores!$C$5:$C$44,"Paper condition",R_Scores!Q$5:Q$44,R_Scores!Q15),"")</f>
        <v/>
      </c>
      <c r="EW15" s="1" t="n">
        <f aca="false">IF(AND(R_Scores!$B15=1,OR(R_Scores!$C15="Tool condition",R_Scores!$C15="Paper condition"),ISNUMBER(R_Scores!Q15)),(COUNTIFS(R_Scores!$B$5:$B$44,1,R_Scores!$C$5:$C$44,"Tool condition",R_Scores!Q$5:Q$44,R_Scores!Q15)+COUNTIFS(R_Scores!$B$5:$B$44,1,R_Scores!$C$5:$C$44,"Paper condition",R_Scores!Q$5:Q$44,R_Scores!Q15))^2-1,"")</f>
        <v>0</v>
      </c>
      <c r="EX15" s="1" t="str">
        <f aca="false">IF(AND(R_Scores!$B15=2,R_Scores!$C15="Tool condition",ISNUMBER(R_Scores!Q15)),COUNTIFS(R_Scores!$B$5:$B$44,2,R_Scores!$C$5:$C$44,"Paper condition",R_Scores!Q$5:Q$44,"&lt;"&amp;R_Scores!Q15)+0.5*COUNTIFS(R_Scores!$B$5:$B$44,2,R_Scores!$C$5:$C$44,"Paper condition",R_Scores!Q$5:Q$44,R_Scores!Q15),"")</f>
        <v/>
      </c>
      <c r="EY15" s="1" t="str">
        <f aca="false">IF(AND(R_Scores!$B15=2,OR(R_Scores!$C15="Tool condition",R_Scores!$C15="Paper condition"),ISNUMBER(R_Scores!Q15)),(COUNTIFS(R_Scores!$B$5:$B$44,2,R_Scores!$C$5:$C$44,"Tool condition",R_Scores!Q$5:Q$44,R_Scores!Q15)+COUNTIFS(R_Scores!$B$5:$B$44,2,R_Scores!$C$5:$C$44,"Paper condition",R_Scores!Q$5:Q$44,R_Scores!Q15))^2-1,"")</f>
        <v/>
      </c>
      <c r="EZ15" s="1" t="n">
        <f aca="false">IF(ISNUMBER(R_Scores!Q15),R_Scores!Q15^2,"")</f>
        <v>16</v>
      </c>
      <c r="FA15" s="1" t="str">
        <f aca="false">IF(AND(R_Scores!$B15=1,R_Scores!$C15="Tool condition",ISNUMBER(R_Scores!R15)),COUNTIFS(R_Scores!$B$5:$B$44,1,R_Scores!$C$5:$C$44,"Paper condition",R_Scores!R$5:R$44,"&lt;"&amp;R_Scores!R15)+0.5*COUNTIFS(R_Scores!$B$5:$B$44,1,R_Scores!$C$5:$C$44,"Paper condition",R_Scores!R$5:R$44,R_Scores!R15),"")</f>
        <v/>
      </c>
      <c r="FB15" s="1" t="n">
        <f aca="false">IF(AND(R_Scores!$B15=1,OR(R_Scores!$C15="Tool condition",R_Scores!$C15="Paper condition"),ISNUMBER(R_Scores!R15)),(COUNTIFS(R_Scores!$B$5:$B$44,1,R_Scores!$C$5:$C$44,"Tool condition",R_Scores!R$5:R$44,R_Scores!R15)+COUNTIFS(R_Scores!$B$5:$B$44,1,R_Scores!$C$5:$C$44,"Paper condition",R_Scores!R$5:R$44,R_Scores!R15))^2-1,"")</f>
        <v>0</v>
      </c>
      <c r="FC15" s="1" t="str">
        <f aca="false">IF(AND(R_Scores!$B15=2,R_Scores!$C15="Tool condition",ISNUMBER(R_Scores!R15)),COUNTIFS(R_Scores!$B$5:$B$44,2,R_Scores!$C$5:$C$44,"Paper condition",R_Scores!R$5:R$44,"&lt;"&amp;R_Scores!R15)+0.5*COUNTIFS(R_Scores!$B$5:$B$44,2,R_Scores!$C$5:$C$44,"Paper condition",R_Scores!R$5:R$44,R_Scores!R15),"")</f>
        <v/>
      </c>
      <c r="FD15" s="1" t="str">
        <f aca="false">IF(AND(R_Scores!$B15=2,OR(R_Scores!$C15="Tool condition",R_Scores!$C15="Paper condition"),ISNUMBER(R_Scores!R15)),(COUNTIFS(R_Scores!$B$5:$B$44,2,R_Scores!$C$5:$C$44,"Tool condition",R_Scores!R$5:R$44,R_Scores!R15)+COUNTIFS(R_Scores!$B$5:$B$44,2,R_Scores!$C$5:$C$44,"Paper condition",R_Scores!R$5:R$44,R_Scores!R15))^2-1,"")</f>
        <v/>
      </c>
      <c r="FE15" s="1" t="n">
        <f aca="false">IF(ISNUMBER(R_Scores!R15),R_Scores!R15^2,"")</f>
        <v>529</v>
      </c>
    </row>
    <row r="16" customFormat="false" ht="14.25" hidden="false" customHeight="true" outlineLevel="0" collapsed="false">
      <c r="B16" s="1" t="str">
        <f aca="false">IF(AND(Scores!$B16=1,Scores!$C16="Tool condition",ISNUMBER(Scores!E16)),COUNTIFS(Scores!$B$5:$B$44,1,Scores!$C$5:$C$44,"Paper condition",Scores!E$5:E$44,"&lt;"&amp;Scores!E16)+0.5*COUNTIFS(Scores!$B$5:$B$44,1,Scores!$C$5:$C$44,"Paper condition",Scores!E$5:E$44,Scores!E16),"")</f>
        <v/>
      </c>
      <c r="C16" s="1" t="n">
        <f aca="false">IF(AND(Scores!$B16=1,OR(Scores!$C16="Tool condition",Scores!$C16="Paper condition"),ISNUMBER(Scores!E16)),(COUNTIFS(Scores!$B$5:$B$44,1,Scores!$C$5:$C$44,"Tool condition",Scores!E$5:E$44,Scores!E16)+COUNTIFS(Scores!$B$5:$B$44,1,Scores!$C$5:$C$44,"Paper condition",Scores!E$5:E$44,Scores!E16))^2-1,"")</f>
        <v>255</v>
      </c>
      <c r="D16" s="1" t="str">
        <f aca="false">IF(AND(Scores!$B16=2,Scores!$C16="Tool condition",ISNUMBER(Scores!E16)),COUNTIFS(Scores!$B$5:$B$44,2,Scores!$C$5:$C$44,"Paper condition",Scores!E$5:E$44,"&lt;"&amp;Scores!E16)+0.5*COUNTIFS(Scores!$B$5:$B$44,2,Scores!$C$5:$C$44,"Paper condition",Scores!E$5:E$44,Scores!E16),"")</f>
        <v/>
      </c>
      <c r="E16" s="1" t="str">
        <f aca="false">IF(AND(Scores!$B16=2,OR(Scores!$C16="Tool condition",Scores!$C16="Paper condition"),ISNUMBER(Scores!E16)),(COUNTIFS(Scores!$B$5:$B$44,2,Scores!$C$5:$C$44,"Tool condition",Scores!E$5:E$44,Scores!E16)+COUNTIFS(Scores!$B$5:$B$44,2,Scores!$C$5:$C$44,"Paper condition",Scores!E$5:E$44,Scores!E16))^2-1,"")</f>
        <v/>
      </c>
      <c r="F16" s="1" t="n">
        <f aca="false">IF(ISNUMBER(Scores!E16),Scores!E16^2,"")</f>
        <v>4</v>
      </c>
      <c r="G16" s="1" t="str">
        <f aca="false">IF(AND(Scores!$B16=1,Scores!$C16="Tool condition",ISNUMBER(Scores!F16)),COUNTIFS(Scores!$B$5:$B$44,1,Scores!$C$5:$C$44,"Paper condition",Scores!F$5:F$44,"&lt;"&amp;Scores!F16)+0.5*COUNTIFS(Scores!$B$5:$B$44,1,Scores!$C$5:$C$44,"Paper condition",Scores!F$5:F$44,Scores!F16),"")</f>
        <v/>
      </c>
      <c r="H16" s="1" t="n">
        <f aca="false">IF(AND(Scores!$B16=1,OR(Scores!$C16="Tool condition",Scores!$C16="Paper condition"),ISNUMBER(Scores!F16)),(COUNTIFS(Scores!$B$5:$B$44,1,Scores!$C$5:$C$44,"Tool condition",Scores!F$5:F$44,Scores!F16)+COUNTIFS(Scores!$B$5:$B$44,1,Scores!$C$5:$C$44,"Paper condition",Scores!F$5:F$44,Scores!F16))^2-1,"")</f>
        <v>195</v>
      </c>
      <c r="I16" s="1" t="str">
        <f aca="false">IF(AND(Scores!$B16=2,Scores!$C16="Tool condition",ISNUMBER(Scores!F16)),COUNTIFS(Scores!$B$5:$B$44,2,Scores!$C$5:$C$44,"Paper condition",Scores!F$5:F$44,"&lt;"&amp;Scores!F16)+0.5*COUNTIFS(Scores!$B$5:$B$44,2,Scores!$C$5:$C$44,"Paper condition",Scores!F$5:F$44,Scores!F16),"")</f>
        <v/>
      </c>
      <c r="J16" s="1" t="str">
        <f aca="false">IF(AND(Scores!$B16=2,OR(Scores!$C16="Tool condition",Scores!$C16="Paper condition"),ISNUMBER(Scores!F16)),(COUNTIFS(Scores!$B$5:$B$44,2,Scores!$C$5:$C$44,"Tool condition",Scores!F$5:F$44,Scores!F16)+COUNTIFS(Scores!$B$5:$B$44,2,Scores!$C$5:$C$44,"Paper condition",Scores!F$5:F$44,Scores!F16))^2-1,"")</f>
        <v/>
      </c>
      <c r="K16" s="1" t="n">
        <f aca="false">IF(ISNUMBER(Scores!F16),Scores!F16^2,"")</f>
        <v>4</v>
      </c>
      <c r="L16" s="1" t="str">
        <f aca="false">IF(AND(Scores!$B16=1,Scores!$C16="Tool condition",ISNUMBER(Scores!G16)),COUNTIFS(Scores!$B$5:$B$44,1,Scores!$C$5:$C$44,"Paper condition",Scores!G$5:G$44,"&lt;"&amp;Scores!G16)+0.5*COUNTIFS(Scores!$B$5:$B$44,1,Scores!$C$5:$C$44,"Paper condition",Scores!G$5:G$44,Scores!G16),"")</f>
        <v/>
      </c>
      <c r="M16" s="1" t="n">
        <f aca="false">IF(AND(Scores!$B16=1,OR(Scores!$C16="Tool condition",Scores!$C16="Paper condition"),ISNUMBER(Scores!G16)),(COUNTIFS(Scores!$B$5:$B$44,1,Scores!$C$5:$C$44,"Tool condition",Scores!G$5:G$44,Scores!G16)+COUNTIFS(Scores!$B$5:$B$44,1,Scores!$C$5:$C$44,"Paper condition",Scores!G$5:G$44,Scores!G16))^2-1,"")</f>
        <v>288</v>
      </c>
      <c r="N16" s="1" t="str">
        <f aca="false">IF(AND(Scores!$B16=2,Scores!$C16="Tool condition",ISNUMBER(Scores!G16)),COUNTIFS(Scores!$B$5:$B$44,2,Scores!$C$5:$C$44,"Paper condition",Scores!G$5:G$44,"&lt;"&amp;Scores!G16)+0.5*COUNTIFS(Scores!$B$5:$B$44,2,Scores!$C$5:$C$44,"Paper condition",Scores!G$5:G$44,Scores!G16),"")</f>
        <v/>
      </c>
      <c r="O16" s="1" t="str">
        <f aca="false">IF(AND(Scores!$B16=2,OR(Scores!$C16="Tool condition",Scores!$C16="Paper condition"),ISNUMBER(Scores!G16)),(COUNTIFS(Scores!$B$5:$B$44,2,Scores!$C$5:$C$44,"Tool condition",Scores!G$5:G$44,Scores!G16)+COUNTIFS(Scores!$B$5:$B$44,2,Scores!$C$5:$C$44,"Paper condition",Scores!G$5:G$44,Scores!G16))^2-1,"")</f>
        <v/>
      </c>
      <c r="P16" s="1" t="n">
        <f aca="false">IF(ISNUMBER(Scores!G16),Scores!G16^2,"")</f>
        <v>4</v>
      </c>
      <c r="Q16" s="1" t="str">
        <f aca="false">IF(AND(Scores!$B16=1,Scores!$C16="Tool condition",ISNUMBER(Scores!H16)),COUNTIFS(Scores!$B$5:$B$44,1,Scores!$C$5:$C$44,"Paper condition",Scores!H$5:H$44,"&lt;"&amp;Scores!H16)+0.5*COUNTIFS(Scores!$B$5:$B$44,1,Scores!$C$5:$C$44,"Paper condition",Scores!H$5:H$44,Scores!H16),"")</f>
        <v/>
      </c>
      <c r="R16" s="1" t="n">
        <f aca="false">IF(AND(Scores!$B16=1,OR(Scores!$C16="Tool condition",Scores!$C16="Paper condition"),ISNUMBER(Scores!H16)),(COUNTIFS(Scores!$B$5:$B$44,1,Scores!$C$5:$C$44,"Tool condition",Scores!H$5:H$44,Scores!H16)+COUNTIFS(Scores!$B$5:$B$44,1,Scores!$C$5:$C$44,"Paper condition",Scores!H$5:H$44,Scores!H16))^2-1,"")</f>
        <v>255</v>
      </c>
      <c r="S16" s="1" t="str">
        <f aca="false">IF(AND(Scores!$B16=2,Scores!$C16="Tool condition",ISNUMBER(Scores!H16)),COUNTIFS(Scores!$B$5:$B$44,2,Scores!$C$5:$C$44,"Paper condition",Scores!H$5:H$44,"&lt;"&amp;Scores!H16)+0.5*COUNTIFS(Scores!$B$5:$B$44,2,Scores!$C$5:$C$44,"Paper condition",Scores!H$5:H$44,Scores!H16),"")</f>
        <v/>
      </c>
      <c r="T16" s="1" t="str">
        <f aca="false">IF(AND(Scores!$B16=2,OR(Scores!$C16="Tool condition",Scores!$C16="Paper condition"),ISNUMBER(Scores!H16)),(COUNTIFS(Scores!$B$5:$B$44,2,Scores!$C$5:$C$44,"Tool condition",Scores!H$5:H$44,Scores!H16)+COUNTIFS(Scores!$B$5:$B$44,2,Scores!$C$5:$C$44,"Paper condition",Scores!H$5:H$44,Scores!H16))^2-1,"")</f>
        <v/>
      </c>
      <c r="U16" s="1" t="n">
        <f aca="false">IF(ISNUMBER(Scores!H16),Scores!H16^2,"")</f>
        <v>4</v>
      </c>
      <c r="V16" s="1" t="str">
        <f aca="false">IF(AND(Scores!$B16=1,Scores!$C16="Tool condition",ISNUMBER(Scores!I16)),COUNTIFS(Scores!$B$5:$B$44,1,Scores!$C$5:$C$44,"Paper condition",Scores!I$5:I$44,"&lt;"&amp;Scores!I16)+0.5*COUNTIFS(Scores!$B$5:$B$44,1,Scores!$C$5:$C$44,"Paper condition",Scores!I$5:I$44,Scores!I16),"")</f>
        <v/>
      </c>
      <c r="W16" s="1" t="n">
        <f aca="false">IF(AND(Scores!$B16=1,OR(Scores!$C16="Tool condition",Scores!$C16="Paper condition"),ISNUMBER(Scores!I16)),(COUNTIFS(Scores!$B$5:$B$44,1,Scores!$C$5:$C$44,"Tool condition",Scores!I$5:I$44,Scores!I16)+COUNTIFS(Scores!$B$5:$B$44,1,Scores!$C$5:$C$44,"Paper condition",Scores!I$5:I$44,Scores!I16))^2-1,"")</f>
        <v>195</v>
      </c>
      <c r="X16" s="1" t="str">
        <f aca="false">IF(AND(Scores!$B16=2,Scores!$C16="Tool condition",ISNUMBER(Scores!I16)),COUNTIFS(Scores!$B$5:$B$44,2,Scores!$C$5:$C$44,"Paper condition",Scores!I$5:I$44,"&lt;"&amp;Scores!I16)+0.5*COUNTIFS(Scores!$B$5:$B$44,2,Scores!$C$5:$C$44,"Paper condition",Scores!I$5:I$44,Scores!I16),"")</f>
        <v/>
      </c>
      <c r="Y16" s="1" t="str">
        <f aca="false">IF(AND(Scores!$B16=2,OR(Scores!$C16="Tool condition",Scores!$C16="Paper condition"),ISNUMBER(Scores!I16)),(COUNTIFS(Scores!$B$5:$B$44,2,Scores!$C$5:$C$44,"Tool condition",Scores!I$5:I$44,Scores!I16)+COUNTIFS(Scores!$B$5:$B$44,2,Scores!$C$5:$C$44,"Paper condition",Scores!I$5:I$44,Scores!I16))^2-1,"")</f>
        <v/>
      </c>
      <c r="Z16" s="1" t="n">
        <f aca="false">IF(ISNUMBER(Scores!I16),Scores!I16^2,"")</f>
        <v>4</v>
      </c>
      <c r="AA16" s="1" t="str">
        <f aca="false">IF(AND(Scores!$B16=1,Scores!$C16="Tool condition",ISNUMBER(Scores!J16)),COUNTIFS(Scores!$B$5:$B$44,1,Scores!$C$5:$C$44,"Paper condition",Scores!J$5:J$44,"&lt;"&amp;Scores!J16)+0.5*COUNTIFS(Scores!$B$5:$B$44,1,Scores!$C$5:$C$44,"Paper condition",Scores!J$5:J$44,Scores!J16),"")</f>
        <v/>
      </c>
      <c r="AB16" s="1" t="n">
        <f aca="false">IF(AND(Scores!$B16=1,OR(Scores!$C16="Tool condition",Scores!$C16="Paper condition"),ISNUMBER(Scores!J16)),(COUNTIFS(Scores!$B$5:$B$44,1,Scores!$C$5:$C$44,"Tool condition",Scores!J$5:J$44,Scores!J16)+COUNTIFS(Scores!$B$5:$B$44,1,Scores!$C$5:$C$44,"Paper condition",Scores!J$5:J$44,Scores!J16))^2-1,"")</f>
        <v>15</v>
      </c>
      <c r="AC16" s="1" t="str">
        <f aca="false">IF(AND(Scores!$B16=2,Scores!$C16="Tool condition",ISNUMBER(Scores!J16)),COUNTIFS(Scores!$B$5:$B$44,2,Scores!$C$5:$C$44,"Paper condition",Scores!J$5:J$44,"&lt;"&amp;Scores!J16)+0.5*COUNTIFS(Scores!$B$5:$B$44,2,Scores!$C$5:$C$44,"Paper condition",Scores!J$5:J$44,Scores!J16),"")</f>
        <v/>
      </c>
      <c r="AD16" s="1" t="str">
        <f aca="false">IF(AND(Scores!$B16=2,OR(Scores!$C16="Tool condition",Scores!$C16="Paper condition"),ISNUMBER(Scores!J16)),(COUNTIFS(Scores!$B$5:$B$44,2,Scores!$C$5:$C$44,"Tool condition",Scores!J$5:J$44,Scores!J16)+COUNTIFS(Scores!$B$5:$B$44,2,Scores!$C$5:$C$44,"Paper condition",Scores!J$5:J$44,Scores!J16))^2-1,"")</f>
        <v/>
      </c>
      <c r="AE16" s="1" t="n">
        <f aca="false">IF(ISNUMBER(Scores!J16),Scores!J16^2,"")</f>
        <v>1</v>
      </c>
      <c r="AF16" s="1" t="str">
        <f aca="false">IF(AND(Scores!$B16=1,Scores!$C16="Tool condition",ISNUMBER(Scores!K16)),COUNTIFS(Scores!$B$5:$B$44,1,Scores!$C$5:$C$44,"Paper condition",Scores!K$5:K$44,"&lt;"&amp;Scores!K16)+0.5*COUNTIFS(Scores!$B$5:$B$44,1,Scores!$C$5:$C$44,"Paper condition",Scores!K$5:K$44,Scores!K16),"")</f>
        <v/>
      </c>
      <c r="AG16" s="1" t="n">
        <f aca="false">IF(AND(Scores!$B16=1,OR(Scores!$C16="Tool condition",Scores!$C16="Paper condition"),ISNUMBER(Scores!K16)),(COUNTIFS(Scores!$B$5:$B$44,1,Scores!$C$5:$C$44,"Tool condition",Scores!K$5:K$44,Scores!K16)+COUNTIFS(Scores!$B$5:$B$44,1,Scores!$C$5:$C$44,"Paper condition",Scores!K$5:K$44,Scores!K16))^2-1,"")</f>
        <v>255</v>
      </c>
      <c r="AH16" s="1" t="str">
        <f aca="false">IF(AND(Scores!$B16=2,Scores!$C16="Tool condition",ISNUMBER(Scores!K16)),COUNTIFS(Scores!$B$5:$B$44,2,Scores!$C$5:$C$44,"Paper condition",Scores!K$5:K$44,"&lt;"&amp;Scores!K16)+0.5*COUNTIFS(Scores!$B$5:$B$44,2,Scores!$C$5:$C$44,"Paper condition",Scores!K$5:K$44,Scores!K16),"")</f>
        <v/>
      </c>
      <c r="AI16" s="1" t="str">
        <f aca="false">IF(AND(Scores!$B16=2,OR(Scores!$C16="Tool condition",Scores!$C16="Paper condition"),ISNUMBER(Scores!K16)),(COUNTIFS(Scores!$B$5:$B$44,2,Scores!$C$5:$C$44,"Tool condition",Scores!K$5:K$44,Scores!K16)+COUNTIFS(Scores!$B$5:$B$44,2,Scores!$C$5:$C$44,"Paper condition",Scores!K$5:K$44,Scores!K16))^2-1,"")</f>
        <v/>
      </c>
      <c r="AJ16" s="1" t="n">
        <f aca="false">IF(ISNUMBER(Scores!K16),Scores!K16^2,"")</f>
        <v>4</v>
      </c>
      <c r="AK16" s="1" t="str">
        <f aca="false">IF(AND(Scores!$B16=1,Scores!$C16="Tool condition",ISNUMBER(Scores!L16)),COUNTIFS(Scores!$B$5:$B$44,1,Scores!$C$5:$C$44,"Paper condition",Scores!L$5:L$44,"&lt;"&amp;Scores!L16)+0.5*COUNTIFS(Scores!$B$5:$B$44,1,Scores!$C$5:$C$44,"Paper condition",Scores!L$5:L$44,Scores!L16),"")</f>
        <v/>
      </c>
      <c r="AL16" s="1" t="n">
        <f aca="false">IF(AND(Scores!$B16=1,OR(Scores!$C16="Tool condition",Scores!$C16="Paper condition"),ISNUMBER(Scores!L16)),(COUNTIFS(Scores!$B$5:$B$44,1,Scores!$C$5:$C$44,"Tool condition",Scores!L$5:L$44,Scores!L16)+COUNTIFS(Scores!$B$5:$B$44,1,Scores!$C$5:$C$44,"Paper condition",Scores!L$5:L$44,Scores!L16))^2-1,"")</f>
        <v>288</v>
      </c>
      <c r="AM16" s="1" t="str">
        <f aca="false">IF(AND(Scores!$B16=2,Scores!$C16="Tool condition",ISNUMBER(Scores!L16)),COUNTIFS(Scores!$B$5:$B$44,2,Scores!$C$5:$C$44,"Paper condition",Scores!L$5:L$44,"&lt;"&amp;Scores!L16)+0.5*COUNTIFS(Scores!$B$5:$B$44,2,Scores!$C$5:$C$44,"Paper condition",Scores!L$5:L$44,Scores!L16),"")</f>
        <v/>
      </c>
      <c r="AN16" s="1" t="str">
        <f aca="false">IF(AND(Scores!$B16=2,OR(Scores!$C16="Tool condition",Scores!$C16="Paper condition"),ISNUMBER(Scores!L16)),(COUNTIFS(Scores!$B$5:$B$44,2,Scores!$C$5:$C$44,"Tool condition",Scores!L$5:L$44,Scores!L16)+COUNTIFS(Scores!$B$5:$B$44,2,Scores!$C$5:$C$44,"Paper condition",Scores!L$5:L$44,Scores!L16))^2-1,"")</f>
        <v/>
      </c>
      <c r="AO16" s="1" t="n">
        <f aca="false">IF(ISNUMBER(Scores!L16),Scores!L16^2,"")</f>
        <v>4</v>
      </c>
      <c r="AP16" s="1" t="str">
        <f aca="false">IF(AND(Scores!$B16=1,Scores!$C16="Tool condition",ISNUMBER(Scores!M16)),COUNTIFS(Scores!$B$5:$B$44,1,Scores!$C$5:$C$44,"Paper condition",Scores!M$5:M$44,"&lt;"&amp;Scores!M16)+0.5*COUNTIFS(Scores!$B$5:$B$44,1,Scores!$C$5:$C$44,"Paper condition",Scores!M$5:M$44,Scores!M16),"")</f>
        <v/>
      </c>
      <c r="AQ16" s="1" t="n">
        <f aca="false">IF(AND(Scores!$B16=1,OR(Scores!$C16="Tool condition",Scores!$C16="Paper condition"),ISNUMBER(Scores!M16)),(COUNTIFS(Scores!$B$5:$B$44,1,Scores!$C$5:$C$44,"Tool condition",Scores!M$5:M$44,Scores!M16)+COUNTIFS(Scores!$B$5:$B$44,1,Scores!$C$5:$C$44,"Paper condition",Scores!M$5:M$44,Scores!M16))^2-1,"")</f>
        <v>288</v>
      </c>
      <c r="AR16" s="1" t="str">
        <f aca="false">IF(AND(Scores!$B16=2,Scores!$C16="Tool condition",ISNUMBER(Scores!M16)),COUNTIFS(Scores!$B$5:$B$44,2,Scores!$C$5:$C$44,"Paper condition",Scores!M$5:M$44,"&lt;"&amp;Scores!M16)+0.5*COUNTIFS(Scores!$B$5:$B$44,2,Scores!$C$5:$C$44,"Paper condition",Scores!M$5:M$44,Scores!M16),"")</f>
        <v/>
      </c>
      <c r="AS16" s="1" t="str">
        <f aca="false">IF(AND(Scores!$B16=2,OR(Scores!$C16="Tool condition",Scores!$C16="Paper condition"),ISNUMBER(Scores!M16)),(COUNTIFS(Scores!$B$5:$B$44,2,Scores!$C$5:$C$44,"Tool condition",Scores!M$5:M$44,Scores!M16)+COUNTIFS(Scores!$B$5:$B$44,2,Scores!$C$5:$C$44,"Paper condition",Scores!M$5:M$44,Scores!M16))^2-1,"")</f>
        <v/>
      </c>
      <c r="AT16" s="1" t="n">
        <f aca="false">IF(ISNUMBER(Scores!M16),Scores!M16^2,"")</f>
        <v>4</v>
      </c>
      <c r="AU16" s="1" t="str">
        <f aca="false">IF(AND(Scores!$B16=1,Scores!$C16="Tool condition",ISNUMBER(Scores!N16)),COUNTIFS(Scores!$B$5:$B$44,1,Scores!$C$5:$C$44,"Paper condition",Scores!N$5:N$44,"&lt;"&amp;Scores!N16)+0.5*COUNTIFS(Scores!$B$5:$B$44,1,Scores!$C$5:$C$44,"Paper condition",Scores!N$5:N$44,Scores!N16),"")</f>
        <v/>
      </c>
      <c r="AV16" s="1" t="n">
        <f aca="false">IF(AND(Scores!$B16=1,OR(Scores!$C16="Tool condition",Scores!$C16="Paper condition"),ISNUMBER(Scores!N16)),(COUNTIFS(Scores!$B$5:$B$44,1,Scores!$C$5:$C$44,"Tool condition",Scores!N$5:N$44,Scores!N16)+COUNTIFS(Scores!$B$5:$B$44,1,Scores!$C$5:$C$44,"Paper condition",Scores!N$5:N$44,Scores!N16))^2-1,"")</f>
        <v>195</v>
      </c>
      <c r="AW16" s="1" t="str">
        <f aca="false">IF(AND(Scores!$B16=2,Scores!$C16="Tool condition",ISNUMBER(Scores!N16)),COUNTIFS(Scores!$B$5:$B$44,2,Scores!$C$5:$C$44,"Paper condition",Scores!N$5:N$44,"&lt;"&amp;Scores!N16)+0.5*COUNTIFS(Scores!$B$5:$B$44,2,Scores!$C$5:$C$44,"Paper condition",Scores!N$5:N$44,Scores!N16),"")</f>
        <v/>
      </c>
      <c r="AX16" s="1" t="str">
        <f aca="false">IF(AND(Scores!$B16=2,OR(Scores!$C16="Tool condition",Scores!$C16="Paper condition"),ISNUMBER(Scores!N16)),(COUNTIFS(Scores!$B$5:$B$44,2,Scores!$C$5:$C$44,"Tool condition",Scores!N$5:N$44,Scores!N16)+COUNTIFS(Scores!$B$5:$B$44,2,Scores!$C$5:$C$44,"Paper condition",Scores!N$5:N$44,Scores!N16))^2-1,"")</f>
        <v/>
      </c>
      <c r="AY16" s="1" t="n">
        <f aca="false">IF(ISNUMBER(Scores!N16),Scores!N16^2,"")</f>
        <v>4</v>
      </c>
      <c r="AZ16" s="1" t="str">
        <f aca="false">IF(AND(Scores!$B16=1,Scores!$C16="Tool condition",ISNUMBER(Scores!O16)),COUNTIFS(Scores!$B$5:$B$44,1,Scores!$C$5:$C$44,"Paper condition",Scores!O$5:O$44,"&lt;"&amp;Scores!O16)+0.5*COUNTIFS(Scores!$B$5:$B$44,1,Scores!$C$5:$C$44,"Paper condition",Scores!O$5:O$44,Scores!O16),"")</f>
        <v/>
      </c>
      <c r="BA16" s="1" t="n">
        <f aca="false">IF(AND(Scores!$B16=1,OR(Scores!$C16="Tool condition",Scores!$C16="Paper condition"),ISNUMBER(Scores!O16)),(COUNTIFS(Scores!$B$5:$B$44,1,Scores!$C$5:$C$44,"Tool condition",Scores!O$5:O$44,Scores!O16)+COUNTIFS(Scores!$B$5:$B$44,1,Scores!$C$5:$C$44,"Paper condition",Scores!O$5:O$44,Scores!O16))^2-1,"")</f>
        <v>15</v>
      </c>
      <c r="BB16" s="1" t="str">
        <f aca="false">IF(AND(Scores!$B16=2,Scores!$C16="Tool condition",ISNUMBER(Scores!O16)),COUNTIFS(Scores!$B$5:$B$44,2,Scores!$C$5:$C$44,"Paper condition",Scores!O$5:O$44,"&lt;"&amp;Scores!O16)+0.5*COUNTIFS(Scores!$B$5:$B$44,2,Scores!$C$5:$C$44,"Paper condition",Scores!O$5:O$44,Scores!O16),"")</f>
        <v/>
      </c>
      <c r="BC16" s="1" t="str">
        <f aca="false">IF(AND(Scores!$B16=2,OR(Scores!$C16="Tool condition",Scores!$C16="Paper condition"),ISNUMBER(Scores!O16)),(COUNTIFS(Scores!$B$5:$B$44,2,Scores!$C$5:$C$44,"Tool condition",Scores!O$5:O$44,Scores!O16)+COUNTIFS(Scores!$B$5:$B$44,2,Scores!$C$5:$C$44,"Paper condition",Scores!O$5:O$44,Scores!O16))^2-1,"")</f>
        <v/>
      </c>
      <c r="BD16" s="1" t="n">
        <f aca="false">IF(ISNUMBER(Scores!O16),Scores!O16^2,"")</f>
        <v>1</v>
      </c>
      <c r="BE16" s="1" t="str">
        <f aca="false">IF(AND(Scores!$B16=1,Scores!$C16="Tool condition",ISNUMBER(Scores!P16)),COUNTIFS(Scores!$B$5:$B$44,1,Scores!$C$5:$C$44,"Paper condition",Scores!P$5:P$44,"&lt;"&amp;Scores!P16)+0.5*COUNTIFS(Scores!$B$5:$B$44,1,Scores!$C$5:$C$44,"Paper condition",Scores!P$5:P$44,Scores!P16),"")</f>
        <v/>
      </c>
      <c r="BF16" s="1" t="n">
        <f aca="false">IF(AND(Scores!$B16=1,OR(Scores!$C16="Tool condition",Scores!$C16="Paper condition"),ISNUMBER(Scores!P16)),(COUNTIFS(Scores!$B$5:$B$44,1,Scores!$C$5:$C$44,"Tool condition",Scores!P$5:P$44,Scores!P16)+COUNTIFS(Scores!$B$5:$B$44,1,Scores!$C$5:$C$44,"Paper condition",Scores!P$5:P$44,Scores!P16))^2-1,"")</f>
        <v>168</v>
      </c>
      <c r="BG16" s="1" t="str">
        <f aca="false">IF(AND(Scores!$B16=2,Scores!$C16="Tool condition",ISNUMBER(Scores!P16)),COUNTIFS(Scores!$B$5:$B$44,2,Scores!$C$5:$C$44,"Paper condition",Scores!P$5:P$44,"&lt;"&amp;Scores!P16)+0.5*COUNTIFS(Scores!$B$5:$B$44,2,Scores!$C$5:$C$44,"Paper condition",Scores!P$5:P$44,Scores!P16),"")</f>
        <v/>
      </c>
      <c r="BH16" s="1" t="str">
        <f aca="false">IF(AND(Scores!$B16=2,OR(Scores!$C16="Tool condition",Scores!$C16="Paper condition"),ISNUMBER(Scores!P16)),(COUNTIFS(Scores!$B$5:$B$44,2,Scores!$C$5:$C$44,"Tool condition",Scores!P$5:P$44,Scores!P16)+COUNTIFS(Scores!$B$5:$B$44,2,Scores!$C$5:$C$44,"Paper condition",Scores!P$5:P$44,Scores!P16))^2-1,"")</f>
        <v/>
      </c>
      <c r="BI16" s="1" t="n">
        <f aca="false">IF(ISNUMBER(Scores!P16),Scores!P16^2,"")</f>
        <v>4</v>
      </c>
      <c r="BJ16" s="1" t="str">
        <f aca="false">IF(AND(R_Scores!$B16=1,R_Scores!$C16="Tool condition",ISNUMBER(R_Scores!E16)),COUNTIFS(R_Scores!$B$5:$B$44,1,R_Scores!$C$5:$C$44,"Paper condition",R_Scores!E$5:E$44,"&lt;"&amp;R_Scores!E16)+0.5*COUNTIFS(R_Scores!$B$5:$B$44,1,R_Scores!$C$5:$C$44,"Paper condition",R_Scores!E$5:E$44,R_Scores!E16),"")</f>
        <v/>
      </c>
      <c r="BK16" s="1" t="n">
        <f aca="false">IF(AND(R_Scores!$B16=1,OR(R_Scores!$C16="Tool condition",R_Scores!$C16="Paper condition"),ISNUMBER(R_Scores!E16)),(COUNTIFS(R_Scores!$B$5:$B$44,1,R_Scores!$C$5:$C$44,"Tool condition",R_Scores!E$5:E$44,R_Scores!E16)+COUNTIFS(R_Scores!$B$5:$B$44,1,R_Scores!$C$5:$C$44,"Paper condition",R_Scores!E$5:E$44,R_Scores!E16))^2-1,"")</f>
        <v>224</v>
      </c>
      <c r="BL16" s="1" t="str">
        <f aca="false">IF(AND(R_Scores!$B16=2,R_Scores!$C16="Tool condition",ISNUMBER(R_Scores!E16)),COUNTIFS(R_Scores!$B$5:$B$44,2,R_Scores!$C$5:$C$44,"Paper condition",R_Scores!E$5:E$44,"&lt;"&amp;R_Scores!E16)+0.5*COUNTIFS(R_Scores!$B$5:$B$44,2,R_Scores!$C$5:$C$44,"Paper condition",R_Scores!E$5:E$44,R_Scores!E16),"")</f>
        <v/>
      </c>
      <c r="BM16" s="1" t="str">
        <f aca="false">IF(AND(R_Scores!$B16=2,OR(R_Scores!$C16="Tool condition",R_Scores!$C16="Paper condition"),ISNUMBER(R_Scores!E16)),(COUNTIFS(R_Scores!$B$5:$B$44,2,R_Scores!$C$5:$C$44,"Tool condition",R_Scores!E$5:E$44,R_Scores!E16)+COUNTIFS(R_Scores!$B$5:$B$44,2,R_Scores!$C$5:$C$44,"Paper condition",R_Scores!E$5:E$44,R_Scores!E16))^2-1,"")</f>
        <v/>
      </c>
      <c r="BN16" s="1" t="n">
        <f aca="false">IF(ISNUMBER(R_Scores!E16),R_Scores!E16^2,"")</f>
        <v>1</v>
      </c>
      <c r="BO16" s="1" t="str">
        <f aca="false">IF(AND(R_Scores!$B16=1,R_Scores!$C16="Tool condition",ISNUMBER(R_Scores!F16)),COUNTIFS(R_Scores!$B$5:$B$44,1,R_Scores!$C$5:$C$44,"Paper condition",R_Scores!F$5:F$44,"&lt;"&amp;R_Scores!F16)+0.5*COUNTIFS(R_Scores!$B$5:$B$44,1,R_Scores!$C$5:$C$44,"Paper condition",R_Scores!F$5:F$44,R_Scores!F16),"")</f>
        <v/>
      </c>
      <c r="BP16" s="1" t="n">
        <f aca="false">IF(AND(R_Scores!$B16=1,OR(R_Scores!$C16="Tool condition",R_Scores!$C16="Paper condition"),ISNUMBER(R_Scores!F16)),(COUNTIFS(R_Scores!$B$5:$B$44,1,R_Scores!$C$5:$C$44,"Tool condition",R_Scores!F$5:F$44,R_Scores!F16)+COUNTIFS(R_Scores!$B$5:$B$44,1,R_Scores!$C$5:$C$44,"Paper condition",R_Scores!F$5:F$44,R_Scores!F16))^2-1,"")</f>
        <v>195</v>
      </c>
      <c r="BQ16" s="1" t="str">
        <f aca="false">IF(AND(R_Scores!$B16=2,R_Scores!$C16="Tool condition",ISNUMBER(R_Scores!F16)),COUNTIFS(R_Scores!$B$5:$B$44,2,R_Scores!$C$5:$C$44,"Paper condition",R_Scores!F$5:F$44,"&lt;"&amp;R_Scores!F16)+0.5*COUNTIFS(R_Scores!$B$5:$B$44,2,R_Scores!$C$5:$C$44,"Paper condition",R_Scores!F$5:F$44,R_Scores!F16),"")</f>
        <v/>
      </c>
      <c r="BR16" s="1" t="str">
        <f aca="false">IF(AND(R_Scores!$B16=2,OR(R_Scores!$C16="Tool condition",R_Scores!$C16="Paper condition"),ISNUMBER(R_Scores!F16)),(COUNTIFS(R_Scores!$B$5:$B$44,2,R_Scores!$C$5:$C$44,"Tool condition",R_Scores!F$5:F$44,R_Scores!F16)+COUNTIFS(R_Scores!$B$5:$B$44,2,R_Scores!$C$5:$C$44,"Paper condition",R_Scores!F$5:F$44,R_Scores!F16))^2-1,"")</f>
        <v/>
      </c>
      <c r="BS16" s="1" t="n">
        <f aca="false">IF(ISNUMBER(R_Scores!F16),R_Scores!F16^2,"")</f>
        <v>1</v>
      </c>
      <c r="BT16" s="1" t="str">
        <f aca="false">IF(AND(R_Scores!$B16=1,R_Scores!$C16="Tool condition",ISNUMBER(R_Scores!G16)),COUNTIFS(R_Scores!$B$5:$B$44,1,R_Scores!$C$5:$C$44,"Paper condition",R_Scores!G$5:G$44,"&lt;"&amp;R_Scores!G16)+0.5*COUNTIFS(R_Scores!$B$5:$B$44,1,R_Scores!$C$5:$C$44,"Paper condition",R_Scores!G$5:G$44,R_Scores!G16),"")</f>
        <v/>
      </c>
      <c r="BU16" s="1" t="str">
        <f aca="false">IF(AND(R_Scores!$B16=1,OR(R_Scores!$C16="Tool condition",R_Scores!$C16="Paper condition"),ISNUMBER(R_Scores!G16)),(COUNTIFS(R_Scores!$B$5:$B$44,1,R_Scores!$C$5:$C$44,"Tool condition",R_Scores!G$5:G$44,R_Scores!G16)+COUNTIFS(R_Scores!$B$5:$B$44,1,R_Scores!$C$5:$C$44,"Paper condition",R_Scores!G$5:G$44,R_Scores!G16))^2-1,"")</f>
        <v/>
      </c>
      <c r="BV16" s="1" t="str">
        <f aca="false">IF(AND(R_Scores!$B16=2,R_Scores!$C16="Tool condition",ISNUMBER(R_Scores!G16)),COUNTIFS(R_Scores!$B$5:$B$44,2,R_Scores!$C$5:$C$44,"Paper condition",R_Scores!G$5:G$44,"&lt;"&amp;R_Scores!G16)+0.5*COUNTIFS(R_Scores!$B$5:$B$44,2,R_Scores!$C$5:$C$44,"Paper condition",R_Scores!G$5:G$44,R_Scores!G16),"")</f>
        <v/>
      </c>
      <c r="BW16" s="1" t="str">
        <f aca="false">IF(AND(R_Scores!$B16=2,OR(R_Scores!$C16="Tool condition",R_Scores!$C16="Paper condition"),ISNUMBER(R_Scores!G16)),(COUNTIFS(R_Scores!$B$5:$B$44,2,R_Scores!$C$5:$C$44,"Tool condition",R_Scores!G$5:G$44,R_Scores!G16)+COUNTIFS(R_Scores!$B$5:$B$44,2,R_Scores!$C$5:$C$44,"Paper condition",R_Scores!G$5:G$44,R_Scores!G16))^2-1,"")</f>
        <v/>
      </c>
      <c r="BX16" s="1" t="str">
        <f aca="false">IF(ISNUMBER(R_Scores!G16),R_Scores!G16^2,"")</f>
        <v/>
      </c>
      <c r="BY16" s="1" t="str">
        <f aca="false">IF(AND(R_Scores!$B16=1,R_Scores!$C16="Tool condition",ISNUMBER(R_Scores!H16)),COUNTIFS(R_Scores!$B$5:$B$44,1,R_Scores!$C$5:$C$44,"Paper condition",R_Scores!H$5:H$44,"&lt;"&amp;R_Scores!H16)+0.5*COUNTIFS(R_Scores!$B$5:$B$44,1,R_Scores!$C$5:$C$44,"Paper condition",R_Scores!H$5:H$44,R_Scores!H16),"")</f>
        <v/>
      </c>
      <c r="BZ16" s="1" t="str">
        <f aca="false">IF(AND(R_Scores!$B16=1,OR(R_Scores!$C16="Tool condition",R_Scores!$C16="Paper condition"),ISNUMBER(R_Scores!H16)),(COUNTIFS(R_Scores!$B$5:$B$44,1,R_Scores!$C$5:$C$44,"Tool condition",R_Scores!H$5:H$44,R_Scores!H16)+COUNTIFS(R_Scores!$B$5:$B$44,1,R_Scores!$C$5:$C$44,"Paper condition",R_Scores!H$5:H$44,R_Scores!H16))^2-1,"")</f>
        <v/>
      </c>
      <c r="CA16" s="1" t="str">
        <f aca="false">IF(AND(R_Scores!$B16=2,R_Scores!$C16="Tool condition",ISNUMBER(R_Scores!H16)),COUNTIFS(R_Scores!$B$5:$B$44,2,R_Scores!$C$5:$C$44,"Paper condition",R_Scores!H$5:H$44,"&lt;"&amp;R_Scores!H16)+0.5*COUNTIFS(R_Scores!$B$5:$B$44,2,R_Scores!$C$5:$C$44,"Paper condition",R_Scores!H$5:H$44,R_Scores!H16),"")</f>
        <v/>
      </c>
      <c r="CB16" s="1" t="str">
        <f aca="false">IF(AND(R_Scores!$B16=2,OR(R_Scores!$C16="Tool condition",R_Scores!$C16="Paper condition"),ISNUMBER(R_Scores!H16)),(COUNTIFS(R_Scores!$B$5:$B$44,2,R_Scores!$C$5:$C$44,"Tool condition",R_Scores!H$5:H$44,R_Scores!H16)+COUNTIFS(R_Scores!$B$5:$B$44,2,R_Scores!$C$5:$C$44,"Paper condition",R_Scores!H$5:H$44,R_Scores!H16))^2-1,"")</f>
        <v/>
      </c>
      <c r="CC16" s="1" t="str">
        <f aca="false">IF(ISNUMBER(R_Scores!H16),R_Scores!H16^2,"")</f>
        <v/>
      </c>
      <c r="CD16" s="1" t="str">
        <f aca="false">IF(AND(R_Scores!$B16=1,R_Scores!$C16="Tool condition",ISNUMBER(R_Scores!I16)),COUNTIFS(R_Scores!$B$5:$B$44,1,R_Scores!$C$5:$C$44,"Paper condition",R_Scores!I$5:I$44,"&lt;"&amp;R_Scores!I16)+0.5*COUNTIFS(R_Scores!$B$5:$B$44,1,R_Scores!$C$5:$C$44,"Paper condition",R_Scores!I$5:I$44,R_Scores!I16),"")</f>
        <v/>
      </c>
      <c r="CE16" s="1" t="n">
        <f aca="false">IF(AND(R_Scores!$B16=1,OR(R_Scores!$C16="Tool condition",R_Scores!$C16="Paper condition"),ISNUMBER(R_Scores!I16)),(COUNTIFS(R_Scores!$B$5:$B$44,1,R_Scores!$C$5:$C$44,"Tool condition",R_Scores!I$5:I$44,R_Scores!I16)+COUNTIFS(R_Scores!$B$5:$B$44,1,R_Scores!$C$5:$C$44,"Paper condition",R_Scores!I$5:I$44,R_Scores!I16))^2-1,"")</f>
        <v>168</v>
      </c>
      <c r="CF16" s="1" t="str">
        <f aca="false">IF(AND(R_Scores!$B16=2,R_Scores!$C16="Tool condition",ISNUMBER(R_Scores!I16)),COUNTIFS(R_Scores!$B$5:$B$44,2,R_Scores!$C$5:$C$44,"Paper condition",R_Scores!I$5:I$44,"&lt;"&amp;R_Scores!I16)+0.5*COUNTIFS(R_Scores!$B$5:$B$44,2,R_Scores!$C$5:$C$44,"Paper condition",R_Scores!I$5:I$44,R_Scores!I16),"")</f>
        <v/>
      </c>
      <c r="CG16" s="1" t="str">
        <f aca="false">IF(AND(R_Scores!$B16=2,OR(R_Scores!$C16="Tool condition",R_Scores!$C16="Paper condition"),ISNUMBER(R_Scores!I16)),(COUNTIFS(R_Scores!$B$5:$B$44,2,R_Scores!$C$5:$C$44,"Tool condition",R_Scores!I$5:I$44,R_Scores!I16)+COUNTIFS(R_Scores!$B$5:$B$44,2,R_Scores!$C$5:$C$44,"Paper condition",R_Scores!I$5:I$44,R_Scores!I16))^2-1,"")</f>
        <v/>
      </c>
      <c r="CH16" s="1" t="n">
        <f aca="false">IF(ISNUMBER(R_Scores!I16),R_Scores!I16^2,"")</f>
        <v>1</v>
      </c>
      <c r="CI16" s="1" t="str">
        <f aca="false">IF(AND(R_Scores!$B16=1,R_Scores!$C16="Tool condition",ISNUMBER(R_Scores!J16)),COUNTIFS(R_Scores!$B$5:$B$44,1,R_Scores!$C$5:$C$44,"Paper condition",R_Scores!J$5:J$44,"&lt;"&amp;R_Scores!J16)+0.5*COUNTIFS(R_Scores!$B$5:$B$44,1,R_Scores!$C$5:$C$44,"Paper condition",R_Scores!J$5:J$44,R_Scores!J16),"")</f>
        <v/>
      </c>
      <c r="CJ16" s="1" t="n">
        <f aca="false">IF(AND(R_Scores!$B16=1,OR(R_Scores!$C16="Tool condition",R_Scores!$C16="Paper condition"),ISNUMBER(R_Scores!J16)),(COUNTIFS(R_Scores!$B$5:$B$44,1,R_Scores!$C$5:$C$44,"Tool condition",R_Scores!J$5:J$44,R_Scores!J16)+COUNTIFS(R_Scores!$B$5:$B$44,1,R_Scores!$C$5:$C$44,"Paper condition",R_Scores!J$5:J$44,R_Scores!J16))^2-1,"")</f>
        <v>224</v>
      </c>
      <c r="CK16" s="1" t="str">
        <f aca="false">IF(AND(R_Scores!$B16=2,R_Scores!$C16="Tool condition",ISNUMBER(R_Scores!J16)),COUNTIFS(R_Scores!$B$5:$B$44,2,R_Scores!$C$5:$C$44,"Paper condition",R_Scores!J$5:J$44,"&lt;"&amp;R_Scores!J16)+0.5*COUNTIFS(R_Scores!$B$5:$B$44,2,R_Scores!$C$5:$C$44,"Paper condition",R_Scores!J$5:J$44,R_Scores!J16),"")</f>
        <v/>
      </c>
      <c r="CL16" s="1" t="str">
        <f aca="false">IF(AND(R_Scores!$B16=2,OR(R_Scores!$C16="Tool condition",R_Scores!$C16="Paper condition"),ISNUMBER(R_Scores!J16)),(COUNTIFS(R_Scores!$B$5:$B$44,2,R_Scores!$C$5:$C$44,"Tool condition",R_Scores!J$5:J$44,R_Scores!J16)+COUNTIFS(R_Scores!$B$5:$B$44,2,R_Scores!$C$5:$C$44,"Paper condition",R_Scores!J$5:J$44,R_Scores!J16))^2-1,"")</f>
        <v/>
      </c>
      <c r="CM16" s="1" t="n">
        <f aca="false">IF(ISNUMBER(R_Scores!J16),R_Scores!J16^2,"")</f>
        <v>1</v>
      </c>
      <c r="CN16" s="1" t="str">
        <f aca="false">IF(AND(R_Scores!$B16=1,R_Scores!$C16="Tool condition",ISNUMBER(R_Scores!K16)),COUNTIFS(R_Scores!$B$5:$B$44,1,R_Scores!$C$5:$C$44,"Paper condition",R_Scores!K$5:K$44,"&lt;"&amp;R_Scores!K16)+0.5*COUNTIFS(R_Scores!$B$5:$B$44,1,R_Scores!$C$5:$C$44,"Paper condition",R_Scores!K$5:K$44,R_Scores!K16),"")</f>
        <v/>
      </c>
      <c r="CO16" s="1" t="str">
        <f aca="false">IF(AND(R_Scores!$B16=1,OR(R_Scores!$C16="Tool condition",R_Scores!$C16="Paper condition"),ISNUMBER(R_Scores!K16)),(COUNTIFS(R_Scores!$B$5:$B$44,1,R_Scores!$C$5:$C$44,"Tool condition",R_Scores!K$5:K$44,R_Scores!K16)+COUNTIFS(R_Scores!$B$5:$B$44,1,R_Scores!$C$5:$C$44,"Paper condition",R_Scores!K$5:K$44,R_Scores!K16))^2-1,"")</f>
        <v/>
      </c>
      <c r="CP16" s="1" t="str">
        <f aca="false">IF(AND(R_Scores!$B16=2,R_Scores!$C16="Tool condition",ISNUMBER(R_Scores!K16)),COUNTIFS(R_Scores!$B$5:$B$44,2,R_Scores!$C$5:$C$44,"Paper condition",R_Scores!K$5:K$44,"&lt;"&amp;R_Scores!K16)+0.5*COUNTIFS(R_Scores!$B$5:$B$44,2,R_Scores!$C$5:$C$44,"Paper condition",R_Scores!K$5:K$44,R_Scores!K16),"")</f>
        <v/>
      </c>
      <c r="CQ16" s="1" t="str">
        <f aca="false">IF(AND(R_Scores!$B16=2,OR(R_Scores!$C16="Tool condition",R_Scores!$C16="Paper condition"),ISNUMBER(R_Scores!K16)),(COUNTIFS(R_Scores!$B$5:$B$44,2,R_Scores!$C$5:$C$44,"Tool condition",R_Scores!K$5:K$44,R_Scores!K16)+COUNTIFS(R_Scores!$B$5:$B$44,2,R_Scores!$C$5:$C$44,"Paper condition",R_Scores!K$5:K$44,R_Scores!K16))^2-1,"")</f>
        <v/>
      </c>
      <c r="CR16" s="1" t="str">
        <f aca="false">IF(ISNUMBER(R_Scores!K16),R_Scores!K16^2,"")</f>
        <v/>
      </c>
      <c r="CS16" s="1" t="str">
        <f aca="false">IF(AND(R_Scores!$B16=1,R_Scores!$C16="Tool condition",ISNUMBER(R_Scores!L16)),COUNTIFS(R_Scores!$B$5:$B$44,1,R_Scores!$C$5:$C$44,"Paper condition",R_Scores!L$5:L$44,"&lt;"&amp;R_Scores!L16)+0.5*COUNTIFS(R_Scores!$B$5:$B$44,1,R_Scores!$C$5:$C$44,"Paper condition",R_Scores!L$5:L$44,R_Scores!L16),"")</f>
        <v/>
      </c>
      <c r="CT16" s="1" t="str">
        <f aca="false">IF(AND(R_Scores!$B16=1,OR(R_Scores!$C16="Tool condition",R_Scores!$C16="Paper condition"),ISNUMBER(R_Scores!L16)),(COUNTIFS(R_Scores!$B$5:$B$44,1,R_Scores!$C$5:$C$44,"Tool condition",R_Scores!L$5:L$44,R_Scores!L16)+COUNTIFS(R_Scores!$B$5:$B$44,1,R_Scores!$C$5:$C$44,"Paper condition",R_Scores!L$5:L$44,R_Scores!L16))^2-1,"")</f>
        <v/>
      </c>
      <c r="CU16" s="1" t="str">
        <f aca="false">IF(AND(R_Scores!$B16=2,R_Scores!$C16="Tool condition",ISNUMBER(R_Scores!L16)),COUNTIFS(R_Scores!$B$5:$B$44,2,R_Scores!$C$5:$C$44,"Paper condition",R_Scores!L$5:L$44,"&lt;"&amp;R_Scores!L16)+0.5*COUNTIFS(R_Scores!$B$5:$B$44,2,R_Scores!$C$5:$C$44,"Paper condition",R_Scores!L$5:L$44,R_Scores!L16),"")</f>
        <v/>
      </c>
      <c r="CV16" s="1" t="str">
        <f aca="false">IF(AND(R_Scores!$B16=2,OR(R_Scores!$C16="Tool condition",R_Scores!$C16="Paper condition"),ISNUMBER(R_Scores!L16)),(COUNTIFS(R_Scores!$B$5:$B$44,2,R_Scores!$C$5:$C$44,"Tool condition",R_Scores!L$5:L$44,R_Scores!L16)+COUNTIFS(R_Scores!$B$5:$B$44,2,R_Scores!$C$5:$C$44,"Paper condition",R_Scores!L$5:L$44,R_Scores!L16))^2-1,"")</f>
        <v/>
      </c>
      <c r="CW16" s="1" t="str">
        <f aca="false">IF(ISNUMBER(R_Scores!L16),R_Scores!L16^2,"")</f>
        <v/>
      </c>
      <c r="CX16" s="1" t="str">
        <f aca="false">IF(AND(R_Scores!$B16=1,R_Scores!$C16="Tool condition",ISNUMBER(R_Scores!M16)),COUNTIFS(R_Scores!$B$5:$B$44,1,R_Scores!$C$5:$C$44,"Paper condition",R_Scores!M$5:M$44,"&lt;"&amp;R_Scores!M16)+0.5*COUNTIFS(R_Scores!$B$5:$B$44,1,R_Scores!$C$5:$C$44,"Paper condition",R_Scores!M$5:M$44,R_Scores!M16),"")</f>
        <v/>
      </c>
      <c r="CY16" s="1" t="str">
        <f aca="false">IF(AND(R_Scores!$B16=1,OR(R_Scores!$C16="Tool condition",R_Scores!$C16="Paper condition"),ISNUMBER(R_Scores!M16)),(COUNTIFS(R_Scores!$B$5:$B$44,1,R_Scores!$C$5:$C$44,"Tool condition",R_Scores!M$5:M$44,R_Scores!M16)+COUNTIFS(R_Scores!$B$5:$B$44,1,R_Scores!$C$5:$C$44,"Paper condition",R_Scores!M$5:M$44,R_Scores!M16))^2-1,"")</f>
        <v/>
      </c>
      <c r="CZ16" s="1" t="str">
        <f aca="false">IF(AND(R_Scores!$B16=2,R_Scores!$C16="Tool condition",ISNUMBER(R_Scores!M16)),COUNTIFS(R_Scores!$B$5:$B$44,2,R_Scores!$C$5:$C$44,"Paper condition",R_Scores!M$5:M$44,"&lt;"&amp;R_Scores!M16)+0.5*COUNTIFS(R_Scores!$B$5:$B$44,2,R_Scores!$C$5:$C$44,"Paper condition",R_Scores!M$5:M$44,R_Scores!M16),"")</f>
        <v/>
      </c>
      <c r="DA16" s="1" t="str">
        <f aca="false">IF(AND(R_Scores!$B16=2,OR(R_Scores!$C16="Tool condition",R_Scores!$C16="Paper condition"),ISNUMBER(R_Scores!M16)),(COUNTIFS(R_Scores!$B$5:$B$44,2,R_Scores!$C$5:$C$44,"Tool condition",R_Scores!M$5:M$44,R_Scores!M16)+COUNTIFS(R_Scores!$B$5:$B$44,2,R_Scores!$C$5:$C$44,"Paper condition",R_Scores!M$5:M$44,R_Scores!M16))^2-1,"")</f>
        <v/>
      </c>
      <c r="DB16" s="1" t="str">
        <f aca="false">IF(ISNUMBER(R_Scores!M16),R_Scores!M16^2,"")</f>
        <v/>
      </c>
      <c r="DC16" s="1" t="str">
        <f aca="false">IF(AND(R_Scores!$B16=1,R_Scores!$C16="Tool condition",ISNUMBER(R_Scores!N16)),COUNTIFS(R_Scores!$B$5:$B$44,1,R_Scores!$C$5:$C$44,"Paper condition",R_Scores!N$5:N$44,"&lt;"&amp;R_Scores!N16)+0.5*COUNTIFS(R_Scores!$B$5:$B$44,1,R_Scores!$C$5:$C$44,"Paper condition",R_Scores!N$5:N$44,R_Scores!N16),"")</f>
        <v/>
      </c>
      <c r="DD16" s="1" t="n">
        <f aca="false">IF(AND(R_Scores!$B16=1,OR(R_Scores!$C16="Tool condition",R_Scores!$C16="Paper condition"),ISNUMBER(R_Scores!N16)),(COUNTIFS(R_Scores!$B$5:$B$44,1,R_Scores!$C$5:$C$44,"Tool condition",R_Scores!N$5:N$44,R_Scores!N16)+COUNTIFS(R_Scores!$B$5:$B$44,1,R_Scores!$C$5:$C$44,"Paper condition",R_Scores!N$5:N$44,R_Scores!N16))^2-1,"")</f>
        <v>143</v>
      </c>
      <c r="DE16" s="1" t="str">
        <f aca="false">IF(AND(R_Scores!$B16=2,R_Scores!$C16="Tool condition",ISNUMBER(R_Scores!N16)),COUNTIFS(R_Scores!$B$5:$B$44,2,R_Scores!$C$5:$C$44,"Paper condition",R_Scores!N$5:N$44,"&lt;"&amp;R_Scores!N16)+0.5*COUNTIFS(R_Scores!$B$5:$B$44,2,R_Scores!$C$5:$C$44,"Paper condition",R_Scores!N$5:N$44,R_Scores!N16),"")</f>
        <v/>
      </c>
      <c r="DF16" s="1" t="str">
        <f aca="false">IF(AND(R_Scores!$B16=2,OR(R_Scores!$C16="Tool condition",R_Scores!$C16="Paper condition"),ISNUMBER(R_Scores!N16)),(COUNTIFS(R_Scores!$B$5:$B$44,2,R_Scores!$C$5:$C$44,"Tool condition",R_Scores!N$5:N$44,R_Scores!N16)+COUNTIFS(R_Scores!$B$5:$B$44,2,R_Scores!$C$5:$C$44,"Paper condition",R_Scores!N$5:N$44,R_Scores!N16))^2-1,"")</f>
        <v/>
      </c>
      <c r="DG16" s="1" t="n">
        <f aca="false">IF(ISNUMBER(R_Scores!N16),R_Scores!N16^2,"")</f>
        <v>1</v>
      </c>
      <c r="DH16" s="1" t="str">
        <f aca="false">IF(AND(R_Scores!$B16=1,R_Scores!$C16="Tool condition",ISNUMBER(R_Scores!O16)),COUNTIFS(R_Scores!$B$5:$B$44,1,R_Scores!$C$5:$C$44,"Paper condition",R_Scores!O$5:O$44,"&lt;"&amp;R_Scores!O16)+0.5*COUNTIFS(R_Scores!$B$5:$B$44,1,R_Scores!$C$5:$C$44,"Paper condition",R_Scores!O$5:O$44,R_Scores!O16),"")</f>
        <v/>
      </c>
      <c r="DI16" s="1" t="n">
        <f aca="false">IF(AND(R_Scores!$B16=1,OR(R_Scores!$C16="Tool condition",R_Scores!$C16="Paper condition"),ISNUMBER(R_Scores!O16)),(COUNTIFS(R_Scores!$B$5:$B$44,1,R_Scores!$C$5:$C$44,"Tool condition",R_Scores!O$5:O$44,R_Scores!O16)+COUNTIFS(R_Scores!$B$5:$B$44,1,R_Scores!$C$5:$C$44,"Paper condition",R_Scores!O$5:O$44,R_Scores!O16))^2-1,"")</f>
        <v>48</v>
      </c>
      <c r="DJ16" s="1" t="str">
        <f aca="false">IF(AND(R_Scores!$B16=2,R_Scores!$C16="Tool condition",ISNUMBER(R_Scores!O16)),COUNTIFS(R_Scores!$B$5:$B$44,2,R_Scores!$C$5:$C$44,"Paper condition",R_Scores!O$5:O$44,"&lt;"&amp;R_Scores!O16)+0.5*COUNTIFS(R_Scores!$B$5:$B$44,2,R_Scores!$C$5:$C$44,"Paper condition",R_Scores!O$5:O$44,R_Scores!O16),"")</f>
        <v/>
      </c>
      <c r="DK16" s="1" t="str">
        <f aca="false">IF(AND(R_Scores!$B16=2,OR(R_Scores!$C16="Tool condition",R_Scores!$C16="Paper condition"),ISNUMBER(R_Scores!O16)),(COUNTIFS(R_Scores!$B$5:$B$44,2,R_Scores!$C$5:$C$44,"Tool condition",R_Scores!O$5:O$44,R_Scores!O16)+COUNTIFS(R_Scores!$B$5:$B$44,2,R_Scores!$C$5:$C$44,"Paper condition",R_Scores!O$5:O$44,R_Scores!O16))^2-1,"")</f>
        <v/>
      </c>
      <c r="DL16" s="1" t="n">
        <f aca="false">IF(ISNUMBER(R_Scores!O16),R_Scores!O16^2,"")</f>
        <v>0</v>
      </c>
      <c r="DM16" s="1" t="str">
        <f aca="false">IF(AND(R_Scores!$B16=1,R_Scores!$C16="Tool condition",ISNUMBER(R_Scores!P16)),COUNTIFS(R_Scores!$B$5:$B$44,1,R_Scores!$C$5:$C$44,"Paper condition",R_Scores!P$5:P$44,"&lt;"&amp;R_Scores!P16)+0.5*COUNTIFS(R_Scores!$B$5:$B$44,1,R_Scores!$C$5:$C$44,"Paper condition",R_Scores!P$5:P$44,R_Scores!P16),"")</f>
        <v/>
      </c>
      <c r="DN16" s="1" t="n">
        <f aca="false">IF(AND(R_Scores!$B16=1,OR(R_Scores!$C16="Tool condition",R_Scores!$C16="Paper condition"),ISNUMBER(R_Scores!P16)),(COUNTIFS(R_Scores!$B$5:$B$44,1,R_Scores!$C$5:$C$44,"Tool condition",R_Scores!P$5:P$44,R_Scores!P16)+COUNTIFS(R_Scores!$B$5:$B$44,1,R_Scores!$C$5:$C$44,"Paper condition",R_Scores!P$5:P$44,R_Scores!P16))^2-1,"")</f>
        <v>120</v>
      </c>
      <c r="DO16" s="1" t="str">
        <f aca="false">IF(AND(R_Scores!$B16=2,R_Scores!$C16="Tool condition",ISNUMBER(R_Scores!P16)),COUNTIFS(R_Scores!$B$5:$B$44,2,R_Scores!$C$5:$C$44,"Paper condition",R_Scores!P$5:P$44,"&lt;"&amp;R_Scores!P16)+0.5*COUNTIFS(R_Scores!$B$5:$B$44,2,R_Scores!$C$5:$C$44,"Paper condition",R_Scores!P$5:P$44,R_Scores!P16),"")</f>
        <v/>
      </c>
      <c r="DP16" s="1" t="str">
        <f aca="false">IF(AND(R_Scores!$B16=2,OR(R_Scores!$C16="Tool condition",R_Scores!$C16="Paper condition"),ISNUMBER(R_Scores!P16)),(COUNTIFS(R_Scores!$B$5:$B$44,2,R_Scores!$C$5:$C$44,"Tool condition",R_Scores!P$5:P$44,R_Scores!P16)+COUNTIFS(R_Scores!$B$5:$B$44,2,R_Scores!$C$5:$C$44,"Paper condition",R_Scores!P$5:P$44,R_Scores!P16))^2-1,"")</f>
        <v/>
      </c>
      <c r="DQ16" s="1" t="n">
        <f aca="false">IF(ISNUMBER(R_Scores!P16),R_Scores!P16^2,"")</f>
        <v>1</v>
      </c>
      <c r="DR16" s="1" t="str">
        <f aca="false">IF(AND(Scores!$B16=1,Scores!$C16="Tool condition",ISNUMBER(Scores!Q16)),COUNTIFS(Scores!$B$5:$B$44,1,Scores!$C$5:$C$44,"Paper condition",Scores!Q$5:Q$44,"&lt;"&amp;Scores!Q16)+0.5*COUNTIFS(Scores!$B$5:$B$44,1,Scores!$C$5:$C$44,"Paper condition",Scores!Q$5:Q$44,Scores!Q16),"")</f>
        <v/>
      </c>
      <c r="DS16" s="1" t="n">
        <f aca="false">IF(AND(Scores!$B16=1,OR(Scores!$C16="Tool condition",Scores!$C16="Paper condition"),ISNUMBER(Scores!Q16)),(COUNTIFS(Scores!$B$5:$B$44,1,Scores!$C$5:$C$44,"Tool condition",Scores!Q$5:Q$44,Scores!Q16)+COUNTIFS(Scores!$B$5:$B$44,1,Scores!$C$5:$C$44,"Paper condition",Scores!Q$5:Q$44,Scores!Q16))^2-1,"")</f>
        <v>3</v>
      </c>
      <c r="DT16" s="1" t="str">
        <f aca="false">IF(AND(Scores!$B16=2,Scores!$C16="Tool condition",ISNUMBER(Scores!Q16)),COUNTIFS(Scores!$B$5:$B$44,2,Scores!$C$5:$C$44,"Paper condition",Scores!Q$5:Q$44,"&lt;"&amp;Scores!Q16)+0.5*COUNTIFS(Scores!$B$5:$B$44,2,Scores!$C$5:$C$44,"Paper condition",Scores!Q$5:Q$44,Scores!Q16),"")</f>
        <v/>
      </c>
      <c r="DU16" s="1" t="str">
        <f aca="false">IF(AND(Scores!$B16=2,OR(Scores!$C16="Tool condition",Scores!$C16="Paper condition"),ISNUMBER(Scores!Q16)),(COUNTIFS(Scores!$B$5:$B$44,2,Scores!$C$5:$C$44,"Tool condition",Scores!Q$5:Q$44,Scores!Q16)+COUNTIFS(Scores!$B$5:$B$44,2,Scores!$C$5:$C$44,"Paper condition",Scores!Q$5:Q$44,Scores!Q16))^2-1,"")</f>
        <v/>
      </c>
      <c r="DV16" s="1" t="n">
        <f aca="false">IF(ISNUMBER(Scores!Q16),Scores!Q16^2,"")</f>
        <v>484</v>
      </c>
      <c r="DW16" s="1" t="str">
        <f aca="false">IF(AND(Scores!$B16=1,Scores!$C16="Tool condition",ISNUMBER(Scores!R16)),COUNTIFS(Scores!$B$5:$B$44,1,Scores!$C$5:$C$44,"Paper condition",Scores!R$5:R$44,"&lt;"&amp;Scores!R16)+0.5*COUNTIFS(Scores!$B$5:$B$44,1,Scores!$C$5:$C$44,"Paper condition",Scores!R$5:R$44,Scores!R16),"")</f>
        <v/>
      </c>
      <c r="DX16" s="1" t="n">
        <f aca="false">IF(AND(Scores!$B16=1,OR(Scores!$C16="Tool condition",Scores!$C16="Paper condition"),ISNUMBER(Scores!R16)),(COUNTIFS(Scores!$B$5:$B$44,1,Scores!$C$5:$C$44,"Tool condition",Scores!R$5:R$44,Scores!R16)+COUNTIFS(Scores!$B$5:$B$44,1,Scores!$C$5:$C$44,"Paper condition",Scores!R$5:R$44,Scores!R16))^2-1,"")</f>
        <v>0</v>
      </c>
      <c r="DY16" s="1" t="str">
        <f aca="false">IF(AND(Scores!$B16=2,Scores!$C16="Tool condition",ISNUMBER(Scores!R16)),COUNTIFS(Scores!$B$5:$B$44,2,Scores!$C$5:$C$44,"Paper condition",Scores!R$5:R$44,"&lt;"&amp;Scores!R16)+0.5*COUNTIFS(Scores!$B$5:$B$44,2,Scores!$C$5:$C$44,"Paper condition",Scores!R$5:R$44,Scores!R16),"")</f>
        <v/>
      </c>
      <c r="DZ16" s="1" t="str">
        <f aca="false">IF(AND(Scores!$B16=2,OR(Scores!$C16="Tool condition",Scores!$C16="Paper condition"),ISNUMBER(Scores!R16)),(COUNTIFS(Scores!$B$5:$B$44,2,Scores!$C$5:$C$44,"Tool condition",Scores!R$5:R$44,Scores!R16)+COUNTIFS(Scores!$B$5:$B$44,2,Scores!$C$5:$C$44,"Paper condition",Scores!R$5:R$44,Scores!R16))^2-1,"")</f>
        <v/>
      </c>
      <c r="EA16" s="1" t="n">
        <f aca="false">IF(ISNUMBER(Scores!R16),Scores!R16^2,"")</f>
        <v>144</v>
      </c>
      <c r="EB16" s="1" t="str">
        <f aca="false">IF(AND(Scores!$B16=1,Scores!$C16="Tool condition",ISNUMBER(Scores!S16)),COUNTIFS(Scores!$B$5:$B$44,1,Scores!$C$5:$C$44,"Paper condition",Scores!S$5:S$44,"&lt;"&amp;Scores!S16)+0.5*COUNTIFS(Scores!$B$5:$B$44,1,Scores!$C$5:$C$44,"Paper condition",Scores!S$5:S$44,Scores!S16),"")</f>
        <v/>
      </c>
      <c r="EC16" s="1" t="n">
        <f aca="false">IF(AND(Scores!$B16=1,OR(Scores!$C16="Tool condition",Scores!$C16="Paper condition"),ISNUMBER(Scores!S16)),(COUNTIFS(Scores!$B$5:$B$44,1,Scores!$C$5:$C$44,"Tool condition",Scores!S$5:S$44,Scores!S16)+COUNTIFS(Scores!$B$5:$B$44,1,Scores!$C$5:$C$44,"Paper condition",Scores!S$5:S$44,Scores!S16))^2-1,"")</f>
        <v>143</v>
      </c>
      <c r="ED16" s="1" t="str">
        <f aca="false">IF(AND(Scores!$B16=2,Scores!$C16="Tool condition",ISNUMBER(Scores!S16)),COUNTIFS(Scores!$B$5:$B$44,2,Scores!$C$5:$C$44,"Paper condition",Scores!S$5:S$44,"&lt;"&amp;Scores!S16)+0.5*COUNTIFS(Scores!$B$5:$B$44,2,Scores!$C$5:$C$44,"Paper condition",Scores!S$5:S$44,Scores!S16),"")</f>
        <v/>
      </c>
      <c r="EE16" s="1" t="str">
        <f aca="false">IF(AND(Scores!$B16=2,OR(Scores!$C16="Tool condition",Scores!$C16="Paper condition"),ISNUMBER(Scores!S16)),(COUNTIFS(Scores!$B$5:$B$44,2,Scores!$C$5:$C$44,"Tool condition",Scores!S$5:S$44,Scores!S16)+COUNTIFS(Scores!$B$5:$B$44,2,Scores!$C$5:$C$44,"Paper condition",Scores!S$5:S$44,Scores!S16))^2-1,"")</f>
        <v/>
      </c>
      <c r="EF16" s="1" t="n">
        <f aca="false">IF(ISNUMBER(Scores!S16),Scores!S16^2,"")</f>
        <v>100</v>
      </c>
      <c r="EG16" s="1" t="str">
        <f aca="false">IF(AND(Scores!$B16=1,Scores!$C16="Tool condition",ISNUMBER(Scores!T16)),COUNTIFS(Scores!$B$5:$B$44,1,Scores!$C$5:$C$44,"Paper condition",Scores!T$5:T$44,"&lt;"&amp;Scores!T16)+0.5*COUNTIFS(Scores!$B$5:$B$44,1,Scores!$C$5:$C$44,"Paper condition",Scores!T$5:T$44,Scores!T16),"")</f>
        <v/>
      </c>
      <c r="EH16" s="1" t="n">
        <f aca="false">IF(AND(Scores!$B16=1,OR(Scores!$C16="Tool condition",Scores!$C16="Paper condition"),ISNUMBER(Scores!T16)),(COUNTIFS(Scores!$B$5:$B$44,1,Scores!$C$5:$C$44,"Tool condition",Scores!T$5:T$44,Scores!T16)+COUNTIFS(Scores!$B$5:$B$44,1,Scores!$C$5:$C$44,"Paper condition",Scores!T$5:T$44,Scores!T16))^2-1,"")</f>
        <v>168</v>
      </c>
      <c r="EI16" s="1" t="str">
        <f aca="false">IF(AND(Scores!$B16=2,Scores!$C16="Tool condition",ISNUMBER(Scores!T16)),COUNTIFS(Scores!$B$5:$B$44,2,Scores!$C$5:$C$44,"Paper condition",Scores!T$5:T$44,"&lt;"&amp;Scores!T16)+0.5*COUNTIFS(Scores!$B$5:$B$44,2,Scores!$C$5:$C$44,"Paper condition",Scores!T$5:T$44,Scores!T16),"")</f>
        <v/>
      </c>
      <c r="EJ16" s="1" t="str">
        <f aca="false">IF(AND(Scores!$B16=2,OR(Scores!$C16="Tool condition",Scores!$C16="Paper condition"),ISNUMBER(Scores!T16)),(COUNTIFS(Scores!$B$5:$B$44,2,Scores!$C$5:$C$44,"Tool condition",Scores!T$5:T$44,Scores!T16)+COUNTIFS(Scores!$B$5:$B$44,2,Scores!$C$5:$C$44,"Paper condition",Scores!T$5:T$44,Scores!T16))^2-1,"")</f>
        <v/>
      </c>
      <c r="EK16" s="1" t="n">
        <f aca="false">IF(ISNUMBER(Scores!T16),Scores!T16^2,"")</f>
        <v>64</v>
      </c>
      <c r="EL16" s="1" t="str">
        <f aca="false">IF(AND(Scores!$B16=1,Scores!$C16="Tool condition",ISNUMBER(Scores!U16)),COUNTIFS(Scores!$B$5:$B$44,1,Scores!$C$5:$C$44,"Paper condition",Scores!U$5:U$44,"&lt;"&amp;Scores!U16)+0.5*COUNTIFS(Scores!$B$5:$B$44,1,Scores!$C$5:$C$44,"Paper condition",Scores!U$5:U$44,Scores!U16),"")</f>
        <v/>
      </c>
      <c r="EM16" s="1" t="n">
        <f aca="false">IF(AND(Scores!$B16=1,OR(Scores!$C16="Tool condition",Scores!$C16="Paper condition"),ISNUMBER(Scores!U16)),(COUNTIFS(Scores!$B$5:$B$44,1,Scores!$C$5:$C$44,"Tool condition",Scores!U$5:U$44,Scores!U16)+COUNTIFS(Scores!$B$5:$B$44,1,Scores!$C$5:$C$44,"Paper condition",Scores!U$5:U$44,Scores!U16))^2-1,"")</f>
        <v>3</v>
      </c>
      <c r="EN16" s="1" t="str">
        <f aca="false">IF(AND(Scores!$B16=2,Scores!$C16="Tool condition",ISNUMBER(Scores!U16)),COUNTIFS(Scores!$B$5:$B$44,2,Scores!$C$5:$C$44,"Paper condition",Scores!U$5:U$44,"&lt;"&amp;Scores!U16)+0.5*COUNTIFS(Scores!$B$5:$B$44,2,Scores!$C$5:$C$44,"Paper condition",Scores!U$5:U$44,Scores!U16),"")</f>
        <v/>
      </c>
      <c r="EO16" s="1" t="str">
        <f aca="false">IF(AND(Scores!$B16=2,OR(Scores!$C16="Tool condition",Scores!$C16="Paper condition"),ISNUMBER(Scores!U16)),(COUNTIFS(Scores!$B$5:$B$44,2,Scores!$C$5:$C$44,"Tool condition",Scores!U$5:U$44,Scores!U16)+COUNTIFS(Scores!$B$5:$B$44,2,Scores!$C$5:$C$44,"Paper condition",Scores!U$5:U$44,Scores!U16))^2-1,"")</f>
        <v/>
      </c>
      <c r="EP16" s="1" t="n">
        <f aca="false">IF(ISNUMBER(Scores!U16),Scores!U16^2,"")</f>
        <v>25</v>
      </c>
      <c r="EQ16" s="1" t="str">
        <f aca="false">IF(AND(Scores!$B16=1,Scores!$C16="Tool condition",ISNUMBER(Scores!V16)),COUNTIFS(Scores!$B$5:$B$44,1,Scores!$C$5:$C$44,"Paper condition",Scores!V$5:V$44,"&lt;"&amp;Scores!V16)+0.5*COUNTIFS(Scores!$B$5:$B$44,1,Scores!$C$5:$C$44,"Paper condition",Scores!V$5:V$44,Scores!V16),"")</f>
        <v/>
      </c>
      <c r="ER16" s="1" t="n">
        <f aca="false">IF(AND(Scores!$B16=1,OR(Scores!$C16="Tool condition",Scores!$C16="Paper condition"),ISNUMBER(Scores!V16)),(COUNTIFS(Scores!$B$5:$B$44,1,Scores!$C$5:$C$44,"Tool condition",Scores!V$5:V$44,Scores!V16)+COUNTIFS(Scores!$B$5:$B$44,1,Scores!$C$5:$C$44,"Paper condition",Scores!V$5:V$44,Scores!V16))^2-1,"")</f>
        <v>15</v>
      </c>
      <c r="ES16" s="1" t="str">
        <f aca="false">IF(AND(Scores!$B16=2,Scores!$C16="Tool condition",ISNUMBER(Scores!V16)),COUNTIFS(Scores!$B$5:$B$44,2,Scores!$C$5:$C$44,"Paper condition",Scores!V$5:V$44,"&lt;"&amp;Scores!V16)+0.5*COUNTIFS(Scores!$B$5:$B$44,2,Scores!$C$5:$C$44,"Paper condition",Scores!V$5:V$44,Scores!V16),"")</f>
        <v/>
      </c>
      <c r="ET16" s="1" t="str">
        <f aca="false">IF(AND(Scores!$B16=2,OR(Scores!$C16="Tool condition",Scores!$C16="Paper condition"),ISNUMBER(Scores!V16)),(COUNTIFS(Scores!$B$5:$B$44,2,Scores!$C$5:$C$44,"Tool condition",Scores!V$5:V$44,Scores!V16)+COUNTIFS(Scores!$B$5:$B$44,2,Scores!$C$5:$C$44,"Paper condition",Scores!V$5:V$44,Scores!V16))^2-1,"")</f>
        <v/>
      </c>
      <c r="EU16" s="1" t="n">
        <f aca="false">IF(ISNUMBER(Scores!V16),Scores!V16^2,"")</f>
        <v>81</v>
      </c>
      <c r="EV16" s="1" t="str">
        <f aca="false">IF(AND(R_Scores!$B16=1,R_Scores!$C16="Tool condition",ISNUMBER(R_Scores!Q16)),COUNTIFS(R_Scores!$B$5:$B$44,1,R_Scores!$C$5:$C$44,"Paper condition",R_Scores!Q$5:Q$44,"&lt;"&amp;R_Scores!Q16)+0.5*COUNTIFS(R_Scores!$B$5:$B$44,1,R_Scores!$C$5:$C$44,"Paper condition",R_Scores!Q$5:Q$44,R_Scores!Q16),"")</f>
        <v/>
      </c>
      <c r="EW16" s="1" t="n">
        <f aca="false">IF(AND(R_Scores!$B16=1,OR(R_Scores!$C16="Tool condition",R_Scores!$C16="Paper condition"),ISNUMBER(R_Scores!Q16)),(COUNTIFS(R_Scores!$B$5:$B$44,1,R_Scores!$C$5:$C$44,"Tool condition",R_Scores!Q$5:Q$44,R_Scores!Q16)+COUNTIFS(R_Scores!$B$5:$B$44,1,R_Scores!$C$5:$C$44,"Paper condition",R_Scores!Q$5:Q$44,R_Scores!Q16))^2-1,"")</f>
        <v>80</v>
      </c>
      <c r="EX16" s="1" t="str">
        <f aca="false">IF(AND(R_Scores!$B16=2,R_Scores!$C16="Tool condition",ISNUMBER(R_Scores!Q16)),COUNTIFS(R_Scores!$B$5:$B$44,2,R_Scores!$C$5:$C$44,"Paper condition",R_Scores!Q$5:Q$44,"&lt;"&amp;R_Scores!Q16)+0.5*COUNTIFS(R_Scores!$B$5:$B$44,2,R_Scores!$C$5:$C$44,"Paper condition",R_Scores!Q$5:Q$44,R_Scores!Q16),"")</f>
        <v/>
      </c>
      <c r="EY16" s="1" t="str">
        <f aca="false">IF(AND(R_Scores!$B16=2,OR(R_Scores!$C16="Tool condition",R_Scores!$C16="Paper condition"),ISNUMBER(R_Scores!Q16)),(COUNTIFS(R_Scores!$B$5:$B$44,2,R_Scores!$C$5:$C$44,"Tool condition",R_Scores!Q$5:Q$44,R_Scores!Q16)+COUNTIFS(R_Scores!$B$5:$B$44,2,R_Scores!$C$5:$C$44,"Paper condition",R_Scores!Q$5:Q$44,R_Scores!Q16))^2-1,"")</f>
        <v/>
      </c>
      <c r="EZ16" s="1" t="n">
        <f aca="false">IF(ISNUMBER(R_Scores!Q16),R_Scores!Q16^2,"")</f>
        <v>36</v>
      </c>
      <c r="FA16" s="1" t="str">
        <f aca="false">IF(AND(R_Scores!$B16=1,R_Scores!$C16="Tool condition",ISNUMBER(R_Scores!R16)),COUNTIFS(R_Scores!$B$5:$B$44,1,R_Scores!$C$5:$C$44,"Paper condition",R_Scores!R$5:R$44,"&lt;"&amp;R_Scores!R16)+0.5*COUNTIFS(R_Scores!$B$5:$B$44,1,R_Scores!$C$5:$C$44,"Paper condition",R_Scores!R$5:R$44,R_Scores!R16),"")</f>
        <v/>
      </c>
      <c r="FB16" s="1" t="n">
        <f aca="false">IF(AND(R_Scores!$B16=1,OR(R_Scores!$C16="Tool condition",R_Scores!$C16="Paper condition"),ISNUMBER(R_Scores!R16)),(COUNTIFS(R_Scores!$B$5:$B$44,1,R_Scores!$C$5:$C$44,"Tool condition",R_Scores!R$5:R$44,R_Scores!R16)+COUNTIFS(R_Scores!$B$5:$B$44,1,R_Scores!$C$5:$C$44,"Paper condition",R_Scores!R$5:R$44,R_Scores!R16))^2-1,"")</f>
        <v>0</v>
      </c>
      <c r="FC16" s="1" t="str">
        <f aca="false">IF(AND(R_Scores!$B16=2,R_Scores!$C16="Tool condition",ISNUMBER(R_Scores!R16)),COUNTIFS(R_Scores!$B$5:$B$44,2,R_Scores!$C$5:$C$44,"Paper condition",R_Scores!R$5:R$44,"&lt;"&amp;R_Scores!R16)+0.5*COUNTIFS(R_Scores!$B$5:$B$44,2,R_Scores!$C$5:$C$44,"Paper condition",R_Scores!R$5:R$44,R_Scores!R16),"")</f>
        <v/>
      </c>
      <c r="FD16" s="1" t="str">
        <f aca="false">IF(AND(R_Scores!$B16=2,OR(R_Scores!$C16="Tool condition",R_Scores!$C16="Paper condition"),ISNUMBER(R_Scores!R16)),(COUNTIFS(R_Scores!$B$5:$B$44,2,R_Scores!$C$5:$C$44,"Tool condition",R_Scores!R$5:R$44,R_Scores!R16)+COUNTIFS(R_Scores!$B$5:$B$44,2,R_Scores!$C$5:$C$44,"Paper condition",R_Scores!R$5:R$44,R_Scores!R16))^2-1,"")</f>
        <v/>
      </c>
      <c r="FE16" s="1" t="n">
        <f aca="false">IF(ISNUMBER(R_Scores!R16),R_Scores!R16^2,"")</f>
        <v>784</v>
      </c>
    </row>
    <row r="17" customFormat="false" ht="14.25" hidden="false" customHeight="true" outlineLevel="0" collapsed="false">
      <c r="B17" s="1" t="str">
        <f aca="false">IF(AND(Scores!$B17=1,Scores!$C17="Tool condition",ISNUMBER(Scores!E17)),COUNTIFS(Scores!$B$5:$B$44,1,Scores!$C$5:$C$44,"Paper condition",Scores!E$5:E$44,"&lt;"&amp;Scores!E17)+0.5*COUNTIFS(Scores!$B$5:$B$44,1,Scores!$C$5:$C$44,"Paper condition",Scores!E$5:E$44,Scores!E17),"")</f>
        <v/>
      </c>
      <c r="C17" s="1" t="n">
        <f aca="false">IF(AND(Scores!$B17=1,OR(Scores!$C17="Tool condition",Scores!$C17="Paper condition"),ISNUMBER(Scores!E17)),(COUNTIFS(Scores!$B$5:$B$44,1,Scores!$C$5:$C$44,"Tool condition",Scores!E$5:E$44,Scores!E17)+COUNTIFS(Scores!$B$5:$B$44,1,Scores!$C$5:$C$44,"Paper condition",Scores!E$5:E$44,Scores!E17))^2-1,"")</f>
        <v>8</v>
      </c>
      <c r="D17" s="1" t="str">
        <f aca="false">IF(AND(Scores!$B17=2,Scores!$C17="Tool condition",ISNUMBER(Scores!E17)),COUNTIFS(Scores!$B$5:$B$44,2,Scores!$C$5:$C$44,"Paper condition",Scores!E$5:E$44,"&lt;"&amp;Scores!E17)+0.5*COUNTIFS(Scores!$B$5:$B$44,2,Scores!$C$5:$C$44,"Paper condition",Scores!E$5:E$44,Scores!E17),"")</f>
        <v/>
      </c>
      <c r="E17" s="1" t="str">
        <f aca="false">IF(AND(Scores!$B17=2,OR(Scores!$C17="Tool condition",Scores!$C17="Paper condition"),ISNUMBER(Scores!E17)),(COUNTIFS(Scores!$B$5:$B$44,2,Scores!$C$5:$C$44,"Tool condition",Scores!E$5:E$44,Scores!E17)+COUNTIFS(Scores!$B$5:$B$44,2,Scores!$C$5:$C$44,"Paper condition",Scores!E$5:E$44,Scores!E17))^2-1,"")</f>
        <v/>
      </c>
      <c r="F17" s="1" t="n">
        <f aca="false">IF(ISNUMBER(Scores!E17),Scores!E17^2,"")</f>
        <v>1</v>
      </c>
      <c r="G17" s="1" t="str">
        <f aca="false">IF(AND(Scores!$B17=1,Scores!$C17="Tool condition",ISNUMBER(Scores!F17)),COUNTIFS(Scores!$B$5:$B$44,1,Scores!$C$5:$C$44,"Paper condition",Scores!F$5:F$44,"&lt;"&amp;Scores!F17)+0.5*COUNTIFS(Scores!$B$5:$B$44,1,Scores!$C$5:$C$44,"Paper condition",Scores!F$5:F$44,Scores!F17),"")</f>
        <v/>
      </c>
      <c r="H17" s="1" t="n">
        <f aca="false">IF(AND(Scores!$B17=1,OR(Scores!$C17="Tool condition",Scores!$C17="Paper condition"),ISNUMBER(Scores!F17)),(COUNTIFS(Scores!$B$5:$B$44,1,Scores!$C$5:$C$44,"Tool condition",Scores!F$5:F$44,Scores!F17)+COUNTIFS(Scores!$B$5:$B$44,1,Scores!$C$5:$C$44,"Paper condition",Scores!F$5:F$44,Scores!F17))^2-1,"")</f>
        <v>24</v>
      </c>
      <c r="I17" s="1" t="str">
        <f aca="false">IF(AND(Scores!$B17=2,Scores!$C17="Tool condition",ISNUMBER(Scores!F17)),COUNTIFS(Scores!$B$5:$B$44,2,Scores!$C$5:$C$44,"Paper condition",Scores!F$5:F$44,"&lt;"&amp;Scores!F17)+0.5*COUNTIFS(Scores!$B$5:$B$44,2,Scores!$C$5:$C$44,"Paper condition",Scores!F$5:F$44,Scores!F17),"")</f>
        <v/>
      </c>
      <c r="J17" s="1" t="str">
        <f aca="false">IF(AND(Scores!$B17=2,OR(Scores!$C17="Tool condition",Scores!$C17="Paper condition"),ISNUMBER(Scores!F17)),(COUNTIFS(Scores!$B$5:$B$44,2,Scores!$C$5:$C$44,"Tool condition",Scores!F$5:F$44,Scores!F17)+COUNTIFS(Scores!$B$5:$B$44,2,Scores!$C$5:$C$44,"Paper condition",Scores!F$5:F$44,Scores!F17))^2-1,"")</f>
        <v/>
      </c>
      <c r="K17" s="1" t="n">
        <f aca="false">IF(ISNUMBER(Scores!F17),Scores!F17^2,"")</f>
        <v>1</v>
      </c>
      <c r="L17" s="1" t="str">
        <f aca="false">IF(AND(Scores!$B17=1,Scores!$C17="Tool condition",ISNUMBER(Scores!G17)),COUNTIFS(Scores!$B$5:$B$44,1,Scores!$C$5:$C$44,"Paper condition",Scores!G$5:G$44,"&lt;"&amp;Scores!G17)+0.5*COUNTIFS(Scores!$B$5:$B$44,1,Scores!$C$5:$C$44,"Paper condition",Scores!G$5:G$44,Scores!G17),"")</f>
        <v/>
      </c>
      <c r="M17" s="1" t="n">
        <f aca="false">IF(AND(Scores!$B17=1,OR(Scores!$C17="Tool condition",Scores!$C17="Paper condition"),ISNUMBER(Scores!G17)),(COUNTIFS(Scores!$B$5:$B$44,1,Scores!$C$5:$C$44,"Tool condition",Scores!G$5:G$44,Scores!G17)+COUNTIFS(Scores!$B$5:$B$44,1,Scores!$C$5:$C$44,"Paper condition",Scores!G$5:G$44,Scores!G17))^2-1,"")</f>
        <v>288</v>
      </c>
      <c r="N17" s="1" t="str">
        <f aca="false">IF(AND(Scores!$B17=2,Scores!$C17="Tool condition",ISNUMBER(Scores!G17)),COUNTIFS(Scores!$B$5:$B$44,2,Scores!$C$5:$C$44,"Paper condition",Scores!G$5:G$44,"&lt;"&amp;Scores!G17)+0.5*COUNTIFS(Scores!$B$5:$B$44,2,Scores!$C$5:$C$44,"Paper condition",Scores!G$5:G$44,Scores!G17),"")</f>
        <v/>
      </c>
      <c r="O17" s="1" t="str">
        <f aca="false">IF(AND(Scores!$B17=2,OR(Scores!$C17="Tool condition",Scores!$C17="Paper condition"),ISNUMBER(Scores!G17)),(COUNTIFS(Scores!$B$5:$B$44,2,Scores!$C$5:$C$44,"Tool condition",Scores!G$5:G$44,Scores!G17)+COUNTIFS(Scores!$B$5:$B$44,2,Scores!$C$5:$C$44,"Paper condition",Scores!G$5:G$44,Scores!G17))^2-1,"")</f>
        <v/>
      </c>
      <c r="P17" s="1" t="n">
        <f aca="false">IF(ISNUMBER(Scores!G17),Scores!G17^2,"")</f>
        <v>4</v>
      </c>
      <c r="Q17" s="1" t="str">
        <f aca="false">IF(AND(Scores!$B17=1,Scores!$C17="Tool condition",ISNUMBER(Scores!H17)),COUNTIFS(Scores!$B$5:$B$44,1,Scores!$C$5:$C$44,"Paper condition",Scores!H$5:H$44,"&lt;"&amp;Scores!H17)+0.5*COUNTIFS(Scores!$B$5:$B$44,1,Scores!$C$5:$C$44,"Paper condition",Scores!H$5:H$44,Scores!H17),"")</f>
        <v/>
      </c>
      <c r="R17" s="1" t="n">
        <f aca="false">IF(AND(Scores!$B17=1,OR(Scores!$C17="Tool condition",Scores!$C17="Paper condition"),ISNUMBER(Scores!H17)),(COUNTIFS(Scores!$B$5:$B$44,1,Scores!$C$5:$C$44,"Tool condition",Scores!H$5:H$44,Scores!H17)+COUNTIFS(Scores!$B$5:$B$44,1,Scores!$C$5:$C$44,"Paper condition",Scores!H$5:H$44,Scores!H17))^2-1,"")</f>
        <v>15</v>
      </c>
      <c r="S17" s="1" t="str">
        <f aca="false">IF(AND(Scores!$B17=2,Scores!$C17="Tool condition",ISNUMBER(Scores!H17)),COUNTIFS(Scores!$B$5:$B$44,2,Scores!$C$5:$C$44,"Paper condition",Scores!H$5:H$44,"&lt;"&amp;Scores!H17)+0.5*COUNTIFS(Scores!$B$5:$B$44,2,Scores!$C$5:$C$44,"Paper condition",Scores!H$5:H$44,Scores!H17),"")</f>
        <v/>
      </c>
      <c r="T17" s="1" t="str">
        <f aca="false">IF(AND(Scores!$B17=2,OR(Scores!$C17="Tool condition",Scores!$C17="Paper condition"),ISNUMBER(Scores!H17)),(COUNTIFS(Scores!$B$5:$B$44,2,Scores!$C$5:$C$44,"Tool condition",Scores!H$5:H$44,Scores!H17)+COUNTIFS(Scores!$B$5:$B$44,2,Scores!$C$5:$C$44,"Paper condition",Scores!H$5:H$44,Scores!H17))^2-1,"")</f>
        <v/>
      </c>
      <c r="U17" s="1" t="n">
        <f aca="false">IF(ISNUMBER(Scores!H17),Scores!H17^2,"")</f>
        <v>1</v>
      </c>
      <c r="V17" s="1" t="str">
        <f aca="false">IF(AND(Scores!$B17=1,Scores!$C17="Tool condition",ISNUMBER(Scores!I17)),COUNTIFS(Scores!$B$5:$B$44,1,Scores!$C$5:$C$44,"Paper condition",Scores!I$5:I$44,"&lt;"&amp;Scores!I17)+0.5*COUNTIFS(Scores!$B$5:$B$44,1,Scores!$C$5:$C$44,"Paper condition",Scores!I$5:I$44,Scores!I17),"")</f>
        <v/>
      </c>
      <c r="W17" s="1" t="n">
        <f aca="false">IF(AND(Scores!$B17=1,OR(Scores!$C17="Tool condition",Scores!$C17="Paper condition"),ISNUMBER(Scores!I17)),(COUNTIFS(Scores!$B$5:$B$44,1,Scores!$C$5:$C$44,"Tool condition",Scores!I$5:I$44,Scores!I17)+COUNTIFS(Scores!$B$5:$B$44,1,Scores!$C$5:$C$44,"Paper condition",Scores!I$5:I$44,Scores!I17))^2-1,"")</f>
        <v>3</v>
      </c>
      <c r="X17" s="1" t="str">
        <f aca="false">IF(AND(Scores!$B17=2,Scores!$C17="Tool condition",ISNUMBER(Scores!I17)),COUNTIFS(Scores!$B$5:$B$44,2,Scores!$C$5:$C$44,"Paper condition",Scores!I$5:I$44,"&lt;"&amp;Scores!I17)+0.5*COUNTIFS(Scores!$B$5:$B$44,2,Scores!$C$5:$C$44,"Paper condition",Scores!I$5:I$44,Scores!I17),"")</f>
        <v/>
      </c>
      <c r="Y17" s="1" t="str">
        <f aca="false">IF(AND(Scores!$B17=2,OR(Scores!$C17="Tool condition",Scores!$C17="Paper condition"),ISNUMBER(Scores!I17)),(COUNTIFS(Scores!$B$5:$B$44,2,Scores!$C$5:$C$44,"Tool condition",Scores!I$5:I$44,Scores!I17)+COUNTIFS(Scores!$B$5:$B$44,2,Scores!$C$5:$C$44,"Paper condition",Scores!I$5:I$44,Scores!I17))^2-1,"")</f>
        <v/>
      </c>
      <c r="Z17" s="1" t="n">
        <f aca="false">IF(ISNUMBER(Scores!I17),Scores!I17^2,"")</f>
        <v>0</v>
      </c>
      <c r="AA17" s="1" t="str">
        <f aca="false">IF(AND(Scores!$B17=1,Scores!$C17="Tool condition",ISNUMBER(Scores!J17)),COUNTIFS(Scores!$B$5:$B$44,1,Scores!$C$5:$C$44,"Paper condition",Scores!J$5:J$44,"&lt;"&amp;Scores!J17)+0.5*COUNTIFS(Scores!$B$5:$B$44,1,Scores!$C$5:$C$44,"Paper condition",Scores!J$5:J$44,Scores!J17),"")</f>
        <v/>
      </c>
      <c r="AB17" s="1" t="n">
        <f aca="false">IF(AND(Scores!$B17=1,OR(Scores!$C17="Tool condition",Scores!$C17="Paper condition"),ISNUMBER(Scores!J17)),(COUNTIFS(Scores!$B$5:$B$44,1,Scores!$C$5:$C$44,"Tool condition",Scores!J$5:J$44,Scores!J17)+COUNTIFS(Scores!$B$5:$B$44,1,Scores!$C$5:$C$44,"Paper condition",Scores!J$5:J$44,Scores!J17))^2-1,"")</f>
        <v>15</v>
      </c>
      <c r="AC17" s="1" t="str">
        <f aca="false">IF(AND(Scores!$B17=2,Scores!$C17="Tool condition",ISNUMBER(Scores!J17)),COUNTIFS(Scores!$B$5:$B$44,2,Scores!$C$5:$C$44,"Paper condition",Scores!J$5:J$44,"&lt;"&amp;Scores!J17)+0.5*COUNTIFS(Scores!$B$5:$B$44,2,Scores!$C$5:$C$44,"Paper condition",Scores!J$5:J$44,Scores!J17),"")</f>
        <v/>
      </c>
      <c r="AD17" s="1" t="str">
        <f aca="false">IF(AND(Scores!$B17=2,OR(Scores!$C17="Tool condition",Scores!$C17="Paper condition"),ISNUMBER(Scores!J17)),(COUNTIFS(Scores!$B$5:$B$44,2,Scores!$C$5:$C$44,"Tool condition",Scores!J$5:J$44,Scores!J17)+COUNTIFS(Scores!$B$5:$B$44,2,Scores!$C$5:$C$44,"Paper condition",Scores!J$5:J$44,Scores!J17))^2-1,"")</f>
        <v/>
      </c>
      <c r="AE17" s="1" t="n">
        <f aca="false">IF(ISNUMBER(Scores!J17),Scores!J17^2,"")</f>
        <v>1</v>
      </c>
      <c r="AF17" s="1" t="str">
        <f aca="false">IF(AND(Scores!$B17=1,Scores!$C17="Tool condition",ISNUMBER(Scores!K17)),COUNTIFS(Scores!$B$5:$B$44,1,Scores!$C$5:$C$44,"Paper condition",Scores!K$5:K$44,"&lt;"&amp;Scores!K17)+0.5*COUNTIFS(Scores!$B$5:$B$44,1,Scores!$C$5:$C$44,"Paper condition",Scores!K$5:K$44,Scores!K17),"")</f>
        <v/>
      </c>
      <c r="AG17" s="1" t="n">
        <f aca="false">IF(AND(Scores!$B17=1,OR(Scores!$C17="Tool condition",Scores!$C17="Paper condition"),ISNUMBER(Scores!K17)),(COUNTIFS(Scores!$B$5:$B$44,1,Scores!$C$5:$C$44,"Tool condition",Scores!K$5:K$44,Scores!K17)+COUNTIFS(Scores!$B$5:$B$44,1,Scores!$C$5:$C$44,"Paper condition",Scores!K$5:K$44,Scores!K17))^2-1,"")</f>
        <v>255</v>
      </c>
      <c r="AH17" s="1" t="str">
        <f aca="false">IF(AND(Scores!$B17=2,Scores!$C17="Tool condition",ISNUMBER(Scores!K17)),COUNTIFS(Scores!$B$5:$B$44,2,Scores!$C$5:$C$44,"Paper condition",Scores!K$5:K$44,"&lt;"&amp;Scores!K17)+0.5*COUNTIFS(Scores!$B$5:$B$44,2,Scores!$C$5:$C$44,"Paper condition",Scores!K$5:K$44,Scores!K17),"")</f>
        <v/>
      </c>
      <c r="AI17" s="1" t="str">
        <f aca="false">IF(AND(Scores!$B17=2,OR(Scores!$C17="Tool condition",Scores!$C17="Paper condition"),ISNUMBER(Scores!K17)),(COUNTIFS(Scores!$B$5:$B$44,2,Scores!$C$5:$C$44,"Tool condition",Scores!K$5:K$44,Scores!K17)+COUNTIFS(Scores!$B$5:$B$44,2,Scores!$C$5:$C$44,"Paper condition",Scores!K$5:K$44,Scores!K17))^2-1,"")</f>
        <v/>
      </c>
      <c r="AJ17" s="1" t="n">
        <f aca="false">IF(ISNUMBER(Scores!K17),Scores!K17^2,"")</f>
        <v>4</v>
      </c>
      <c r="AK17" s="1" t="str">
        <f aca="false">IF(AND(Scores!$B17=1,Scores!$C17="Tool condition",ISNUMBER(Scores!L17)),COUNTIFS(Scores!$B$5:$B$44,1,Scores!$C$5:$C$44,"Paper condition",Scores!L$5:L$44,"&lt;"&amp;Scores!L17)+0.5*COUNTIFS(Scores!$B$5:$B$44,1,Scores!$C$5:$C$44,"Paper condition",Scores!L$5:L$44,Scores!L17),"")</f>
        <v/>
      </c>
      <c r="AL17" s="1" t="n">
        <f aca="false">IF(AND(Scores!$B17=1,OR(Scores!$C17="Tool condition",Scores!$C17="Paper condition"),ISNUMBER(Scores!L17)),(COUNTIFS(Scores!$B$5:$B$44,1,Scores!$C$5:$C$44,"Tool condition",Scores!L$5:L$44,Scores!L17)+COUNTIFS(Scores!$B$5:$B$44,1,Scores!$C$5:$C$44,"Paper condition",Scores!L$5:L$44,Scores!L17))^2-1,"")</f>
        <v>8</v>
      </c>
      <c r="AM17" s="1" t="str">
        <f aca="false">IF(AND(Scores!$B17=2,Scores!$C17="Tool condition",ISNUMBER(Scores!L17)),COUNTIFS(Scores!$B$5:$B$44,2,Scores!$C$5:$C$44,"Paper condition",Scores!L$5:L$44,"&lt;"&amp;Scores!L17)+0.5*COUNTIFS(Scores!$B$5:$B$44,2,Scores!$C$5:$C$44,"Paper condition",Scores!L$5:L$44,Scores!L17),"")</f>
        <v/>
      </c>
      <c r="AN17" s="1" t="str">
        <f aca="false">IF(AND(Scores!$B17=2,OR(Scores!$C17="Tool condition",Scores!$C17="Paper condition"),ISNUMBER(Scores!L17)),(COUNTIFS(Scores!$B$5:$B$44,2,Scores!$C$5:$C$44,"Tool condition",Scores!L$5:L$44,Scores!L17)+COUNTIFS(Scores!$B$5:$B$44,2,Scores!$C$5:$C$44,"Paper condition",Scores!L$5:L$44,Scores!L17))^2-1,"")</f>
        <v/>
      </c>
      <c r="AO17" s="1" t="n">
        <f aca="false">IF(ISNUMBER(Scores!L17),Scores!L17^2,"")</f>
        <v>1</v>
      </c>
      <c r="AP17" s="1" t="str">
        <f aca="false">IF(AND(Scores!$B17=1,Scores!$C17="Tool condition",ISNUMBER(Scores!M17)),COUNTIFS(Scores!$B$5:$B$44,1,Scores!$C$5:$C$44,"Paper condition",Scores!M$5:M$44,"&lt;"&amp;Scores!M17)+0.5*COUNTIFS(Scores!$B$5:$B$44,1,Scores!$C$5:$C$44,"Paper condition",Scores!M$5:M$44,Scores!M17),"")</f>
        <v/>
      </c>
      <c r="AQ17" s="1" t="n">
        <f aca="false">IF(AND(Scores!$B17=1,OR(Scores!$C17="Tool condition",Scores!$C17="Paper condition"),ISNUMBER(Scores!M17)),(COUNTIFS(Scores!$B$5:$B$44,1,Scores!$C$5:$C$44,"Tool condition",Scores!M$5:M$44,Scores!M17)+COUNTIFS(Scores!$B$5:$B$44,1,Scores!$C$5:$C$44,"Paper condition",Scores!M$5:M$44,Scores!M17))^2-1,"")</f>
        <v>288</v>
      </c>
      <c r="AR17" s="1" t="str">
        <f aca="false">IF(AND(Scores!$B17=2,Scores!$C17="Tool condition",ISNUMBER(Scores!M17)),COUNTIFS(Scores!$B$5:$B$44,2,Scores!$C$5:$C$44,"Paper condition",Scores!M$5:M$44,"&lt;"&amp;Scores!M17)+0.5*COUNTIFS(Scores!$B$5:$B$44,2,Scores!$C$5:$C$44,"Paper condition",Scores!M$5:M$44,Scores!M17),"")</f>
        <v/>
      </c>
      <c r="AS17" s="1" t="str">
        <f aca="false">IF(AND(Scores!$B17=2,OR(Scores!$C17="Tool condition",Scores!$C17="Paper condition"),ISNUMBER(Scores!M17)),(COUNTIFS(Scores!$B$5:$B$44,2,Scores!$C$5:$C$44,"Tool condition",Scores!M$5:M$44,Scores!M17)+COUNTIFS(Scores!$B$5:$B$44,2,Scores!$C$5:$C$44,"Paper condition",Scores!M$5:M$44,Scores!M17))^2-1,"")</f>
        <v/>
      </c>
      <c r="AT17" s="1" t="n">
        <f aca="false">IF(ISNUMBER(Scores!M17),Scores!M17^2,"")</f>
        <v>4</v>
      </c>
      <c r="AU17" s="1" t="str">
        <f aca="false">IF(AND(Scores!$B17=1,Scores!$C17="Tool condition",ISNUMBER(Scores!N17)),COUNTIFS(Scores!$B$5:$B$44,1,Scores!$C$5:$C$44,"Paper condition",Scores!N$5:N$44,"&lt;"&amp;Scores!N17)+0.5*COUNTIFS(Scores!$B$5:$B$44,1,Scores!$C$5:$C$44,"Paper condition",Scores!N$5:N$44,Scores!N17),"")</f>
        <v/>
      </c>
      <c r="AV17" s="1" t="n">
        <f aca="false">IF(AND(Scores!$B17=1,OR(Scores!$C17="Tool condition",Scores!$C17="Paper condition"),ISNUMBER(Scores!N17)),(COUNTIFS(Scores!$B$5:$B$44,1,Scores!$C$5:$C$44,"Tool condition",Scores!N$5:N$44,Scores!N17)+COUNTIFS(Scores!$B$5:$B$44,1,Scores!$C$5:$C$44,"Paper condition",Scores!N$5:N$44,Scores!N17))^2-1,"")</f>
        <v>3</v>
      </c>
      <c r="AW17" s="1" t="str">
        <f aca="false">IF(AND(Scores!$B17=2,Scores!$C17="Tool condition",ISNUMBER(Scores!N17)),COUNTIFS(Scores!$B$5:$B$44,2,Scores!$C$5:$C$44,"Paper condition",Scores!N$5:N$44,"&lt;"&amp;Scores!N17)+0.5*COUNTIFS(Scores!$B$5:$B$44,2,Scores!$C$5:$C$44,"Paper condition",Scores!N$5:N$44,Scores!N17),"")</f>
        <v/>
      </c>
      <c r="AX17" s="1" t="str">
        <f aca="false">IF(AND(Scores!$B17=2,OR(Scores!$C17="Tool condition",Scores!$C17="Paper condition"),ISNUMBER(Scores!N17)),(COUNTIFS(Scores!$B$5:$B$44,2,Scores!$C$5:$C$44,"Tool condition",Scores!N$5:N$44,Scores!N17)+COUNTIFS(Scores!$B$5:$B$44,2,Scores!$C$5:$C$44,"Paper condition",Scores!N$5:N$44,Scores!N17))^2-1,"")</f>
        <v/>
      </c>
      <c r="AY17" s="1" t="n">
        <f aca="false">IF(ISNUMBER(Scores!N17),Scores!N17^2,"")</f>
        <v>0</v>
      </c>
      <c r="AZ17" s="1" t="str">
        <f aca="false">IF(AND(Scores!$B17=1,Scores!$C17="Tool condition",ISNUMBER(Scores!O17)),COUNTIFS(Scores!$B$5:$B$44,1,Scores!$C$5:$C$44,"Paper condition",Scores!O$5:O$44,"&lt;"&amp;Scores!O17)+0.5*COUNTIFS(Scores!$B$5:$B$44,1,Scores!$C$5:$C$44,"Paper condition",Scores!O$5:O$44,Scores!O17),"")</f>
        <v/>
      </c>
      <c r="BA17" s="1" t="n">
        <f aca="false">IF(AND(Scores!$B17=1,OR(Scores!$C17="Tool condition",Scores!$C17="Paper condition"),ISNUMBER(Scores!O17)),(COUNTIFS(Scores!$B$5:$B$44,1,Scores!$C$5:$C$44,"Tool condition",Scores!O$5:O$44,Scores!O17)+COUNTIFS(Scores!$B$5:$B$44,1,Scores!$C$5:$C$44,"Paper condition",Scores!O$5:O$44,Scores!O17))^2-1,"")</f>
        <v>15</v>
      </c>
      <c r="BB17" s="1" t="str">
        <f aca="false">IF(AND(Scores!$B17=2,Scores!$C17="Tool condition",ISNUMBER(Scores!O17)),COUNTIFS(Scores!$B$5:$B$44,2,Scores!$C$5:$C$44,"Paper condition",Scores!O$5:O$44,"&lt;"&amp;Scores!O17)+0.5*COUNTIFS(Scores!$B$5:$B$44,2,Scores!$C$5:$C$44,"Paper condition",Scores!O$5:O$44,Scores!O17),"")</f>
        <v/>
      </c>
      <c r="BC17" s="1" t="str">
        <f aca="false">IF(AND(Scores!$B17=2,OR(Scores!$C17="Tool condition",Scores!$C17="Paper condition"),ISNUMBER(Scores!O17)),(COUNTIFS(Scores!$B$5:$B$44,2,Scores!$C$5:$C$44,"Tool condition",Scores!O$5:O$44,Scores!O17)+COUNTIFS(Scores!$B$5:$B$44,2,Scores!$C$5:$C$44,"Paper condition",Scores!O$5:O$44,Scores!O17))^2-1,"")</f>
        <v/>
      </c>
      <c r="BD17" s="1" t="n">
        <f aca="false">IF(ISNUMBER(Scores!O17),Scores!O17^2,"")</f>
        <v>1</v>
      </c>
      <c r="BE17" s="1" t="str">
        <f aca="false">IF(AND(Scores!$B17=1,Scores!$C17="Tool condition",ISNUMBER(Scores!P17)),COUNTIFS(Scores!$B$5:$B$44,1,Scores!$C$5:$C$44,"Paper condition",Scores!P$5:P$44,"&lt;"&amp;Scores!P17)+0.5*COUNTIFS(Scores!$B$5:$B$44,1,Scores!$C$5:$C$44,"Paper condition",Scores!P$5:P$44,Scores!P17),"")</f>
        <v/>
      </c>
      <c r="BF17" s="1" t="n">
        <f aca="false">IF(AND(Scores!$B17=1,OR(Scores!$C17="Tool condition",Scores!$C17="Paper condition"),ISNUMBER(Scores!P17)),(COUNTIFS(Scores!$B$5:$B$44,1,Scores!$C$5:$C$44,"Tool condition",Scores!P$5:P$44,Scores!P17)+COUNTIFS(Scores!$B$5:$B$44,1,Scores!$C$5:$C$44,"Paper condition",Scores!P$5:P$44,Scores!P17))^2-1,"")</f>
        <v>0</v>
      </c>
      <c r="BG17" s="1" t="str">
        <f aca="false">IF(AND(Scores!$B17=2,Scores!$C17="Tool condition",ISNUMBER(Scores!P17)),COUNTIFS(Scores!$B$5:$B$44,2,Scores!$C$5:$C$44,"Paper condition",Scores!P$5:P$44,"&lt;"&amp;Scores!P17)+0.5*COUNTIFS(Scores!$B$5:$B$44,2,Scores!$C$5:$C$44,"Paper condition",Scores!P$5:P$44,Scores!P17),"")</f>
        <v/>
      </c>
      <c r="BH17" s="1" t="str">
        <f aca="false">IF(AND(Scores!$B17=2,OR(Scores!$C17="Tool condition",Scores!$C17="Paper condition"),ISNUMBER(Scores!P17)),(COUNTIFS(Scores!$B$5:$B$44,2,Scores!$C$5:$C$44,"Tool condition",Scores!P$5:P$44,Scores!P17)+COUNTIFS(Scores!$B$5:$B$44,2,Scores!$C$5:$C$44,"Paper condition",Scores!P$5:P$44,Scores!P17))^2-1,"")</f>
        <v/>
      </c>
      <c r="BI17" s="1" t="n">
        <f aca="false">IF(ISNUMBER(Scores!P17),Scores!P17^2,"")</f>
        <v>0</v>
      </c>
      <c r="BJ17" s="1" t="str">
        <f aca="false">IF(AND(R_Scores!$B17=1,R_Scores!$C17="Tool condition",ISNUMBER(R_Scores!E17)),COUNTIFS(R_Scores!$B$5:$B$44,1,R_Scores!$C$5:$C$44,"Paper condition",R_Scores!E$5:E$44,"&lt;"&amp;R_Scores!E17)+0.5*COUNTIFS(R_Scores!$B$5:$B$44,1,R_Scores!$C$5:$C$44,"Paper condition",R_Scores!E$5:E$44,R_Scores!E17),"")</f>
        <v/>
      </c>
      <c r="BK17" s="1" t="n">
        <f aca="false">IF(AND(R_Scores!$B17=1,OR(R_Scores!$C17="Tool condition",R_Scores!$C17="Paper condition"),ISNUMBER(R_Scores!E17)),(COUNTIFS(R_Scores!$B$5:$B$44,1,R_Scores!$C$5:$C$44,"Tool condition",R_Scores!E$5:E$44,R_Scores!E17)+COUNTIFS(R_Scores!$B$5:$B$44,1,R_Scores!$C$5:$C$44,"Paper condition",R_Scores!E$5:E$44,R_Scores!E17))^2-1,"")</f>
        <v>24</v>
      </c>
      <c r="BL17" s="1" t="str">
        <f aca="false">IF(AND(R_Scores!$B17=2,R_Scores!$C17="Tool condition",ISNUMBER(R_Scores!E17)),COUNTIFS(R_Scores!$B$5:$B$44,2,R_Scores!$C$5:$C$44,"Paper condition",R_Scores!E$5:E$44,"&lt;"&amp;R_Scores!E17)+0.5*COUNTIFS(R_Scores!$B$5:$B$44,2,R_Scores!$C$5:$C$44,"Paper condition",R_Scores!E$5:E$44,R_Scores!E17),"")</f>
        <v/>
      </c>
      <c r="BM17" s="1" t="str">
        <f aca="false">IF(AND(R_Scores!$B17=2,OR(R_Scores!$C17="Tool condition",R_Scores!$C17="Paper condition"),ISNUMBER(R_Scores!E17)),(COUNTIFS(R_Scores!$B$5:$B$44,2,R_Scores!$C$5:$C$44,"Tool condition",R_Scores!E$5:E$44,R_Scores!E17)+COUNTIFS(R_Scores!$B$5:$B$44,2,R_Scores!$C$5:$C$44,"Paper condition",R_Scores!E$5:E$44,R_Scores!E17))^2-1,"")</f>
        <v/>
      </c>
      <c r="BN17" s="1" t="n">
        <f aca="false">IF(ISNUMBER(R_Scores!E17),R_Scores!E17^2,"")</f>
        <v>0</v>
      </c>
      <c r="BO17" s="1" t="str">
        <f aca="false">IF(AND(R_Scores!$B17=1,R_Scores!$C17="Tool condition",ISNUMBER(R_Scores!F17)),COUNTIFS(R_Scores!$B$5:$B$44,1,R_Scores!$C$5:$C$44,"Paper condition",R_Scores!F$5:F$44,"&lt;"&amp;R_Scores!F17)+0.5*COUNTIFS(R_Scores!$B$5:$B$44,1,R_Scores!$C$5:$C$44,"Paper condition",R_Scores!F$5:F$44,R_Scores!F17),"")</f>
        <v/>
      </c>
      <c r="BP17" s="1" t="n">
        <f aca="false">IF(AND(R_Scores!$B17=1,OR(R_Scores!$C17="Tool condition",R_Scores!$C17="Paper condition"),ISNUMBER(R_Scores!F17)),(COUNTIFS(R_Scores!$B$5:$B$44,1,R_Scores!$C$5:$C$44,"Tool condition",R_Scores!F$5:F$44,R_Scores!F17)+COUNTIFS(R_Scores!$B$5:$B$44,1,R_Scores!$C$5:$C$44,"Paper condition",R_Scores!F$5:F$44,R_Scores!F17))^2-1,"")</f>
        <v>35</v>
      </c>
      <c r="BQ17" s="1" t="str">
        <f aca="false">IF(AND(R_Scores!$B17=2,R_Scores!$C17="Tool condition",ISNUMBER(R_Scores!F17)),COUNTIFS(R_Scores!$B$5:$B$44,2,R_Scores!$C$5:$C$44,"Paper condition",R_Scores!F$5:F$44,"&lt;"&amp;R_Scores!F17)+0.5*COUNTIFS(R_Scores!$B$5:$B$44,2,R_Scores!$C$5:$C$44,"Paper condition",R_Scores!F$5:F$44,R_Scores!F17),"")</f>
        <v/>
      </c>
      <c r="BR17" s="1" t="str">
        <f aca="false">IF(AND(R_Scores!$B17=2,OR(R_Scores!$C17="Tool condition",R_Scores!$C17="Paper condition"),ISNUMBER(R_Scores!F17)),(COUNTIFS(R_Scores!$B$5:$B$44,2,R_Scores!$C$5:$C$44,"Tool condition",R_Scores!F$5:F$44,R_Scores!F17)+COUNTIFS(R_Scores!$B$5:$B$44,2,R_Scores!$C$5:$C$44,"Paper condition",R_Scores!F$5:F$44,R_Scores!F17))^2-1,"")</f>
        <v/>
      </c>
      <c r="BS17" s="1" t="n">
        <f aca="false">IF(ISNUMBER(R_Scores!F17),R_Scores!F17^2,"")</f>
        <v>0</v>
      </c>
      <c r="BT17" s="1" t="str">
        <f aca="false">IF(AND(R_Scores!$B17=1,R_Scores!$C17="Tool condition",ISNUMBER(R_Scores!G17)),COUNTIFS(R_Scores!$B$5:$B$44,1,R_Scores!$C$5:$C$44,"Paper condition",R_Scores!G$5:G$44,"&lt;"&amp;R_Scores!G17)+0.5*COUNTIFS(R_Scores!$B$5:$B$44,1,R_Scores!$C$5:$C$44,"Paper condition",R_Scores!G$5:G$44,R_Scores!G17),"")</f>
        <v/>
      </c>
      <c r="BU17" s="1" t="str">
        <f aca="false">IF(AND(R_Scores!$B17=1,OR(R_Scores!$C17="Tool condition",R_Scores!$C17="Paper condition"),ISNUMBER(R_Scores!G17)),(COUNTIFS(R_Scores!$B$5:$B$44,1,R_Scores!$C$5:$C$44,"Tool condition",R_Scores!G$5:G$44,R_Scores!G17)+COUNTIFS(R_Scores!$B$5:$B$44,1,R_Scores!$C$5:$C$44,"Paper condition",R_Scores!G$5:G$44,R_Scores!G17))^2-1,"")</f>
        <v/>
      </c>
      <c r="BV17" s="1" t="str">
        <f aca="false">IF(AND(R_Scores!$B17=2,R_Scores!$C17="Tool condition",ISNUMBER(R_Scores!G17)),COUNTIFS(R_Scores!$B$5:$B$44,2,R_Scores!$C$5:$C$44,"Paper condition",R_Scores!G$5:G$44,"&lt;"&amp;R_Scores!G17)+0.5*COUNTIFS(R_Scores!$B$5:$B$44,2,R_Scores!$C$5:$C$44,"Paper condition",R_Scores!G$5:G$44,R_Scores!G17),"")</f>
        <v/>
      </c>
      <c r="BW17" s="1" t="str">
        <f aca="false">IF(AND(R_Scores!$B17=2,OR(R_Scores!$C17="Tool condition",R_Scores!$C17="Paper condition"),ISNUMBER(R_Scores!G17)),(COUNTIFS(R_Scores!$B$5:$B$44,2,R_Scores!$C$5:$C$44,"Tool condition",R_Scores!G$5:G$44,R_Scores!G17)+COUNTIFS(R_Scores!$B$5:$B$44,2,R_Scores!$C$5:$C$44,"Paper condition",R_Scores!G$5:G$44,R_Scores!G17))^2-1,"")</f>
        <v/>
      </c>
      <c r="BX17" s="1" t="str">
        <f aca="false">IF(ISNUMBER(R_Scores!G17),R_Scores!G17^2,"")</f>
        <v/>
      </c>
      <c r="BY17" s="1" t="str">
        <f aca="false">IF(AND(R_Scores!$B17=1,R_Scores!$C17="Tool condition",ISNUMBER(R_Scores!H17)),COUNTIFS(R_Scores!$B$5:$B$44,1,R_Scores!$C$5:$C$44,"Paper condition",R_Scores!H$5:H$44,"&lt;"&amp;R_Scores!H17)+0.5*COUNTIFS(R_Scores!$B$5:$B$44,1,R_Scores!$C$5:$C$44,"Paper condition",R_Scores!H$5:H$44,R_Scores!H17),"")</f>
        <v/>
      </c>
      <c r="BZ17" s="1" t="str">
        <f aca="false">IF(AND(R_Scores!$B17=1,OR(R_Scores!$C17="Tool condition",R_Scores!$C17="Paper condition"),ISNUMBER(R_Scores!H17)),(COUNTIFS(R_Scores!$B$5:$B$44,1,R_Scores!$C$5:$C$44,"Tool condition",R_Scores!H$5:H$44,R_Scores!H17)+COUNTIFS(R_Scores!$B$5:$B$44,1,R_Scores!$C$5:$C$44,"Paper condition",R_Scores!H$5:H$44,R_Scores!H17))^2-1,"")</f>
        <v/>
      </c>
      <c r="CA17" s="1" t="str">
        <f aca="false">IF(AND(R_Scores!$B17=2,R_Scores!$C17="Tool condition",ISNUMBER(R_Scores!H17)),COUNTIFS(R_Scores!$B$5:$B$44,2,R_Scores!$C$5:$C$44,"Paper condition",R_Scores!H$5:H$44,"&lt;"&amp;R_Scores!H17)+0.5*COUNTIFS(R_Scores!$B$5:$B$44,2,R_Scores!$C$5:$C$44,"Paper condition",R_Scores!H$5:H$44,R_Scores!H17),"")</f>
        <v/>
      </c>
      <c r="CB17" s="1" t="str">
        <f aca="false">IF(AND(R_Scores!$B17=2,OR(R_Scores!$C17="Tool condition",R_Scores!$C17="Paper condition"),ISNUMBER(R_Scores!H17)),(COUNTIFS(R_Scores!$B$5:$B$44,2,R_Scores!$C$5:$C$44,"Tool condition",R_Scores!H$5:H$44,R_Scores!H17)+COUNTIFS(R_Scores!$B$5:$B$44,2,R_Scores!$C$5:$C$44,"Paper condition",R_Scores!H$5:H$44,R_Scores!H17))^2-1,"")</f>
        <v/>
      </c>
      <c r="CC17" s="1" t="str">
        <f aca="false">IF(ISNUMBER(R_Scores!H17),R_Scores!H17^2,"")</f>
        <v/>
      </c>
      <c r="CD17" s="1" t="str">
        <f aca="false">IF(AND(R_Scores!$B17=1,R_Scores!$C17="Tool condition",ISNUMBER(R_Scores!I17)),COUNTIFS(R_Scores!$B$5:$B$44,1,R_Scores!$C$5:$C$44,"Paper condition",R_Scores!I$5:I$44,"&lt;"&amp;R_Scores!I17)+0.5*COUNTIFS(R_Scores!$B$5:$B$44,1,R_Scores!$C$5:$C$44,"Paper condition",R_Scores!I$5:I$44,R_Scores!I17),"")</f>
        <v/>
      </c>
      <c r="CE17" s="1" t="n">
        <f aca="false">IF(AND(R_Scores!$B17=1,OR(R_Scores!$C17="Tool condition",R_Scores!$C17="Paper condition"),ISNUMBER(R_Scores!I17)),(COUNTIFS(R_Scores!$B$5:$B$44,1,R_Scores!$C$5:$C$44,"Tool condition",R_Scores!I$5:I$44,R_Scores!I17)+COUNTIFS(R_Scores!$B$5:$B$44,1,R_Scores!$C$5:$C$44,"Paper condition",R_Scores!I$5:I$44,R_Scores!I17))^2-1,"")</f>
        <v>48</v>
      </c>
      <c r="CF17" s="1" t="str">
        <f aca="false">IF(AND(R_Scores!$B17=2,R_Scores!$C17="Tool condition",ISNUMBER(R_Scores!I17)),COUNTIFS(R_Scores!$B$5:$B$44,2,R_Scores!$C$5:$C$44,"Paper condition",R_Scores!I$5:I$44,"&lt;"&amp;R_Scores!I17)+0.5*COUNTIFS(R_Scores!$B$5:$B$44,2,R_Scores!$C$5:$C$44,"Paper condition",R_Scores!I$5:I$44,R_Scores!I17),"")</f>
        <v/>
      </c>
      <c r="CG17" s="1" t="str">
        <f aca="false">IF(AND(R_Scores!$B17=2,OR(R_Scores!$C17="Tool condition",R_Scores!$C17="Paper condition"),ISNUMBER(R_Scores!I17)),(COUNTIFS(R_Scores!$B$5:$B$44,2,R_Scores!$C$5:$C$44,"Tool condition",R_Scores!I$5:I$44,R_Scores!I17)+COUNTIFS(R_Scores!$B$5:$B$44,2,R_Scores!$C$5:$C$44,"Paper condition",R_Scores!I$5:I$44,R_Scores!I17))^2-1,"")</f>
        <v/>
      </c>
      <c r="CH17" s="1" t="n">
        <f aca="false">IF(ISNUMBER(R_Scores!I17),R_Scores!I17^2,"")</f>
        <v>0</v>
      </c>
      <c r="CI17" s="1" t="str">
        <f aca="false">IF(AND(R_Scores!$B17=1,R_Scores!$C17="Tool condition",ISNUMBER(R_Scores!J17)),COUNTIFS(R_Scores!$B$5:$B$44,1,R_Scores!$C$5:$C$44,"Paper condition",R_Scores!J$5:J$44,"&lt;"&amp;R_Scores!J17)+0.5*COUNTIFS(R_Scores!$B$5:$B$44,1,R_Scores!$C$5:$C$44,"Paper condition",R_Scores!J$5:J$44,R_Scores!J17),"")</f>
        <v/>
      </c>
      <c r="CJ17" s="1" t="n">
        <f aca="false">IF(AND(R_Scores!$B17=1,OR(R_Scores!$C17="Tool condition",R_Scores!$C17="Paper condition"),ISNUMBER(R_Scores!J17)),(COUNTIFS(R_Scores!$B$5:$B$44,1,R_Scores!$C$5:$C$44,"Tool condition",R_Scores!J$5:J$44,R_Scores!J17)+COUNTIFS(R_Scores!$B$5:$B$44,1,R_Scores!$C$5:$C$44,"Paper condition",R_Scores!J$5:J$44,R_Scores!J17))^2-1,"")</f>
        <v>24</v>
      </c>
      <c r="CK17" s="1" t="str">
        <f aca="false">IF(AND(R_Scores!$B17=2,R_Scores!$C17="Tool condition",ISNUMBER(R_Scores!J17)),COUNTIFS(R_Scores!$B$5:$B$44,2,R_Scores!$C$5:$C$44,"Paper condition",R_Scores!J$5:J$44,"&lt;"&amp;R_Scores!J17)+0.5*COUNTIFS(R_Scores!$B$5:$B$44,2,R_Scores!$C$5:$C$44,"Paper condition",R_Scores!J$5:J$44,R_Scores!J17),"")</f>
        <v/>
      </c>
      <c r="CL17" s="1" t="str">
        <f aca="false">IF(AND(R_Scores!$B17=2,OR(R_Scores!$C17="Tool condition",R_Scores!$C17="Paper condition"),ISNUMBER(R_Scores!J17)),(COUNTIFS(R_Scores!$B$5:$B$44,2,R_Scores!$C$5:$C$44,"Tool condition",R_Scores!J$5:J$44,R_Scores!J17)+COUNTIFS(R_Scores!$B$5:$B$44,2,R_Scores!$C$5:$C$44,"Paper condition",R_Scores!J$5:J$44,R_Scores!J17))^2-1,"")</f>
        <v/>
      </c>
      <c r="CM17" s="1" t="n">
        <f aca="false">IF(ISNUMBER(R_Scores!J17),R_Scores!J17^2,"")</f>
        <v>0</v>
      </c>
      <c r="CN17" s="1" t="str">
        <f aca="false">IF(AND(R_Scores!$B17=1,R_Scores!$C17="Tool condition",ISNUMBER(R_Scores!K17)),COUNTIFS(R_Scores!$B$5:$B$44,1,R_Scores!$C$5:$C$44,"Paper condition",R_Scores!K$5:K$44,"&lt;"&amp;R_Scores!K17)+0.5*COUNTIFS(R_Scores!$B$5:$B$44,1,R_Scores!$C$5:$C$44,"Paper condition",R_Scores!K$5:K$44,R_Scores!K17),"")</f>
        <v/>
      </c>
      <c r="CO17" s="1" t="str">
        <f aca="false">IF(AND(R_Scores!$B17=1,OR(R_Scores!$C17="Tool condition",R_Scores!$C17="Paper condition"),ISNUMBER(R_Scores!K17)),(COUNTIFS(R_Scores!$B$5:$B$44,1,R_Scores!$C$5:$C$44,"Tool condition",R_Scores!K$5:K$44,R_Scores!K17)+COUNTIFS(R_Scores!$B$5:$B$44,1,R_Scores!$C$5:$C$44,"Paper condition",R_Scores!K$5:K$44,R_Scores!K17))^2-1,"")</f>
        <v/>
      </c>
      <c r="CP17" s="1" t="str">
        <f aca="false">IF(AND(R_Scores!$B17=2,R_Scores!$C17="Tool condition",ISNUMBER(R_Scores!K17)),COUNTIFS(R_Scores!$B$5:$B$44,2,R_Scores!$C$5:$C$44,"Paper condition",R_Scores!K$5:K$44,"&lt;"&amp;R_Scores!K17)+0.5*COUNTIFS(R_Scores!$B$5:$B$44,2,R_Scores!$C$5:$C$44,"Paper condition",R_Scores!K$5:K$44,R_Scores!K17),"")</f>
        <v/>
      </c>
      <c r="CQ17" s="1" t="str">
        <f aca="false">IF(AND(R_Scores!$B17=2,OR(R_Scores!$C17="Tool condition",R_Scores!$C17="Paper condition"),ISNUMBER(R_Scores!K17)),(COUNTIFS(R_Scores!$B$5:$B$44,2,R_Scores!$C$5:$C$44,"Tool condition",R_Scores!K$5:K$44,R_Scores!K17)+COUNTIFS(R_Scores!$B$5:$B$44,2,R_Scores!$C$5:$C$44,"Paper condition",R_Scores!K$5:K$44,R_Scores!K17))^2-1,"")</f>
        <v/>
      </c>
      <c r="CR17" s="1" t="str">
        <f aca="false">IF(ISNUMBER(R_Scores!K17),R_Scores!K17^2,"")</f>
        <v/>
      </c>
      <c r="CS17" s="1" t="str">
        <f aca="false">IF(AND(R_Scores!$B17=1,R_Scores!$C17="Tool condition",ISNUMBER(R_Scores!L17)),COUNTIFS(R_Scores!$B$5:$B$44,1,R_Scores!$C$5:$C$44,"Paper condition",R_Scores!L$5:L$44,"&lt;"&amp;R_Scores!L17)+0.5*COUNTIFS(R_Scores!$B$5:$B$44,1,R_Scores!$C$5:$C$44,"Paper condition",R_Scores!L$5:L$44,R_Scores!L17),"")</f>
        <v/>
      </c>
      <c r="CT17" s="1" t="str">
        <f aca="false">IF(AND(R_Scores!$B17=1,OR(R_Scores!$C17="Tool condition",R_Scores!$C17="Paper condition"),ISNUMBER(R_Scores!L17)),(COUNTIFS(R_Scores!$B$5:$B$44,1,R_Scores!$C$5:$C$44,"Tool condition",R_Scores!L$5:L$44,R_Scores!L17)+COUNTIFS(R_Scores!$B$5:$B$44,1,R_Scores!$C$5:$C$44,"Paper condition",R_Scores!L$5:L$44,R_Scores!L17))^2-1,"")</f>
        <v/>
      </c>
      <c r="CU17" s="1" t="str">
        <f aca="false">IF(AND(R_Scores!$B17=2,R_Scores!$C17="Tool condition",ISNUMBER(R_Scores!L17)),COUNTIFS(R_Scores!$B$5:$B$44,2,R_Scores!$C$5:$C$44,"Paper condition",R_Scores!L$5:L$44,"&lt;"&amp;R_Scores!L17)+0.5*COUNTIFS(R_Scores!$B$5:$B$44,2,R_Scores!$C$5:$C$44,"Paper condition",R_Scores!L$5:L$44,R_Scores!L17),"")</f>
        <v/>
      </c>
      <c r="CV17" s="1" t="str">
        <f aca="false">IF(AND(R_Scores!$B17=2,OR(R_Scores!$C17="Tool condition",R_Scores!$C17="Paper condition"),ISNUMBER(R_Scores!L17)),(COUNTIFS(R_Scores!$B$5:$B$44,2,R_Scores!$C$5:$C$44,"Tool condition",R_Scores!L$5:L$44,R_Scores!L17)+COUNTIFS(R_Scores!$B$5:$B$44,2,R_Scores!$C$5:$C$44,"Paper condition",R_Scores!L$5:L$44,R_Scores!L17))^2-1,"")</f>
        <v/>
      </c>
      <c r="CW17" s="1" t="str">
        <f aca="false">IF(ISNUMBER(R_Scores!L17),R_Scores!L17^2,"")</f>
        <v/>
      </c>
      <c r="CX17" s="1" t="str">
        <f aca="false">IF(AND(R_Scores!$B17=1,R_Scores!$C17="Tool condition",ISNUMBER(R_Scores!M17)),COUNTIFS(R_Scores!$B$5:$B$44,1,R_Scores!$C$5:$C$44,"Paper condition",R_Scores!M$5:M$44,"&lt;"&amp;R_Scores!M17)+0.5*COUNTIFS(R_Scores!$B$5:$B$44,1,R_Scores!$C$5:$C$44,"Paper condition",R_Scores!M$5:M$44,R_Scores!M17),"")</f>
        <v/>
      </c>
      <c r="CY17" s="1" t="str">
        <f aca="false">IF(AND(R_Scores!$B17=1,OR(R_Scores!$C17="Tool condition",R_Scores!$C17="Paper condition"),ISNUMBER(R_Scores!M17)),(COUNTIFS(R_Scores!$B$5:$B$44,1,R_Scores!$C$5:$C$44,"Tool condition",R_Scores!M$5:M$44,R_Scores!M17)+COUNTIFS(R_Scores!$B$5:$B$44,1,R_Scores!$C$5:$C$44,"Paper condition",R_Scores!M$5:M$44,R_Scores!M17))^2-1,"")</f>
        <v/>
      </c>
      <c r="CZ17" s="1" t="str">
        <f aca="false">IF(AND(R_Scores!$B17=2,R_Scores!$C17="Tool condition",ISNUMBER(R_Scores!M17)),COUNTIFS(R_Scores!$B$5:$B$44,2,R_Scores!$C$5:$C$44,"Paper condition",R_Scores!M$5:M$44,"&lt;"&amp;R_Scores!M17)+0.5*COUNTIFS(R_Scores!$B$5:$B$44,2,R_Scores!$C$5:$C$44,"Paper condition",R_Scores!M$5:M$44,R_Scores!M17),"")</f>
        <v/>
      </c>
      <c r="DA17" s="1" t="str">
        <f aca="false">IF(AND(R_Scores!$B17=2,OR(R_Scores!$C17="Tool condition",R_Scores!$C17="Paper condition"),ISNUMBER(R_Scores!M17)),(COUNTIFS(R_Scores!$B$5:$B$44,2,R_Scores!$C$5:$C$44,"Tool condition",R_Scores!M$5:M$44,R_Scores!M17)+COUNTIFS(R_Scores!$B$5:$B$44,2,R_Scores!$C$5:$C$44,"Paper condition",R_Scores!M$5:M$44,R_Scores!M17))^2-1,"")</f>
        <v/>
      </c>
      <c r="DB17" s="1" t="str">
        <f aca="false">IF(ISNUMBER(R_Scores!M17),R_Scores!M17^2,"")</f>
        <v/>
      </c>
      <c r="DC17" s="1" t="str">
        <f aca="false">IF(AND(R_Scores!$B17=1,R_Scores!$C17="Tool condition",ISNUMBER(R_Scores!N17)),COUNTIFS(R_Scores!$B$5:$B$44,1,R_Scores!$C$5:$C$44,"Paper condition",R_Scores!N$5:N$44,"&lt;"&amp;R_Scores!N17)+0.5*COUNTIFS(R_Scores!$B$5:$B$44,1,R_Scores!$C$5:$C$44,"Paper condition",R_Scores!N$5:N$44,R_Scores!N17),"")</f>
        <v/>
      </c>
      <c r="DD17" s="1" t="n">
        <f aca="false">IF(AND(R_Scores!$B17=1,OR(R_Scores!$C17="Tool condition",R_Scores!$C17="Paper condition"),ISNUMBER(R_Scores!N17)),(COUNTIFS(R_Scores!$B$5:$B$44,1,R_Scores!$C$5:$C$44,"Tool condition",R_Scores!N$5:N$44,R_Scores!N17)+COUNTIFS(R_Scores!$B$5:$B$44,1,R_Scores!$C$5:$C$44,"Paper condition",R_Scores!N$5:N$44,R_Scores!N17))^2-1,"")</f>
        <v>63</v>
      </c>
      <c r="DE17" s="1" t="str">
        <f aca="false">IF(AND(R_Scores!$B17=2,R_Scores!$C17="Tool condition",ISNUMBER(R_Scores!N17)),COUNTIFS(R_Scores!$B$5:$B$44,2,R_Scores!$C$5:$C$44,"Paper condition",R_Scores!N$5:N$44,"&lt;"&amp;R_Scores!N17)+0.5*COUNTIFS(R_Scores!$B$5:$B$44,2,R_Scores!$C$5:$C$44,"Paper condition",R_Scores!N$5:N$44,R_Scores!N17),"")</f>
        <v/>
      </c>
      <c r="DF17" s="1" t="str">
        <f aca="false">IF(AND(R_Scores!$B17=2,OR(R_Scores!$C17="Tool condition",R_Scores!$C17="Paper condition"),ISNUMBER(R_Scores!N17)),(COUNTIFS(R_Scores!$B$5:$B$44,2,R_Scores!$C$5:$C$44,"Tool condition",R_Scores!N$5:N$44,R_Scores!N17)+COUNTIFS(R_Scores!$B$5:$B$44,2,R_Scores!$C$5:$C$44,"Paper condition",R_Scores!N$5:N$44,R_Scores!N17))^2-1,"")</f>
        <v/>
      </c>
      <c r="DG17" s="1" t="n">
        <f aca="false">IF(ISNUMBER(R_Scores!N17),R_Scores!N17^2,"")</f>
        <v>0</v>
      </c>
      <c r="DH17" s="1" t="str">
        <f aca="false">IF(AND(R_Scores!$B17=1,R_Scores!$C17="Tool condition",ISNUMBER(R_Scores!O17)),COUNTIFS(R_Scores!$B$5:$B$44,1,R_Scores!$C$5:$C$44,"Paper condition",R_Scores!O$5:O$44,"&lt;"&amp;R_Scores!O17)+0.5*COUNTIFS(R_Scores!$B$5:$B$44,1,R_Scores!$C$5:$C$44,"Paper condition",R_Scores!O$5:O$44,R_Scores!O17),"")</f>
        <v/>
      </c>
      <c r="DI17" s="1" t="n">
        <f aca="false">IF(AND(R_Scores!$B17=1,OR(R_Scores!$C17="Tool condition",R_Scores!$C17="Paper condition"),ISNUMBER(R_Scores!O17)),(COUNTIFS(R_Scores!$B$5:$B$44,1,R_Scores!$C$5:$C$44,"Tool condition",R_Scores!O$5:O$44,R_Scores!O17)+COUNTIFS(R_Scores!$B$5:$B$44,1,R_Scores!$C$5:$C$44,"Paper condition",R_Scores!O$5:O$44,R_Scores!O17))^2-1,"")</f>
        <v>48</v>
      </c>
      <c r="DJ17" s="1" t="str">
        <f aca="false">IF(AND(R_Scores!$B17=2,R_Scores!$C17="Tool condition",ISNUMBER(R_Scores!O17)),COUNTIFS(R_Scores!$B$5:$B$44,2,R_Scores!$C$5:$C$44,"Paper condition",R_Scores!O$5:O$44,"&lt;"&amp;R_Scores!O17)+0.5*COUNTIFS(R_Scores!$B$5:$B$44,2,R_Scores!$C$5:$C$44,"Paper condition",R_Scores!O$5:O$44,R_Scores!O17),"")</f>
        <v/>
      </c>
      <c r="DK17" s="1" t="str">
        <f aca="false">IF(AND(R_Scores!$B17=2,OR(R_Scores!$C17="Tool condition",R_Scores!$C17="Paper condition"),ISNUMBER(R_Scores!O17)),(COUNTIFS(R_Scores!$B$5:$B$44,2,R_Scores!$C$5:$C$44,"Tool condition",R_Scores!O$5:O$44,R_Scores!O17)+COUNTIFS(R_Scores!$B$5:$B$44,2,R_Scores!$C$5:$C$44,"Paper condition",R_Scores!O$5:O$44,R_Scores!O17))^2-1,"")</f>
        <v/>
      </c>
      <c r="DL17" s="1" t="n">
        <f aca="false">IF(ISNUMBER(R_Scores!O17),R_Scores!O17^2,"")</f>
        <v>0</v>
      </c>
      <c r="DM17" s="1" t="str">
        <f aca="false">IF(AND(R_Scores!$B17=1,R_Scores!$C17="Tool condition",ISNUMBER(R_Scores!P17)),COUNTIFS(R_Scores!$B$5:$B$44,1,R_Scores!$C$5:$C$44,"Paper condition",R_Scores!P$5:P$44,"&lt;"&amp;R_Scores!P17)+0.5*COUNTIFS(R_Scores!$B$5:$B$44,1,R_Scores!$C$5:$C$44,"Paper condition",R_Scores!P$5:P$44,R_Scores!P17),"")</f>
        <v/>
      </c>
      <c r="DN17" s="1" t="n">
        <f aca="false">IF(AND(R_Scores!$B17=1,OR(R_Scores!$C17="Tool condition",R_Scores!$C17="Paper condition"),ISNUMBER(R_Scores!P17)),(COUNTIFS(R_Scores!$B$5:$B$44,1,R_Scores!$C$5:$C$44,"Tool condition",R_Scores!P$5:P$44,R_Scores!P17)+COUNTIFS(R_Scores!$B$5:$B$44,1,R_Scores!$C$5:$C$44,"Paper condition",R_Scores!P$5:P$44,R_Scores!P17))^2-1,"")</f>
        <v>80</v>
      </c>
      <c r="DO17" s="1" t="str">
        <f aca="false">IF(AND(R_Scores!$B17=2,R_Scores!$C17="Tool condition",ISNUMBER(R_Scores!P17)),COUNTIFS(R_Scores!$B$5:$B$44,2,R_Scores!$C$5:$C$44,"Paper condition",R_Scores!P$5:P$44,"&lt;"&amp;R_Scores!P17)+0.5*COUNTIFS(R_Scores!$B$5:$B$44,2,R_Scores!$C$5:$C$44,"Paper condition",R_Scores!P$5:P$44,R_Scores!P17),"")</f>
        <v/>
      </c>
      <c r="DP17" s="1" t="str">
        <f aca="false">IF(AND(R_Scores!$B17=2,OR(R_Scores!$C17="Tool condition",R_Scores!$C17="Paper condition"),ISNUMBER(R_Scores!P17)),(COUNTIFS(R_Scores!$B$5:$B$44,2,R_Scores!$C$5:$C$44,"Tool condition",R_Scores!P$5:P$44,R_Scores!P17)+COUNTIFS(R_Scores!$B$5:$B$44,2,R_Scores!$C$5:$C$44,"Paper condition",R_Scores!P$5:P$44,R_Scores!P17))^2-1,"")</f>
        <v/>
      </c>
      <c r="DQ17" s="1" t="n">
        <f aca="false">IF(ISNUMBER(R_Scores!P17),R_Scores!P17^2,"")</f>
        <v>0</v>
      </c>
      <c r="DR17" s="1" t="str">
        <f aca="false">IF(AND(Scores!$B17=1,Scores!$C17="Tool condition",ISNUMBER(Scores!Q17)),COUNTIFS(Scores!$B$5:$B$44,1,Scores!$C$5:$C$44,"Paper condition",Scores!Q$5:Q$44,"&lt;"&amp;Scores!Q17)+0.5*COUNTIFS(Scores!$B$5:$B$44,1,Scores!$C$5:$C$44,"Paper condition",Scores!Q$5:Q$44,Scores!Q17),"")</f>
        <v/>
      </c>
      <c r="DS17" s="1" t="n">
        <f aca="false">IF(AND(Scores!$B17=1,OR(Scores!$C17="Tool condition",Scores!$C17="Paper condition"),ISNUMBER(Scores!Q17)),(COUNTIFS(Scores!$B$5:$B$44,1,Scores!$C$5:$C$44,"Tool condition",Scores!Q$5:Q$44,Scores!Q17)+COUNTIFS(Scores!$B$5:$B$44,1,Scores!$C$5:$C$44,"Paper condition",Scores!Q$5:Q$44,Scores!Q17))^2-1,"")</f>
        <v>3</v>
      </c>
      <c r="DT17" s="1" t="str">
        <f aca="false">IF(AND(Scores!$B17=2,Scores!$C17="Tool condition",ISNUMBER(Scores!Q17)),COUNTIFS(Scores!$B$5:$B$44,2,Scores!$C$5:$C$44,"Paper condition",Scores!Q$5:Q$44,"&lt;"&amp;Scores!Q17)+0.5*COUNTIFS(Scores!$B$5:$B$44,2,Scores!$C$5:$C$44,"Paper condition",Scores!Q$5:Q$44,Scores!Q17),"")</f>
        <v/>
      </c>
      <c r="DU17" s="1" t="str">
        <f aca="false">IF(AND(Scores!$B17=2,OR(Scores!$C17="Tool condition",Scores!$C17="Paper condition"),ISNUMBER(Scores!Q17)),(COUNTIFS(Scores!$B$5:$B$44,2,Scores!$C$5:$C$44,"Tool condition",Scores!Q$5:Q$44,Scores!Q17)+COUNTIFS(Scores!$B$5:$B$44,2,Scores!$C$5:$C$44,"Paper condition",Scores!Q$5:Q$44,Scores!Q17))^2-1,"")</f>
        <v/>
      </c>
      <c r="DV17" s="1" t="n">
        <f aca="false">IF(ISNUMBER(Scores!Q17),Scores!Q17^2,"")</f>
        <v>144</v>
      </c>
      <c r="DW17" s="1" t="str">
        <f aca="false">IF(AND(Scores!$B17=1,Scores!$C17="Tool condition",ISNUMBER(Scores!R17)),COUNTIFS(Scores!$B$5:$B$44,1,Scores!$C$5:$C$44,"Paper condition",Scores!R$5:R$44,"&lt;"&amp;Scores!R17)+0.5*COUNTIFS(Scores!$B$5:$B$44,1,Scores!$C$5:$C$44,"Paper condition",Scores!R$5:R$44,Scores!R17),"")</f>
        <v/>
      </c>
      <c r="DX17" s="1" t="n">
        <f aca="false">IF(AND(Scores!$B17=1,OR(Scores!$C17="Tool condition",Scores!$C17="Paper condition"),ISNUMBER(Scores!R17)),(COUNTIFS(Scores!$B$5:$B$44,1,Scores!$C$5:$C$44,"Tool condition",Scores!R$5:R$44,Scores!R17)+COUNTIFS(Scores!$B$5:$B$44,1,Scores!$C$5:$C$44,"Paper condition",Scores!R$5:R$44,Scores!R17))^2-1,"")</f>
        <v>3</v>
      </c>
      <c r="DY17" s="1" t="str">
        <f aca="false">IF(AND(Scores!$B17=2,Scores!$C17="Tool condition",ISNUMBER(Scores!R17)),COUNTIFS(Scores!$B$5:$B$44,2,Scores!$C$5:$C$44,"Paper condition",Scores!R$5:R$44,"&lt;"&amp;Scores!R17)+0.5*COUNTIFS(Scores!$B$5:$B$44,2,Scores!$C$5:$C$44,"Paper condition",Scores!R$5:R$44,Scores!R17),"")</f>
        <v/>
      </c>
      <c r="DZ17" s="1" t="str">
        <f aca="false">IF(AND(Scores!$B17=2,OR(Scores!$C17="Tool condition",Scores!$C17="Paper condition"),ISNUMBER(Scores!R17)),(COUNTIFS(Scores!$B$5:$B$44,2,Scores!$C$5:$C$44,"Tool condition",Scores!R$5:R$44,Scores!R17)+COUNTIFS(Scores!$B$5:$B$44,2,Scores!$C$5:$C$44,"Paper condition",Scores!R$5:R$44,Scores!R17))^2-1,"")</f>
        <v/>
      </c>
      <c r="EA17" s="1" t="n">
        <f aca="false">IF(ISNUMBER(Scores!R17),Scores!R17^2,"")</f>
        <v>25</v>
      </c>
      <c r="EB17" s="1" t="str">
        <f aca="false">IF(AND(Scores!$B17=1,Scores!$C17="Tool condition",ISNUMBER(Scores!S17)),COUNTIFS(Scores!$B$5:$B$44,1,Scores!$C$5:$C$44,"Paper condition",Scores!S$5:S$44,"&lt;"&amp;Scores!S17)+0.5*COUNTIFS(Scores!$B$5:$B$44,1,Scores!$C$5:$C$44,"Paper condition",Scores!S$5:S$44,Scores!S17),"")</f>
        <v/>
      </c>
      <c r="EC17" s="1" t="n">
        <f aca="false">IF(AND(Scores!$B17=1,OR(Scores!$C17="Tool condition",Scores!$C17="Paper condition"),ISNUMBER(Scores!S17)),(COUNTIFS(Scores!$B$5:$B$44,1,Scores!$C$5:$C$44,"Tool condition",Scores!S$5:S$44,Scores!S17)+COUNTIFS(Scores!$B$5:$B$44,1,Scores!$C$5:$C$44,"Paper condition",Scores!S$5:S$44,Scores!S17))^2-1,"")</f>
        <v>0</v>
      </c>
      <c r="ED17" s="1" t="str">
        <f aca="false">IF(AND(Scores!$B17=2,Scores!$C17="Tool condition",ISNUMBER(Scores!S17)),COUNTIFS(Scores!$B$5:$B$44,2,Scores!$C$5:$C$44,"Paper condition",Scores!S$5:S$44,"&lt;"&amp;Scores!S17)+0.5*COUNTIFS(Scores!$B$5:$B$44,2,Scores!$C$5:$C$44,"Paper condition",Scores!S$5:S$44,Scores!S17),"")</f>
        <v/>
      </c>
      <c r="EE17" s="1" t="str">
        <f aca="false">IF(AND(Scores!$B17=2,OR(Scores!$C17="Tool condition",Scores!$C17="Paper condition"),ISNUMBER(Scores!S17)),(COUNTIFS(Scores!$B$5:$B$44,2,Scores!$C$5:$C$44,"Tool condition",Scores!S$5:S$44,Scores!S17)+COUNTIFS(Scores!$B$5:$B$44,2,Scores!$C$5:$C$44,"Paper condition",Scores!S$5:S$44,Scores!S17))^2-1,"")</f>
        <v/>
      </c>
      <c r="EF17" s="1" t="n">
        <f aca="false">IF(ISNUMBER(Scores!S17),Scores!S17^2,"")</f>
        <v>49</v>
      </c>
      <c r="EG17" s="1" t="str">
        <f aca="false">IF(AND(Scores!$B17=1,Scores!$C17="Tool condition",ISNUMBER(Scores!T17)),COUNTIFS(Scores!$B$5:$B$44,1,Scores!$C$5:$C$44,"Paper condition",Scores!T$5:T$44,"&lt;"&amp;Scores!T17)+0.5*COUNTIFS(Scores!$B$5:$B$44,1,Scores!$C$5:$C$44,"Paper condition",Scores!T$5:T$44,Scores!T17),"")</f>
        <v/>
      </c>
      <c r="EH17" s="1" t="n">
        <f aca="false">IF(AND(Scores!$B17=1,OR(Scores!$C17="Tool condition",Scores!$C17="Paper condition"),ISNUMBER(Scores!T17)),(COUNTIFS(Scores!$B$5:$B$44,1,Scores!$C$5:$C$44,"Tool condition",Scores!T$5:T$44,Scores!T17)+COUNTIFS(Scores!$B$5:$B$44,1,Scores!$C$5:$C$44,"Paper condition",Scores!T$5:T$44,Scores!T17))^2-1,"")</f>
        <v>8</v>
      </c>
      <c r="EI17" s="1" t="str">
        <f aca="false">IF(AND(Scores!$B17=2,Scores!$C17="Tool condition",ISNUMBER(Scores!T17)),COUNTIFS(Scores!$B$5:$B$44,2,Scores!$C$5:$C$44,"Paper condition",Scores!T$5:T$44,"&lt;"&amp;Scores!T17)+0.5*COUNTIFS(Scores!$B$5:$B$44,2,Scores!$C$5:$C$44,"Paper condition",Scores!T$5:T$44,Scores!T17),"")</f>
        <v/>
      </c>
      <c r="EJ17" s="1" t="str">
        <f aca="false">IF(AND(Scores!$B17=2,OR(Scores!$C17="Tool condition",Scores!$C17="Paper condition"),ISNUMBER(Scores!T17)),(COUNTIFS(Scores!$B$5:$B$44,2,Scores!$C$5:$C$44,"Tool condition",Scores!T$5:T$44,Scores!T17)+COUNTIFS(Scores!$B$5:$B$44,2,Scores!$C$5:$C$44,"Paper condition",Scores!T$5:T$44,Scores!T17))^2-1,"")</f>
        <v/>
      </c>
      <c r="EK17" s="1" t="n">
        <f aca="false">IF(ISNUMBER(Scores!T17),Scores!T17^2,"")</f>
        <v>36</v>
      </c>
      <c r="EL17" s="1" t="str">
        <f aca="false">IF(AND(Scores!$B17=1,Scores!$C17="Tool condition",ISNUMBER(Scores!U17)),COUNTIFS(Scores!$B$5:$B$44,1,Scores!$C$5:$C$44,"Paper condition",Scores!U$5:U$44,"&lt;"&amp;Scores!U17)+0.5*COUNTIFS(Scores!$B$5:$B$44,1,Scores!$C$5:$C$44,"Paper condition",Scores!U$5:U$44,Scores!U17),"")</f>
        <v/>
      </c>
      <c r="EM17" s="1" t="n">
        <f aca="false">IF(AND(Scores!$B17=1,OR(Scores!$C17="Tool condition",Scores!$C17="Paper condition"),ISNUMBER(Scores!U17)),(COUNTIFS(Scores!$B$5:$B$44,1,Scores!$C$5:$C$44,"Tool condition",Scores!U$5:U$44,Scores!U17)+COUNTIFS(Scores!$B$5:$B$44,1,Scores!$C$5:$C$44,"Paper condition",Scores!U$5:U$44,Scores!U17))^2-1,"")</f>
        <v>3</v>
      </c>
      <c r="EN17" s="1" t="str">
        <f aca="false">IF(AND(Scores!$B17=2,Scores!$C17="Tool condition",ISNUMBER(Scores!U17)),COUNTIFS(Scores!$B$5:$B$44,2,Scores!$C$5:$C$44,"Paper condition",Scores!U$5:U$44,"&lt;"&amp;Scores!U17)+0.5*COUNTIFS(Scores!$B$5:$B$44,2,Scores!$C$5:$C$44,"Paper condition",Scores!U$5:U$44,Scores!U17),"")</f>
        <v/>
      </c>
      <c r="EO17" s="1" t="str">
        <f aca="false">IF(AND(Scores!$B17=2,OR(Scores!$C17="Tool condition",Scores!$C17="Paper condition"),ISNUMBER(Scores!U17)),(COUNTIFS(Scores!$B$5:$B$44,2,Scores!$C$5:$C$44,"Tool condition",Scores!U$5:U$44,Scores!U17)+COUNTIFS(Scores!$B$5:$B$44,2,Scores!$C$5:$C$44,"Paper condition",Scores!U$5:U$44,Scores!U17))^2-1,"")</f>
        <v/>
      </c>
      <c r="EP17" s="1" t="n">
        <f aca="false">IF(ISNUMBER(Scores!U17),Scores!U17^2,"")</f>
        <v>4</v>
      </c>
      <c r="EQ17" s="1" t="str">
        <f aca="false">IF(AND(Scores!$B17=1,Scores!$C17="Tool condition",ISNUMBER(Scores!V17)),COUNTIFS(Scores!$B$5:$B$44,1,Scores!$C$5:$C$44,"Paper condition",Scores!V$5:V$44,"&lt;"&amp;Scores!V17)+0.5*COUNTIFS(Scores!$B$5:$B$44,1,Scores!$C$5:$C$44,"Paper condition",Scores!V$5:V$44,Scores!V17),"")</f>
        <v/>
      </c>
      <c r="ER17" s="1" t="n">
        <f aca="false">IF(AND(Scores!$B17=1,OR(Scores!$C17="Tool condition",Scores!$C17="Paper condition"),ISNUMBER(Scores!V17)),(COUNTIFS(Scores!$B$5:$B$44,1,Scores!$C$5:$C$44,"Tool condition",Scores!V$5:V$44,Scores!V17)+COUNTIFS(Scores!$B$5:$B$44,1,Scores!$C$5:$C$44,"Paper condition",Scores!V$5:V$44,Scores!V17))^2-1,"")</f>
        <v>8</v>
      </c>
      <c r="ES17" s="1" t="str">
        <f aca="false">IF(AND(Scores!$B17=2,Scores!$C17="Tool condition",ISNUMBER(Scores!V17)),COUNTIFS(Scores!$B$5:$B$44,2,Scores!$C$5:$C$44,"Paper condition",Scores!V$5:V$44,"&lt;"&amp;Scores!V17)+0.5*COUNTIFS(Scores!$B$5:$B$44,2,Scores!$C$5:$C$44,"Paper condition",Scores!V$5:V$44,Scores!V17),"")</f>
        <v/>
      </c>
      <c r="ET17" s="1" t="str">
        <f aca="false">IF(AND(Scores!$B17=2,OR(Scores!$C17="Tool condition",Scores!$C17="Paper condition"),ISNUMBER(Scores!V17)),(COUNTIFS(Scores!$B$5:$B$44,2,Scores!$C$5:$C$44,"Tool condition",Scores!V$5:V$44,Scores!V17)+COUNTIFS(Scores!$B$5:$B$44,2,Scores!$C$5:$C$44,"Paper condition",Scores!V$5:V$44,Scores!V17))^2-1,"")</f>
        <v/>
      </c>
      <c r="EU17" s="1" t="n">
        <f aca="false">IF(ISNUMBER(Scores!V17),Scores!V17^2,"")</f>
        <v>16</v>
      </c>
      <c r="EV17" s="1" t="str">
        <f aca="false">IF(AND(R_Scores!$B17=1,R_Scores!$C17="Tool condition",ISNUMBER(R_Scores!Q17)),COUNTIFS(R_Scores!$B$5:$B$44,1,R_Scores!$C$5:$C$44,"Paper condition",R_Scores!Q$5:Q$44,"&lt;"&amp;R_Scores!Q17)+0.5*COUNTIFS(R_Scores!$B$5:$B$44,1,R_Scores!$C$5:$C$44,"Paper condition",R_Scores!Q$5:Q$44,R_Scores!Q17),"")</f>
        <v/>
      </c>
      <c r="EW17" s="1" t="n">
        <f aca="false">IF(AND(R_Scores!$B17=1,OR(R_Scores!$C17="Tool condition",R_Scores!$C17="Paper condition"),ISNUMBER(R_Scores!Q17)),(COUNTIFS(R_Scores!$B$5:$B$44,1,R_Scores!$C$5:$C$44,"Tool condition",R_Scores!Q$5:Q$44,R_Scores!Q17)+COUNTIFS(R_Scores!$B$5:$B$44,1,R_Scores!$C$5:$C$44,"Paper condition",R_Scores!Q$5:Q$44,R_Scores!Q17))^2-1,"")</f>
        <v>3</v>
      </c>
      <c r="EX17" s="1" t="str">
        <f aca="false">IF(AND(R_Scores!$B17=2,R_Scores!$C17="Tool condition",ISNUMBER(R_Scores!Q17)),COUNTIFS(R_Scores!$B$5:$B$44,2,R_Scores!$C$5:$C$44,"Paper condition",R_Scores!Q$5:Q$44,"&lt;"&amp;R_Scores!Q17)+0.5*COUNTIFS(R_Scores!$B$5:$B$44,2,R_Scores!$C$5:$C$44,"Paper condition",R_Scores!Q$5:Q$44,R_Scores!Q17),"")</f>
        <v/>
      </c>
      <c r="EY17" s="1" t="str">
        <f aca="false">IF(AND(R_Scores!$B17=2,OR(R_Scores!$C17="Tool condition",R_Scores!$C17="Paper condition"),ISNUMBER(R_Scores!Q17)),(COUNTIFS(R_Scores!$B$5:$B$44,2,R_Scores!$C$5:$C$44,"Tool condition",R_Scores!Q$5:Q$44,R_Scores!Q17)+COUNTIFS(R_Scores!$B$5:$B$44,2,R_Scores!$C$5:$C$44,"Paper condition",R_Scores!Q$5:Q$44,R_Scores!Q17))^2-1,"")</f>
        <v/>
      </c>
      <c r="EZ17" s="1" t="n">
        <f aca="false">IF(ISNUMBER(R_Scores!Q17),R_Scores!Q17^2,"")</f>
        <v>0</v>
      </c>
      <c r="FA17" s="1" t="str">
        <f aca="false">IF(AND(R_Scores!$B17=1,R_Scores!$C17="Tool condition",ISNUMBER(R_Scores!R17)),COUNTIFS(R_Scores!$B$5:$B$44,1,R_Scores!$C$5:$C$44,"Paper condition",R_Scores!R$5:R$44,"&lt;"&amp;R_Scores!R17)+0.5*COUNTIFS(R_Scores!$B$5:$B$44,1,R_Scores!$C$5:$C$44,"Paper condition",R_Scores!R$5:R$44,R_Scores!R17),"")</f>
        <v/>
      </c>
      <c r="FB17" s="1" t="n">
        <f aca="false">IF(AND(R_Scores!$B17=1,OR(R_Scores!$C17="Tool condition",R_Scores!$C17="Paper condition"),ISNUMBER(R_Scores!R17)),(COUNTIFS(R_Scores!$B$5:$B$44,1,R_Scores!$C$5:$C$44,"Tool condition",R_Scores!R$5:R$44,R_Scores!R17)+COUNTIFS(R_Scores!$B$5:$B$44,1,R_Scores!$C$5:$C$44,"Paper condition",R_Scores!R$5:R$44,R_Scores!R17))^2-1,"")</f>
        <v>0</v>
      </c>
      <c r="FC17" s="1" t="str">
        <f aca="false">IF(AND(R_Scores!$B17=2,R_Scores!$C17="Tool condition",ISNUMBER(R_Scores!R17)),COUNTIFS(R_Scores!$B$5:$B$44,2,R_Scores!$C$5:$C$44,"Paper condition",R_Scores!R$5:R$44,"&lt;"&amp;R_Scores!R17)+0.5*COUNTIFS(R_Scores!$B$5:$B$44,2,R_Scores!$C$5:$C$44,"Paper condition",R_Scores!R$5:R$44,R_Scores!R17),"")</f>
        <v/>
      </c>
      <c r="FD17" s="1" t="str">
        <f aca="false">IF(AND(R_Scores!$B17=2,OR(R_Scores!$C17="Tool condition",R_Scores!$C17="Paper condition"),ISNUMBER(R_Scores!R17)),(COUNTIFS(R_Scores!$B$5:$B$44,2,R_Scores!$C$5:$C$44,"Tool condition",R_Scores!R$5:R$44,R_Scores!R17)+COUNTIFS(R_Scores!$B$5:$B$44,2,R_Scores!$C$5:$C$44,"Paper condition",R_Scores!R$5:R$44,R_Scores!R17))^2-1,"")</f>
        <v/>
      </c>
      <c r="FE17" s="1" t="n">
        <f aca="false">IF(ISNUMBER(R_Scores!R17),R_Scores!R17^2,"")</f>
        <v>144</v>
      </c>
    </row>
    <row r="18" customFormat="false" ht="14.25" hidden="false" customHeight="true" outlineLevel="0" collapsed="false">
      <c r="B18" s="1" t="str">
        <f aca="false">IF(AND(Scores!$B18=1,Scores!$C18="Tool condition",ISNUMBER(Scores!E18)),COUNTIFS(Scores!$B$5:$B$44,1,Scores!$C$5:$C$44,"Paper condition",Scores!E$5:E$44,"&lt;"&amp;Scores!E18)+0.5*COUNTIFS(Scores!$B$5:$B$44,1,Scores!$C$5:$C$44,"Paper condition",Scores!E$5:E$44,Scores!E18),"")</f>
        <v/>
      </c>
      <c r="C18" s="1" t="n">
        <f aca="false">IF(AND(Scores!$B18=1,OR(Scores!$C18="Tool condition",Scores!$C18="Paper condition"),ISNUMBER(Scores!E18)),(COUNTIFS(Scores!$B$5:$B$44,1,Scores!$C$5:$C$44,"Tool condition",Scores!E$5:E$44,Scores!E18)+COUNTIFS(Scores!$B$5:$B$44,1,Scores!$C$5:$C$44,"Paper condition",Scores!E$5:E$44,Scores!E18))^2-1,"")</f>
        <v>255</v>
      </c>
      <c r="D18" s="1" t="str">
        <f aca="false">IF(AND(Scores!$B18=2,Scores!$C18="Tool condition",ISNUMBER(Scores!E18)),COUNTIFS(Scores!$B$5:$B$44,2,Scores!$C$5:$C$44,"Paper condition",Scores!E$5:E$44,"&lt;"&amp;Scores!E18)+0.5*COUNTIFS(Scores!$B$5:$B$44,2,Scores!$C$5:$C$44,"Paper condition",Scores!E$5:E$44,Scores!E18),"")</f>
        <v/>
      </c>
      <c r="E18" s="1" t="str">
        <f aca="false">IF(AND(Scores!$B18=2,OR(Scores!$C18="Tool condition",Scores!$C18="Paper condition"),ISNUMBER(Scores!E18)),(COUNTIFS(Scores!$B$5:$B$44,2,Scores!$C$5:$C$44,"Tool condition",Scores!E$5:E$44,Scores!E18)+COUNTIFS(Scores!$B$5:$B$44,2,Scores!$C$5:$C$44,"Paper condition",Scores!E$5:E$44,Scores!E18))^2-1,"")</f>
        <v/>
      </c>
      <c r="F18" s="1" t="n">
        <f aca="false">IF(ISNUMBER(Scores!E18),Scores!E18^2,"")</f>
        <v>4</v>
      </c>
      <c r="G18" s="1" t="str">
        <f aca="false">IF(AND(Scores!$B18=1,Scores!$C18="Tool condition",ISNUMBER(Scores!F18)),COUNTIFS(Scores!$B$5:$B$44,1,Scores!$C$5:$C$44,"Paper condition",Scores!F$5:F$44,"&lt;"&amp;Scores!F18)+0.5*COUNTIFS(Scores!$B$5:$B$44,1,Scores!$C$5:$C$44,"Paper condition",Scores!F$5:F$44,Scores!F18),"")</f>
        <v/>
      </c>
      <c r="H18" s="1" t="n">
        <f aca="false">IF(AND(Scores!$B18=1,OR(Scores!$C18="Tool condition",Scores!$C18="Paper condition"),ISNUMBER(Scores!F18)),(COUNTIFS(Scores!$B$5:$B$44,1,Scores!$C$5:$C$44,"Tool condition",Scores!F$5:F$44,Scores!F18)+COUNTIFS(Scores!$B$5:$B$44,1,Scores!$C$5:$C$44,"Paper condition",Scores!F$5:F$44,Scores!F18))^2-1,"")</f>
        <v>195</v>
      </c>
      <c r="I18" s="1" t="str">
        <f aca="false">IF(AND(Scores!$B18=2,Scores!$C18="Tool condition",ISNUMBER(Scores!F18)),COUNTIFS(Scores!$B$5:$B$44,2,Scores!$C$5:$C$44,"Paper condition",Scores!F$5:F$44,"&lt;"&amp;Scores!F18)+0.5*COUNTIFS(Scores!$B$5:$B$44,2,Scores!$C$5:$C$44,"Paper condition",Scores!F$5:F$44,Scores!F18),"")</f>
        <v/>
      </c>
      <c r="J18" s="1" t="str">
        <f aca="false">IF(AND(Scores!$B18=2,OR(Scores!$C18="Tool condition",Scores!$C18="Paper condition"),ISNUMBER(Scores!F18)),(COUNTIFS(Scores!$B$5:$B$44,2,Scores!$C$5:$C$44,"Tool condition",Scores!F$5:F$44,Scores!F18)+COUNTIFS(Scores!$B$5:$B$44,2,Scores!$C$5:$C$44,"Paper condition",Scores!F$5:F$44,Scores!F18))^2-1,"")</f>
        <v/>
      </c>
      <c r="K18" s="1" t="n">
        <f aca="false">IF(ISNUMBER(Scores!F18),Scores!F18^2,"")</f>
        <v>4</v>
      </c>
      <c r="L18" s="1" t="str">
        <f aca="false">IF(AND(Scores!$B18=1,Scores!$C18="Tool condition",ISNUMBER(Scores!G18)),COUNTIFS(Scores!$B$5:$B$44,1,Scores!$C$5:$C$44,"Paper condition",Scores!G$5:G$44,"&lt;"&amp;Scores!G18)+0.5*COUNTIFS(Scores!$B$5:$B$44,1,Scores!$C$5:$C$44,"Paper condition",Scores!G$5:G$44,Scores!G18),"")</f>
        <v/>
      </c>
      <c r="M18" s="1" t="n">
        <f aca="false">IF(AND(Scores!$B18=1,OR(Scores!$C18="Tool condition",Scores!$C18="Paper condition"),ISNUMBER(Scores!G18)),(COUNTIFS(Scores!$B$5:$B$44,1,Scores!$C$5:$C$44,"Tool condition",Scores!G$5:G$44,Scores!G18)+COUNTIFS(Scores!$B$5:$B$44,1,Scores!$C$5:$C$44,"Paper condition",Scores!G$5:G$44,Scores!G18))^2-1,"")</f>
        <v>8</v>
      </c>
      <c r="N18" s="1" t="str">
        <f aca="false">IF(AND(Scores!$B18=2,Scores!$C18="Tool condition",ISNUMBER(Scores!G18)),COUNTIFS(Scores!$B$5:$B$44,2,Scores!$C$5:$C$44,"Paper condition",Scores!G$5:G$44,"&lt;"&amp;Scores!G18)+0.5*COUNTIFS(Scores!$B$5:$B$44,2,Scores!$C$5:$C$44,"Paper condition",Scores!G$5:G$44,Scores!G18),"")</f>
        <v/>
      </c>
      <c r="O18" s="1" t="str">
        <f aca="false">IF(AND(Scores!$B18=2,OR(Scores!$C18="Tool condition",Scores!$C18="Paper condition"),ISNUMBER(Scores!G18)),(COUNTIFS(Scores!$B$5:$B$44,2,Scores!$C$5:$C$44,"Tool condition",Scores!G$5:G$44,Scores!G18)+COUNTIFS(Scores!$B$5:$B$44,2,Scores!$C$5:$C$44,"Paper condition",Scores!G$5:G$44,Scores!G18))^2-1,"")</f>
        <v/>
      </c>
      <c r="P18" s="1" t="n">
        <f aca="false">IF(ISNUMBER(Scores!G18),Scores!G18^2,"")</f>
        <v>1</v>
      </c>
      <c r="Q18" s="1" t="str">
        <f aca="false">IF(AND(Scores!$B18=1,Scores!$C18="Tool condition",ISNUMBER(Scores!H18)),COUNTIFS(Scores!$B$5:$B$44,1,Scores!$C$5:$C$44,"Paper condition",Scores!H$5:H$44,"&lt;"&amp;Scores!H18)+0.5*COUNTIFS(Scores!$B$5:$B$44,1,Scores!$C$5:$C$44,"Paper condition",Scores!H$5:H$44,Scores!H18),"")</f>
        <v/>
      </c>
      <c r="R18" s="1" t="n">
        <f aca="false">IF(AND(Scores!$B18=1,OR(Scores!$C18="Tool condition",Scores!$C18="Paper condition"),ISNUMBER(Scores!H18)),(COUNTIFS(Scores!$B$5:$B$44,1,Scores!$C$5:$C$44,"Tool condition",Scores!H$5:H$44,Scores!H18)+COUNTIFS(Scores!$B$5:$B$44,1,Scores!$C$5:$C$44,"Paper condition",Scores!H$5:H$44,Scores!H18))^2-1,"")</f>
        <v>255</v>
      </c>
      <c r="S18" s="1" t="str">
        <f aca="false">IF(AND(Scores!$B18=2,Scores!$C18="Tool condition",ISNUMBER(Scores!H18)),COUNTIFS(Scores!$B$5:$B$44,2,Scores!$C$5:$C$44,"Paper condition",Scores!H$5:H$44,"&lt;"&amp;Scores!H18)+0.5*COUNTIFS(Scores!$B$5:$B$44,2,Scores!$C$5:$C$44,"Paper condition",Scores!H$5:H$44,Scores!H18),"")</f>
        <v/>
      </c>
      <c r="T18" s="1" t="str">
        <f aca="false">IF(AND(Scores!$B18=2,OR(Scores!$C18="Tool condition",Scores!$C18="Paper condition"),ISNUMBER(Scores!H18)),(COUNTIFS(Scores!$B$5:$B$44,2,Scores!$C$5:$C$44,"Tool condition",Scores!H$5:H$44,Scores!H18)+COUNTIFS(Scores!$B$5:$B$44,2,Scores!$C$5:$C$44,"Paper condition",Scores!H$5:H$44,Scores!H18))^2-1,"")</f>
        <v/>
      </c>
      <c r="U18" s="1" t="n">
        <f aca="false">IF(ISNUMBER(Scores!H18),Scores!H18^2,"")</f>
        <v>4</v>
      </c>
      <c r="V18" s="1" t="str">
        <f aca="false">IF(AND(Scores!$B18=1,Scores!$C18="Tool condition",ISNUMBER(Scores!I18)),COUNTIFS(Scores!$B$5:$B$44,1,Scores!$C$5:$C$44,"Paper condition",Scores!I$5:I$44,"&lt;"&amp;Scores!I18)+0.5*COUNTIFS(Scores!$B$5:$B$44,1,Scores!$C$5:$C$44,"Paper condition",Scores!I$5:I$44,Scores!I18),"")</f>
        <v/>
      </c>
      <c r="W18" s="1" t="n">
        <f aca="false">IF(AND(Scores!$B18=1,OR(Scores!$C18="Tool condition",Scores!$C18="Paper condition"),ISNUMBER(Scores!I18)),(COUNTIFS(Scores!$B$5:$B$44,1,Scores!$C$5:$C$44,"Tool condition",Scores!I$5:I$44,Scores!I18)+COUNTIFS(Scores!$B$5:$B$44,1,Scores!$C$5:$C$44,"Paper condition",Scores!I$5:I$44,Scores!I18))^2-1,"")</f>
        <v>195</v>
      </c>
      <c r="X18" s="1" t="str">
        <f aca="false">IF(AND(Scores!$B18=2,Scores!$C18="Tool condition",ISNUMBER(Scores!I18)),COUNTIFS(Scores!$B$5:$B$44,2,Scores!$C$5:$C$44,"Paper condition",Scores!I$5:I$44,"&lt;"&amp;Scores!I18)+0.5*COUNTIFS(Scores!$B$5:$B$44,2,Scores!$C$5:$C$44,"Paper condition",Scores!I$5:I$44,Scores!I18),"")</f>
        <v/>
      </c>
      <c r="Y18" s="1" t="str">
        <f aca="false">IF(AND(Scores!$B18=2,OR(Scores!$C18="Tool condition",Scores!$C18="Paper condition"),ISNUMBER(Scores!I18)),(COUNTIFS(Scores!$B$5:$B$44,2,Scores!$C$5:$C$44,"Tool condition",Scores!I$5:I$44,Scores!I18)+COUNTIFS(Scores!$B$5:$B$44,2,Scores!$C$5:$C$44,"Paper condition",Scores!I$5:I$44,Scores!I18))^2-1,"")</f>
        <v/>
      </c>
      <c r="Z18" s="1" t="n">
        <f aca="false">IF(ISNUMBER(Scores!I18),Scores!I18^2,"")</f>
        <v>4</v>
      </c>
      <c r="AA18" s="1" t="str">
        <f aca="false">IF(AND(Scores!$B18=1,Scores!$C18="Tool condition",ISNUMBER(Scores!J18)),COUNTIFS(Scores!$B$5:$B$44,1,Scores!$C$5:$C$44,"Paper condition",Scores!J$5:J$44,"&lt;"&amp;Scores!J18)+0.5*COUNTIFS(Scores!$B$5:$B$44,1,Scores!$C$5:$C$44,"Paper condition",Scores!J$5:J$44,Scores!J18),"")</f>
        <v/>
      </c>
      <c r="AB18" s="1" t="n">
        <f aca="false">IF(AND(Scores!$B18=1,OR(Scores!$C18="Tool condition",Scores!$C18="Paper condition"),ISNUMBER(Scores!J18)),(COUNTIFS(Scores!$B$5:$B$44,1,Scores!$C$5:$C$44,"Tool condition",Scores!J$5:J$44,Scores!J18)+COUNTIFS(Scores!$B$5:$B$44,1,Scores!$C$5:$C$44,"Paper condition",Scores!J$5:J$44,Scores!J18))^2-1,"")</f>
        <v>224</v>
      </c>
      <c r="AC18" s="1" t="str">
        <f aca="false">IF(AND(Scores!$B18=2,Scores!$C18="Tool condition",ISNUMBER(Scores!J18)),COUNTIFS(Scores!$B$5:$B$44,2,Scores!$C$5:$C$44,"Paper condition",Scores!J$5:J$44,"&lt;"&amp;Scores!J18)+0.5*COUNTIFS(Scores!$B$5:$B$44,2,Scores!$C$5:$C$44,"Paper condition",Scores!J$5:J$44,Scores!J18),"")</f>
        <v/>
      </c>
      <c r="AD18" s="1" t="str">
        <f aca="false">IF(AND(Scores!$B18=2,OR(Scores!$C18="Tool condition",Scores!$C18="Paper condition"),ISNUMBER(Scores!J18)),(COUNTIFS(Scores!$B$5:$B$44,2,Scores!$C$5:$C$44,"Tool condition",Scores!J$5:J$44,Scores!J18)+COUNTIFS(Scores!$B$5:$B$44,2,Scores!$C$5:$C$44,"Paper condition",Scores!J$5:J$44,Scores!J18))^2-1,"")</f>
        <v/>
      </c>
      <c r="AE18" s="1" t="n">
        <f aca="false">IF(ISNUMBER(Scores!J18),Scores!J18^2,"")</f>
        <v>4</v>
      </c>
      <c r="AF18" s="1" t="str">
        <f aca="false">IF(AND(Scores!$B18=1,Scores!$C18="Tool condition",ISNUMBER(Scores!K18)),COUNTIFS(Scores!$B$5:$B$44,1,Scores!$C$5:$C$44,"Paper condition",Scores!K$5:K$44,"&lt;"&amp;Scores!K18)+0.5*COUNTIFS(Scores!$B$5:$B$44,1,Scores!$C$5:$C$44,"Paper condition",Scores!K$5:K$44,Scores!K18),"")</f>
        <v/>
      </c>
      <c r="AG18" s="1" t="n">
        <f aca="false">IF(AND(Scores!$B18=1,OR(Scores!$C18="Tool condition",Scores!$C18="Paper condition"),ISNUMBER(Scores!K18)),(COUNTIFS(Scores!$B$5:$B$44,1,Scores!$C$5:$C$44,"Tool condition",Scores!K$5:K$44,Scores!K18)+COUNTIFS(Scores!$B$5:$B$44,1,Scores!$C$5:$C$44,"Paper condition",Scores!K$5:K$44,Scores!K18))^2-1,"")</f>
        <v>255</v>
      </c>
      <c r="AH18" s="1" t="str">
        <f aca="false">IF(AND(Scores!$B18=2,Scores!$C18="Tool condition",ISNUMBER(Scores!K18)),COUNTIFS(Scores!$B$5:$B$44,2,Scores!$C$5:$C$44,"Paper condition",Scores!K$5:K$44,"&lt;"&amp;Scores!K18)+0.5*COUNTIFS(Scores!$B$5:$B$44,2,Scores!$C$5:$C$44,"Paper condition",Scores!K$5:K$44,Scores!K18),"")</f>
        <v/>
      </c>
      <c r="AI18" s="1" t="str">
        <f aca="false">IF(AND(Scores!$B18=2,OR(Scores!$C18="Tool condition",Scores!$C18="Paper condition"),ISNUMBER(Scores!K18)),(COUNTIFS(Scores!$B$5:$B$44,2,Scores!$C$5:$C$44,"Tool condition",Scores!K$5:K$44,Scores!K18)+COUNTIFS(Scores!$B$5:$B$44,2,Scores!$C$5:$C$44,"Paper condition",Scores!K$5:K$44,Scores!K18))^2-1,"")</f>
        <v/>
      </c>
      <c r="AJ18" s="1" t="n">
        <f aca="false">IF(ISNUMBER(Scores!K18),Scores!K18^2,"")</f>
        <v>4</v>
      </c>
      <c r="AK18" s="1" t="str">
        <f aca="false">IF(AND(Scores!$B18=1,Scores!$C18="Tool condition",ISNUMBER(Scores!L18)),COUNTIFS(Scores!$B$5:$B$44,1,Scores!$C$5:$C$44,"Paper condition",Scores!L$5:L$44,"&lt;"&amp;Scores!L18)+0.5*COUNTIFS(Scores!$B$5:$B$44,1,Scores!$C$5:$C$44,"Paper condition",Scores!L$5:L$44,Scores!L18),"")</f>
        <v/>
      </c>
      <c r="AL18" s="1" t="n">
        <f aca="false">IF(AND(Scores!$B18=1,OR(Scores!$C18="Tool condition",Scores!$C18="Paper condition"),ISNUMBER(Scores!L18)),(COUNTIFS(Scores!$B$5:$B$44,1,Scores!$C$5:$C$44,"Tool condition",Scores!L$5:L$44,Scores!L18)+COUNTIFS(Scores!$B$5:$B$44,1,Scores!$C$5:$C$44,"Paper condition",Scores!L$5:L$44,Scores!L18))^2-1,"")</f>
        <v>288</v>
      </c>
      <c r="AM18" s="1" t="str">
        <f aca="false">IF(AND(Scores!$B18=2,Scores!$C18="Tool condition",ISNUMBER(Scores!L18)),COUNTIFS(Scores!$B$5:$B$44,2,Scores!$C$5:$C$44,"Paper condition",Scores!L$5:L$44,"&lt;"&amp;Scores!L18)+0.5*COUNTIFS(Scores!$B$5:$B$44,2,Scores!$C$5:$C$44,"Paper condition",Scores!L$5:L$44,Scores!L18),"")</f>
        <v/>
      </c>
      <c r="AN18" s="1" t="str">
        <f aca="false">IF(AND(Scores!$B18=2,OR(Scores!$C18="Tool condition",Scores!$C18="Paper condition"),ISNUMBER(Scores!L18)),(COUNTIFS(Scores!$B$5:$B$44,2,Scores!$C$5:$C$44,"Tool condition",Scores!L$5:L$44,Scores!L18)+COUNTIFS(Scores!$B$5:$B$44,2,Scores!$C$5:$C$44,"Paper condition",Scores!L$5:L$44,Scores!L18))^2-1,"")</f>
        <v/>
      </c>
      <c r="AO18" s="1" t="n">
        <f aca="false">IF(ISNUMBER(Scores!L18),Scores!L18^2,"")</f>
        <v>4</v>
      </c>
      <c r="AP18" s="1" t="str">
        <f aca="false">IF(AND(Scores!$B18=1,Scores!$C18="Tool condition",ISNUMBER(Scores!M18)),COUNTIFS(Scores!$B$5:$B$44,1,Scores!$C$5:$C$44,"Paper condition",Scores!M$5:M$44,"&lt;"&amp;Scores!M18)+0.5*COUNTIFS(Scores!$B$5:$B$44,1,Scores!$C$5:$C$44,"Paper condition",Scores!M$5:M$44,Scores!M18),"")</f>
        <v/>
      </c>
      <c r="AQ18" s="1" t="n">
        <f aca="false">IF(AND(Scores!$B18=1,OR(Scores!$C18="Tool condition",Scores!$C18="Paper condition"),ISNUMBER(Scores!M18)),(COUNTIFS(Scores!$B$5:$B$44,1,Scores!$C$5:$C$44,"Tool condition",Scores!M$5:M$44,Scores!M18)+COUNTIFS(Scores!$B$5:$B$44,1,Scores!$C$5:$C$44,"Paper condition",Scores!M$5:M$44,Scores!M18))^2-1,"")</f>
        <v>8</v>
      </c>
      <c r="AR18" s="1" t="str">
        <f aca="false">IF(AND(Scores!$B18=2,Scores!$C18="Tool condition",ISNUMBER(Scores!M18)),COUNTIFS(Scores!$B$5:$B$44,2,Scores!$C$5:$C$44,"Paper condition",Scores!M$5:M$44,"&lt;"&amp;Scores!M18)+0.5*COUNTIFS(Scores!$B$5:$B$44,2,Scores!$C$5:$C$44,"Paper condition",Scores!M$5:M$44,Scores!M18),"")</f>
        <v/>
      </c>
      <c r="AS18" s="1" t="str">
        <f aca="false">IF(AND(Scores!$B18=2,OR(Scores!$C18="Tool condition",Scores!$C18="Paper condition"),ISNUMBER(Scores!M18)),(COUNTIFS(Scores!$B$5:$B$44,2,Scores!$C$5:$C$44,"Tool condition",Scores!M$5:M$44,Scores!M18)+COUNTIFS(Scores!$B$5:$B$44,2,Scores!$C$5:$C$44,"Paper condition",Scores!M$5:M$44,Scores!M18))^2-1,"")</f>
        <v/>
      </c>
      <c r="AT18" s="1" t="n">
        <f aca="false">IF(ISNUMBER(Scores!M18),Scores!M18^2,"")</f>
        <v>1</v>
      </c>
      <c r="AU18" s="1" t="str">
        <f aca="false">IF(AND(Scores!$B18=1,Scores!$C18="Tool condition",ISNUMBER(Scores!N18)),COUNTIFS(Scores!$B$5:$B$44,1,Scores!$C$5:$C$44,"Paper condition",Scores!N$5:N$44,"&lt;"&amp;Scores!N18)+0.5*COUNTIFS(Scores!$B$5:$B$44,1,Scores!$C$5:$C$44,"Paper condition",Scores!N$5:N$44,Scores!N18),"")</f>
        <v/>
      </c>
      <c r="AV18" s="1" t="n">
        <f aca="false">IF(AND(Scores!$B18=1,OR(Scores!$C18="Tool condition",Scores!$C18="Paper condition"),ISNUMBER(Scores!N18)),(COUNTIFS(Scores!$B$5:$B$44,1,Scores!$C$5:$C$44,"Tool condition",Scores!N$5:N$44,Scores!N18)+COUNTIFS(Scores!$B$5:$B$44,1,Scores!$C$5:$C$44,"Paper condition",Scores!N$5:N$44,Scores!N18))^2-1,"")</f>
        <v>195</v>
      </c>
      <c r="AW18" s="1" t="str">
        <f aca="false">IF(AND(Scores!$B18=2,Scores!$C18="Tool condition",ISNUMBER(Scores!N18)),COUNTIFS(Scores!$B$5:$B$44,2,Scores!$C$5:$C$44,"Paper condition",Scores!N$5:N$44,"&lt;"&amp;Scores!N18)+0.5*COUNTIFS(Scores!$B$5:$B$44,2,Scores!$C$5:$C$44,"Paper condition",Scores!N$5:N$44,Scores!N18),"")</f>
        <v/>
      </c>
      <c r="AX18" s="1" t="str">
        <f aca="false">IF(AND(Scores!$B18=2,OR(Scores!$C18="Tool condition",Scores!$C18="Paper condition"),ISNUMBER(Scores!N18)),(COUNTIFS(Scores!$B$5:$B$44,2,Scores!$C$5:$C$44,"Tool condition",Scores!N$5:N$44,Scores!N18)+COUNTIFS(Scores!$B$5:$B$44,2,Scores!$C$5:$C$44,"Paper condition",Scores!N$5:N$44,Scores!N18))^2-1,"")</f>
        <v/>
      </c>
      <c r="AY18" s="1" t="n">
        <f aca="false">IF(ISNUMBER(Scores!N18),Scores!N18^2,"")</f>
        <v>4</v>
      </c>
      <c r="AZ18" s="1" t="str">
        <f aca="false">IF(AND(Scores!$B18=1,Scores!$C18="Tool condition",ISNUMBER(Scores!O18)),COUNTIFS(Scores!$B$5:$B$44,1,Scores!$C$5:$C$44,"Paper condition",Scores!O$5:O$44,"&lt;"&amp;Scores!O18)+0.5*COUNTIFS(Scores!$B$5:$B$44,1,Scores!$C$5:$C$44,"Paper condition",Scores!O$5:O$44,Scores!O18),"")</f>
        <v/>
      </c>
      <c r="BA18" s="1" t="n">
        <f aca="false">IF(AND(Scores!$B18=1,OR(Scores!$C18="Tool condition",Scores!$C18="Paper condition"),ISNUMBER(Scores!O18)),(COUNTIFS(Scores!$B$5:$B$44,1,Scores!$C$5:$C$44,"Tool condition",Scores!O$5:O$44,Scores!O18)+COUNTIFS(Scores!$B$5:$B$44,1,Scores!$C$5:$C$44,"Paper condition",Scores!O$5:O$44,Scores!O18))^2-1,"")</f>
        <v>224</v>
      </c>
      <c r="BB18" s="1" t="str">
        <f aca="false">IF(AND(Scores!$B18=2,Scores!$C18="Tool condition",ISNUMBER(Scores!O18)),COUNTIFS(Scores!$B$5:$B$44,2,Scores!$C$5:$C$44,"Paper condition",Scores!O$5:O$44,"&lt;"&amp;Scores!O18)+0.5*COUNTIFS(Scores!$B$5:$B$44,2,Scores!$C$5:$C$44,"Paper condition",Scores!O$5:O$44,Scores!O18),"")</f>
        <v/>
      </c>
      <c r="BC18" s="1" t="str">
        <f aca="false">IF(AND(Scores!$B18=2,OR(Scores!$C18="Tool condition",Scores!$C18="Paper condition"),ISNUMBER(Scores!O18)),(COUNTIFS(Scores!$B$5:$B$44,2,Scores!$C$5:$C$44,"Tool condition",Scores!O$5:O$44,Scores!O18)+COUNTIFS(Scores!$B$5:$B$44,2,Scores!$C$5:$C$44,"Paper condition",Scores!O$5:O$44,Scores!O18))^2-1,"")</f>
        <v/>
      </c>
      <c r="BD18" s="1" t="n">
        <f aca="false">IF(ISNUMBER(Scores!O18),Scores!O18^2,"")</f>
        <v>4</v>
      </c>
      <c r="BE18" s="1" t="str">
        <f aca="false">IF(AND(Scores!$B18=1,Scores!$C18="Tool condition",ISNUMBER(Scores!P18)),COUNTIFS(Scores!$B$5:$B$44,1,Scores!$C$5:$C$44,"Paper condition",Scores!P$5:P$44,"&lt;"&amp;Scores!P18)+0.5*COUNTIFS(Scores!$B$5:$B$44,1,Scores!$C$5:$C$44,"Paper condition",Scores!P$5:P$44,Scores!P18),"")</f>
        <v/>
      </c>
      <c r="BF18" s="1" t="n">
        <f aca="false">IF(AND(Scores!$B18=1,OR(Scores!$C18="Tool condition",Scores!$C18="Paper condition"),ISNUMBER(Scores!P18)),(COUNTIFS(Scores!$B$5:$B$44,1,Scores!$C$5:$C$44,"Tool condition",Scores!P$5:P$44,Scores!P18)+COUNTIFS(Scores!$B$5:$B$44,1,Scores!$C$5:$C$44,"Paper condition",Scores!P$5:P$44,Scores!P18))^2-1,"")</f>
        <v>168</v>
      </c>
      <c r="BG18" s="1" t="str">
        <f aca="false">IF(AND(Scores!$B18=2,Scores!$C18="Tool condition",ISNUMBER(Scores!P18)),COUNTIFS(Scores!$B$5:$B$44,2,Scores!$C$5:$C$44,"Paper condition",Scores!P$5:P$44,"&lt;"&amp;Scores!P18)+0.5*COUNTIFS(Scores!$B$5:$B$44,2,Scores!$C$5:$C$44,"Paper condition",Scores!P$5:P$44,Scores!P18),"")</f>
        <v/>
      </c>
      <c r="BH18" s="1" t="str">
        <f aca="false">IF(AND(Scores!$B18=2,OR(Scores!$C18="Tool condition",Scores!$C18="Paper condition"),ISNUMBER(Scores!P18)),(COUNTIFS(Scores!$B$5:$B$44,2,Scores!$C$5:$C$44,"Tool condition",Scores!P$5:P$44,Scores!P18)+COUNTIFS(Scores!$B$5:$B$44,2,Scores!$C$5:$C$44,"Paper condition",Scores!P$5:P$44,Scores!P18))^2-1,"")</f>
        <v/>
      </c>
      <c r="BI18" s="1" t="n">
        <f aca="false">IF(ISNUMBER(Scores!P18),Scores!P18^2,"")</f>
        <v>4</v>
      </c>
      <c r="BJ18" s="1" t="str">
        <f aca="false">IF(AND(R_Scores!$B18=1,R_Scores!$C18="Tool condition",ISNUMBER(R_Scores!E18)),COUNTIFS(R_Scores!$B$5:$B$44,1,R_Scores!$C$5:$C$44,"Paper condition",R_Scores!E$5:E$44,"&lt;"&amp;R_Scores!E18)+0.5*COUNTIFS(R_Scores!$B$5:$B$44,1,R_Scores!$C$5:$C$44,"Paper condition",R_Scores!E$5:E$44,R_Scores!E18),"")</f>
        <v/>
      </c>
      <c r="BK18" s="1" t="n">
        <f aca="false">IF(AND(R_Scores!$B18=1,OR(R_Scores!$C18="Tool condition",R_Scores!$C18="Paper condition"),ISNUMBER(R_Scores!E18)),(COUNTIFS(R_Scores!$B$5:$B$44,1,R_Scores!$C$5:$C$44,"Tool condition",R_Scores!E$5:E$44,R_Scores!E18)+COUNTIFS(R_Scores!$B$5:$B$44,1,R_Scores!$C$5:$C$44,"Paper condition",R_Scores!E$5:E$44,R_Scores!E18))^2-1,"")</f>
        <v>224</v>
      </c>
      <c r="BL18" s="1" t="str">
        <f aca="false">IF(AND(R_Scores!$B18=2,R_Scores!$C18="Tool condition",ISNUMBER(R_Scores!E18)),COUNTIFS(R_Scores!$B$5:$B$44,2,R_Scores!$C$5:$C$44,"Paper condition",R_Scores!E$5:E$44,"&lt;"&amp;R_Scores!E18)+0.5*COUNTIFS(R_Scores!$B$5:$B$44,2,R_Scores!$C$5:$C$44,"Paper condition",R_Scores!E$5:E$44,R_Scores!E18),"")</f>
        <v/>
      </c>
      <c r="BM18" s="1" t="str">
        <f aca="false">IF(AND(R_Scores!$B18=2,OR(R_Scores!$C18="Tool condition",R_Scores!$C18="Paper condition"),ISNUMBER(R_Scores!E18)),(COUNTIFS(R_Scores!$B$5:$B$44,2,R_Scores!$C$5:$C$44,"Tool condition",R_Scores!E$5:E$44,R_Scores!E18)+COUNTIFS(R_Scores!$B$5:$B$44,2,R_Scores!$C$5:$C$44,"Paper condition",R_Scores!E$5:E$44,R_Scores!E18))^2-1,"")</f>
        <v/>
      </c>
      <c r="BN18" s="1" t="n">
        <f aca="false">IF(ISNUMBER(R_Scores!E18),R_Scores!E18^2,"")</f>
        <v>1</v>
      </c>
      <c r="BO18" s="1" t="str">
        <f aca="false">IF(AND(R_Scores!$B18=1,R_Scores!$C18="Tool condition",ISNUMBER(R_Scores!F18)),COUNTIFS(R_Scores!$B$5:$B$44,1,R_Scores!$C$5:$C$44,"Paper condition",R_Scores!F$5:F$44,"&lt;"&amp;R_Scores!F18)+0.5*COUNTIFS(R_Scores!$B$5:$B$44,1,R_Scores!$C$5:$C$44,"Paper condition",R_Scores!F$5:F$44,R_Scores!F18),"")</f>
        <v/>
      </c>
      <c r="BP18" s="1" t="n">
        <f aca="false">IF(AND(R_Scores!$B18=1,OR(R_Scores!$C18="Tool condition",R_Scores!$C18="Paper condition"),ISNUMBER(R_Scores!F18)),(COUNTIFS(R_Scores!$B$5:$B$44,1,R_Scores!$C$5:$C$44,"Tool condition",R_Scores!F$5:F$44,R_Scores!F18)+COUNTIFS(R_Scores!$B$5:$B$44,1,R_Scores!$C$5:$C$44,"Paper condition",R_Scores!F$5:F$44,R_Scores!F18))^2-1,"")</f>
        <v>195</v>
      </c>
      <c r="BQ18" s="1" t="str">
        <f aca="false">IF(AND(R_Scores!$B18=2,R_Scores!$C18="Tool condition",ISNUMBER(R_Scores!F18)),COUNTIFS(R_Scores!$B$5:$B$44,2,R_Scores!$C$5:$C$44,"Paper condition",R_Scores!F$5:F$44,"&lt;"&amp;R_Scores!F18)+0.5*COUNTIFS(R_Scores!$B$5:$B$44,2,R_Scores!$C$5:$C$44,"Paper condition",R_Scores!F$5:F$44,R_Scores!F18),"")</f>
        <v/>
      </c>
      <c r="BR18" s="1" t="str">
        <f aca="false">IF(AND(R_Scores!$B18=2,OR(R_Scores!$C18="Tool condition",R_Scores!$C18="Paper condition"),ISNUMBER(R_Scores!F18)),(COUNTIFS(R_Scores!$B$5:$B$44,2,R_Scores!$C$5:$C$44,"Tool condition",R_Scores!F$5:F$44,R_Scores!F18)+COUNTIFS(R_Scores!$B$5:$B$44,2,R_Scores!$C$5:$C$44,"Paper condition",R_Scores!F$5:F$44,R_Scores!F18))^2-1,"")</f>
        <v/>
      </c>
      <c r="BS18" s="1" t="n">
        <f aca="false">IF(ISNUMBER(R_Scores!F18),R_Scores!F18^2,"")</f>
        <v>1</v>
      </c>
      <c r="BT18" s="1" t="str">
        <f aca="false">IF(AND(R_Scores!$B18=1,R_Scores!$C18="Tool condition",ISNUMBER(R_Scores!G18)),COUNTIFS(R_Scores!$B$5:$B$44,1,R_Scores!$C$5:$C$44,"Paper condition",R_Scores!G$5:G$44,"&lt;"&amp;R_Scores!G18)+0.5*COUNTIFS(R_Scores!$B$5:$B$44,1,R_Scores!$C$5:$C$44,"Paper condition",R_Scores!G$5:G$44,R_Scores!G18),"")</f>
        <v/>
      </c>
      <c r="BU18" s="1" t="str">
        <f aca="false">IF(AND(R_Scores!$B18=1,OR(R_Scores!$C18="Tool condition",R_Scores!$C18="Paper condition"),ISNUMBER(R_Scores!G18)),(COUNTIFS(R_Scores!$B$5:$B$44,1,R_Scores!$C$5:$C$44,"Tool condition",R_Scores!G$5:G$44,R_Scores!G18)+COUNTIFS(R_Scores!$B$5:$B$44,1,R_Scores!$C$5:$C$44,"Paper condition",R_Scores!G$5:G$44,R_Scores!G18))^2-1,"")</f>
        <v/>
      </c>
      <c r="BV18" s="1" t="str">
        <f aca="false">IF(AND(R_Scores!$B18=2,R_Scores!$C18="Tool condition",ISNUMBER(R_Scores!G18)),COUNTIFS(R_Scores!$B$5:$B$44,2,R_Scores!$C$5:$C$44,"Paper condition",R_Scores!G$5:G$44,"&lt;"&amp;R_Scores!G18)+0.5*COUNTIFS(R_Scores!$B$5:$B$44,2,R_Scores!$C$5:$C$44,"Paper condition",R_Scores!G$5:G$44,R_Scores!G18),"")</f>
        <v/>
      </c>
      <c r="BW18" s="1" t="str">
        <f aca="false">IF(AND(R_Scores!$B18=2,OR(R_Scores!$C18="Tool condition",R_Scores!$C18="Paper condition"),ISNUMBER(R_Scores!G18)),(COUNTIFS(R_Scores!$B$5:$B$44,2,R_Scores!$C$5:$C$44,"Tool condition",R_Scores!G$5:G$44,R_Scores!G18)+COUNTIFS(R_Scores!$B$5:$B$44,2,R_Scores!$C$5:$C$44,"Paper condition",R_Scores!G$5:G$44,R_Scores!G18))^2-1,"")</f>
        <v/>
      </c>
      <c r="BX18" s="1" t="str">
        <f aca="false">IF(ISNUMBER(R_Scores!G18),R_Scores!G18^2,"")</f>
        <v/>
      </c>
      <c r="BY18" s="1" t="str">
        <f aca="false">IF(AND(R_Scores!$B18=1,R_Scores!$C18="Tool condition",ISNUMBER(R_Scores!H18)),COUNTIFS(R_Scores!$B$5:$B$44,1,R_Scores!$C$5:$C$44,"Paper condition",R_Scores!H$5:H$44,"&lt;"&amp;R_Scores!H18)+0.5*COUNTIFS(R_Scores!$B$5:$B$44,1,R_Scores!$C$5:$C$44,"Paper condition",R_Scores!H$5:H$44,R_Scores!H18),"")</f>
        <v/>
      </c>
      <c r="BZ18" s="1" t="str">
        <f aca="false">IF(AND(R_Scores!$B18=1,OR(R_Scores!$C18="Tool condition",R_Scores!$C18="Paper condition"),ISNUMBER(R_Scores!H18)),(COUNTIFS(R_Scores!$B$5:$B$44,1,R_Scores!$C$5:$C$44,"Tool condition",R_Scores!H$5:H$44,R_Scores!H18)+COUNTIFS(R_Scores!$B$5:$B$44,1,R_Scores!$C$5:$C$44,"Paper condition",R_Scores!H$5:H$44,R_Scores!H18))^2-1,"")</f>
        <v/>
      </c>
      <c r="CA18" s="1" t="str">
        <f aca="false">IF(AND(R_Scores!$B18=2,R_Scores!$C18="Tool condition",ISNUMBER(R_Scores!H18)),COUNTIFS(R_Scores!$B$5:$B$44,2,R_Scores!$C$5:$C$44,"Paper condition",R_Scores!H$5:H$44,"&lt;"&amp;R_Scores!H18)+0.5*COUNTIFS(R_Scores!$B$5:$B$44,2,R_Scores!$C$5:$C$44,"Paper condition",R_Scores!H$5:H$44,R_Scores!H18),"")</f>
        <v/>
      </c>
      <c r="CB18" s="1" t="str">
        <f aca="false">IF(AND(R_Scores!$B18=2,OR(R_Scores!$C18="Tool condition",R_Scores!$C18="Paper condition"),ISNUMBER(R_Scores!H18)),(COUNTIFS(R_Scores!$B$5:$B$44,2,R_Scores!$C$5:$C$44,"Tool condition",R_Scores!H$5:H$44,R_Scores!H18)+COUNTIFS(R_Scores!$B$5:$B$44,2,R_Scores!$C$5:$C$44,"Paper condition",R_Scores!H$5:H$44,R_Scores!H18))^2-1,"")</f>
        <v/>
      </c>
      <c r="CC18" s="1" t="str">
        <f aca="false">IF(ISNUMBER(R_Scores!H18),R_Scores!H18^2,"")</f>
        <v/>
      </c>
      <c r="CD18" s="1" t="str">
        <f aca="false">IF(AND(R_Scores!$B18=1,R_Scores!$C18="Tool condition",ISNUMBER(R_Scores!I18)),COUNTIFS(R_Scores!$B$5:$B$44,1,R_Scores!$C$5:$C$44,"Paper condition",R_Scores!I$5:I$44,"&lt;"&amp;R_Scores!I18)+0.5*COUNTIFS(R_Scores!$B$5:$B$44,1,R_Scores!$C$5:$C$44,"Paper condition",R_Scores!I$5:I$44,R_Scores!I18),"")</f>
        <v/>
      </c>
      <c r="CE18" s="1" t="n">
        <f aca="false">IF(AND(R_Scores!$B18=1,OR(R_Scores!$C18="Tool condition",R_Scores!$C18="Paper condition"),ISNUMBER(R_Scores!I18)),(COUNTIFS(R_Scores!$B$5:$B$44,1,R_Scores!$C$5:$C$44,"Tool condition",R_Scores!I$5:I$44,R_Scores!I18)+COUNTIFS(R_Scores!$B$5:$B$44,1,R_Scores!$C$5:$C$44,"Paper condition",R_Scores!I$5:I$44,R_Scores!I18))^2-1,"")</f>
        <v>168</v>
      </c>
      <c r="CF18" s="1" t="str">
        <f aca="false">IF(AND(R_Scores!$B18=2,R_Scores!$C18="Tool condition",ISNUMBER(R_Scores!I18)),COUNTIFS(R_Scores!$B$5:$B$44,2,R_Scores!$C$5:$C$44,"Paper condition",R_Scores!I$5:I$44,"&lt;"&amp;R_Scores!I18)+0.5*COUNTIFS(R_Scores!$B$5:$B$44,2,R_Scores!$C$5:$C$44,"Paper condition",R_Scores!I$5:I$44,R_Scores!I18),"")</f>
        <v/>
      </c>
      <c r="CG18" s="1" t="str">
        <f aca="false">IF(AND(R_Scores!$B18=2,OR(R_Scores!$C18="Tool condition",R_Scores!$C18="Paper condition"),ISNUMBER(R_Scores!I18)),(COUNTIFS(R_Scores!$B$5:$B$44,2,R_Scores!$C$5:$C$44,"Tool condition",R_Scores!I$5:I$44,R_Scores!I18)+COUNTIFS(R_Scores!$B$5:$B$44,2,R_Scores!$C$5:$C$44,"Paper condition",R_Scores!I$5:I$44,R_Scores!I18))^2-1,"")</f>
        <v/>
      </c>
      <c r="CH18" s="1" t="n">
        <f aca="false">IF(ISNUMBER(R_Scores!I18),R_Scores!I18^2,"")</f>
        <v>1</v>
      </c>
      <c r="CI18" s="1" t="str">
        <f aca="false">IF(AND(R_Scores!$B18=1,R_Scores!$C18="Tool condition",ISNUMBER(R_Scores!J18)),COUNTIFS(R_Scores!$B$5:$B$44,1,R_Scores!$C$5:$C$44,"Paper condition",R_Scores!J$5:J$44,"&lt;"&amp;R_Scores!J18)+0.5*COUNTIFS(R_Scores!$B$5:$B$44,1,R_Scores!$C$5:$C$44,"Paper condition",R_Scores!J$5:J$44,R_Scores!J18),"")</f>
        <v/>
      </c>
      <c r="CJ18" s="1" t="n">
        <f aca="false">IF(AND(R_Scores!$B18=1,OR(R_Scores!$C18="Tool condition",R_Scores!$C18="Paper condition"),ISNUMBER(R_Scores!J18)),(COUNTIFS(R_Scores!$B$5:$B$44,1,R_Scores!$C$5:$C$44,"Tool condition",R_Scores!J$5:J$44,R_Scores!J18)+COUNTIFS(R_Scores!$B$5:$B$44,1,R_Scores!$C$5:$C$44,"Paper condition",R_Scores!J$5:J$44,R_Scores!J18))^2-1,"")</f>
        <v>224</v>
      </c>
      <c r="CK18" s="1" t="str">
        <f aca="false">IF(AND(R_Scores!$B18=2,R_Scores!$C18="Tool condition",ISNUMBER(R_Scores!J18)),COUNTIFS(R_Scores!$B$5:$B$44,2,R_Scores!$C$5:$C$44,"Paper condition",R_Scores!J$5:J$44,"&lt;"&amp;R_Scores!J18)+0.5*COUNTIFS(R_Scores!$B$5:$B$44,2,R_Scores!$C$5:$C$44,"Paper condition",R_Scores!J$5:J$44,R_Scores!J18),"")</f>
        <v/>
      </c>
      <c r="CL18" s="1" t="str">
        <f aca="false">IF(AND(R_Scores!$B18=2,OR(R_Scores!$C18="Tool condition",R_Scores!$C18="Paper condition"),ISNUMBER(R_Scores!J18)),(COUNTIFS(R_Scores!$B$5:$B$44,2,R_Scores!$C$5:$C$44,"Tool condition",R_Scores!J$5:J$44,R_Scores!J18)+COUNTIFS(R_Scores!$B$5:$B$44,2,R_Scores!$C$5:$C$44,"Paper condition",R_Scores!J$5:J$44,R_Scores!J18))^2-1,"")</f>
        <v/>
      </c>
      <c r="CM18" s="1" t="n">
        <f aca="false">IF(ISNUMBER(R_Scores!J18),R_Scores!J18^2,"")</f>
        <v>1</v>
      </c>
      <c r="CN18" s="1" t="str">
        <f aca="false">IF(AND(R_Scores!$B18=1,R_Scores!$C18="Tool condition",ISNUMBER(R_Scores!K18)),COUNTIFS(R_Scores!$B$5:$B$44,1,R_Scores!$C$5:$C$44,"Paper condition",R_Scores!K$5:K$44,"&lt;"&amp;R_Scores!K18)+0.5*COUNTIFS(R_Scores!$B$5:$B$44,1,R_Scores!$C$5:$C$44,"Paper condition",R_Scores!K$5:K$44,R_Scores!K18),"")</f>
        <v/>
      </c>
      <c r="CO18" s="1" t="str">
        <f aca="false">IF(AND(R_Scores!$B18=1,OR(R_Scores!$C18="Tool condition",R_Scores!$C18="Paper condition"),ISNUMBER(R_Scores!K18)),(COUNTIFS(R_Scores!$B$5:$B$44,1,R_Scores!$C$5:$C$44,"Tool condition",R_Scores!K$5:K$44,R_Scores!K18)+COUNTIFS(R_Scores!$B$5:$B$44,1,R_Scores!$C$5:$C$44,"Paper condition",R_Scores!K$5:K$44,R_Scores!K18))^2-1,"")</f>
        <v/>
      </c>
      <c r="CP18" s="1" t="str">
        <f aca="false">IF(AND(R_Scores!$B18=2,R_Scores!$C18="Tool condition",ISNUMBER(R_Scores!K18)),COUNTIFS(R_Scores!$B$5:$B$44,2,R_Scores!$C$5:$C$44,"Paper condition",R_Scores!K$5:K$44,"&lt;"&amp;R_Scores!K18)+0.5*COUNTIFS(R_Scores!$B$5:$B$44,2,R_Scores!$C$5:$C$44,"Paper condition",R_Scores!K$5:K$44,R_Scores!K18),"")</f>
        <v/>
      </c>
      <c r="CQ18" s="1" t="str">
        <f aca="false">IF(AND(R_Scores!$B18=2,OR(R_Scores!$C18="Tool condition",R_Scores!$C18="Paper condition"),ISNUMBER(R_Scores!K18)),(COUNTIFS(R_Scores!$B$5:$B$44,2,R_Scores!$C$5:$C$44,"Tool condition",R_Scores!K$5:K$44,R_Scores!K18)+COUNTIFS(R_Scores!$B$5:$B$44,2,R_Scores!$C$5:$C$44,"Paper condition",R_Scores!K$5:K$44,R_Scores!K18))^2-1,"")</f>
        <v/>
      </c>
      <c r="CR18" s="1" t="str">
        <f aca="false">IF(ISNUMBER(R_Scores!K18),R_Scores!K18^2,"")</f>
        <v/>
      </c>
      <c r="CS18" s="1" t="str">
        <f aca="false">IF(AND(R_Scores!$B18=1,R_Scores!$C18="Tool condition",ISNUMBER(R_Scores!L18)),COUNTIFS(R_Scores!$B$5:$B$44,1,R_Scores!$C$5:$C$44,"Paper condition",R_Scores!L$5:L$44,"&lt;"&amp;R_Scores!L18)+0.5*COUNTIFS(R_Scores!$B$5:$B$44,1,R_Scores!$C$5:$C$44,"Paper condition",R_Scores!L$5:L$44,R_Scores!L18),"")</f>
        <v/>
      </c>
      <c r="CT18" s="1" t="str">
        <f aca="false">IF(AND(R_Scores!$B18=1,OR(R_Scores!$C18="Tool condition",R_Scores!$C18="Paper condition"),ISNUMBER(R_Scores!L18)),(COUNTIFS(R_Scores!$B$5:$B$44,1,R_Scores!$C$5:$C$44,"Tool condition",R_Scores!L$5:L$44,R_Scores!L18)+COUNTIFS(R_Scores!$B$5:$B$44,1,R_Scores!$C$5:$C$44,"Paper condition",R_Scores!L$5:L$44,R_Scores!L18))^2-1,"")</f>
        <v/>
      </c>
      <c r="CU18" s="1" t="str">
        <f aca="false">IF(AND(R_Scores!$B18=2,R_Scores!$C18="Tool condition",ISNUMBER(R_Scores!L18)),COUNTIFS(R_Scores!$B$5:$B$44,2,R_Scores!$C$5:$C$44,"Paper condition",R_Scores!L$5:L$44,"&lt;"&amp;R_Scores!L18)+0.5*COUNTIFS(R_Scores!$B$5:$B$44,2,R_Scores!$C$5:$C$44,"Paper condition",R_Scores!L$5:L$44,R_Scores!L18),"")</f>
        <v/>
      </c>
      <c r="CV18" s="1" t="str">
        <f aca="false">IF(AND(R_Scores!$B18=2,OR(R_Scores!$C18="Tool condition",R_Scores!$C18="Paper condition"),ISNUMBER(R_Scores!L18)),(COUNTIFS(R_Scores!$B$5:$B$44,2,R_Scores!$C$5:$C$44,"Tool condition",R_Scores!L$5:L$44,R_Scores!L18)+COUNTIFS(R_Scores!$B$5:$B$44,2,R_Scores!$C$5:$C$44,"Paper condition",R_Scores!L$5:L$44,R_Scores!L18))^2-1,"")</f>
        <v/>
      </c>
      <c r="CW18" s="1" t="str">
        <f aca="false">IF(ISNUMBER(R_Scores!L18),R_Scores!L18^2,"")</f>
        <v/>
      </c>
      <c r="CX18" s="1" t="str">
        <f aca="false">IF(AND(R_Scores!$B18=1,R_Scores!$C18="Tool condition",ISNUMBER(R_Scores!M18)),COUNTIFS(R_Scores!$B$5:$B$44,1,R_Scores!$C$5:$C$44,"Paper condition",R_Scores!M$5:M$44,"&lt;"&amp;R_Scores!M18)+0.5*COUNTIFS(R_Scores!$B$5:$B$44,1,R_Scores!$C$5:$C$44,"Paper condition",R_Scores!M$5:M$44,R_Scores!M18),"")</f>
        <v/>
      </c>
      <c r="CY18" s="1" t="str">
        <f aca="false">IF(AND(R_Scores!$B18=1,OR(R_Scores!$C18="Tool condition",R_Scores!$C18="Paper condition"),ISNUMBER(R_Scores!M18)),(COUNTIFS(R_Scores!$B$5:$B$44,1,R_Scores!$C$5:$C$44,"Tool condition",R_Scores!M$5:M$44,R_Scores!M18)+COUNTIFS(R_Scores!$B$5:$B$44,1,R_Scores!$C$5:$C$44,"Paper condition",R_Scores!M$5:M$44,R_Scores!M18))^2-1,"")</f>
        <v/>
      </c>
      <c r="CZ18" s="1" t="str">
        <f aca="false">IF(AND(R_Scores!$B18=2,R_Scores!$C18="Tool condition",ISNUMBER(R_Scores!M18)),COUNTIFS(R_Scores!$B$5:$B$44,2,R_Scores!$C$5:$C$44,"Paper condition",R_Scores!M$5:M$44,"&lt;"&amp;R_Scores!M18)+0.5*COUNTIFS(R_Scores!$B$5:$B$44,2,R_Scores!$C$5:$C$44,"Paper condition",R_Scores!M$5:M$44,R_Scores!M18),"")</f>
        <v/>
      </c>
      <c r="DA18" s="1" t="str">
        <f aca="false">IF(AND(R_Scores!$B18=2,OR(R_Scores!$C18="Tool condition",R_Scores!$C18="Paper condition"),ISNUMBER(R_Scores!M18)),(COUNTIFS(R_Scores!$B$5:$B$44,2,R_Scores!$C$5:$C$44,"Tool condition",R_Scores!M$5:M$44,R_Scores!M18)+COUNTIFS(R_Scores!$B$5:$B$44,2,R_Scores!$C$5:$C$44,"Paper condition",R_Scores!M$5:M$44,R_Scores!M18))^2-1,"")</f>
        <v/>
      </c>
      <c r="DB18" s="1" t="str">
        <f aca="false">IF(ISNUMBER(R_Scores!M18),R_Scores!M18^2,"")</f>
        <v/>
      </c>
      <c r="DC18" s="1" t="str">
        <f aca="false">IF(AND(R_Scores!$B18=1,R_Scores!$C18="Tool condition",ISNUMBER(R_Scores!N18)),COUNTIFS(R_Scores!$B$5:$B$44,1,R_Scores!$C$5:$C$44,"Paper condition",R_Scores!N$5:N$44,"&lt;"&amp;R_Scores!N18)+0.5*COUNTIFS(R_Scores!$B$5:$B$44,1,R_Scores!$C$5:$C$44,"Paper condition",R_Scores!N$5:N$44,R_Scores!N18),"")</f>
        <v/>
      </c>
      <c r="DD18" s="1" t="n">
        <f aca="false">IF(AND(R_Scores!$B18=1,OR(R_Scores!$C18="Tool condition",R_Scores!$C18="Paper condition"),ISNUMBER(R_Scores!N18)),(COUNTIFS(R_Scores!$B$5:$B$44,1,R_Scores!$C$5:$C$44,"Tool condition",R_Scores!N$5:N$44,R_Scores!N18)+COUNTIFS(R_Scores!$B$5:$B$44,1,R_Scores!$C$5:$C$44,"Paper condition",R_Scores!N$5:N$44,R_Scores!N18))^2-1,"")</f>
        <v>143</v>
      </c>
      <c r="DE18" s="1" t="str">
        <f aca="false">IF(AND(R_Scores!$B18=2,R_Scores!$C18="Tool condition",ISNUMBER(R_Scores!N18)),COUNTIFS(R_Scores!$B$5:$B$44,2,R_Scores!$C$5:$C$44,"Paper condition",R_Scores!N$5:N$44,"&lt;"&amp;R_Scores!N18)+0.5*COUNTIFS(R_Scores!$B$5:$B$44,2,R_Scores!$C$5:$C$44,"Paper condition",R_Scores!N$5:N$44,R_Scores!N18),"")</f>
        <v/>
      </c>
      <c r="DF18" s="1" t="str">
        <f aca="false">IF(AND(R_Scores!$B18=2,OR(R_Scores!$C18="Tool condition",R_Scores!$C18="Paper condition"),ISNUMBER(R_Scores!N18)),(COUNTIFS(R_Scores!$B$5:$B$44,2,R_Scores!$C$5:$C$44,"Tool condition",R_Scores!N$5:N$44,R_Scores!N18)+COUNTIFS(R_Scores!$B$5:$B$44,2,R_Scores!$C$5:$C$44,"Paper condition",R_Scores!N$5:N$44,R_Scores!N18))^2-1,"")</f>
        <v/>
      </c>
      <c r="DG18" s="1" t="n">
        <f aca="false">IF(ISNUMBER(R_Scores!N18),R_Scores!N18^2,"")</f>
        <v>1</v>
      </c>
      <c r="DH18" s="1" t="str">
        <f aca="false">IF(AND(R_Scores!$B18=1,R_Scores!$C18="Tool condition",ISNUMBER(R_Scores!O18)),COUNTIFS(R_Scores!$B$5:$B$44,1,R_Scores!$C$5:$C$44,"Paper condition",R_Scores!O$5:O$44,"&lt;"&amp;R_Scores!O18)+0.5*COUNTIFS(R_Scores!$B$5:$B$44,1,R_Scores!$C$5:$C$44,"Paper condition",R_Scores!O$5:O$44,R_Scores!O18),"")</f>
        <v/>
      </c>
      <c r="DI18" s="1" t="n">
        <f aca="false">IF(AND(R_Scores!$B18=1,OR(R_Scores!$C18="Tool condition",R_Scores!$C18="Paper condition"),ISNUMBER(R_Scores!O18)),(COUNTIFS(R_Scores!$B$5:$B$44,1,R_Scores!$C$5:$C$44,"Tool condition",R_Scores!O$5:O$44,R_Scores!O18)+COUNTIFS(R_Scores!$B$5:$B$44,1,R_Scores!$C$5:$C$44,"Paper condition",R_Scores!O$5:O$44,R_Scores!O18))^2-1,"")</f>
        <v>168</v>
      </c>
      <c r="DJ18" s="1" t="str">
        <f aca="false">IF(AND(R_Scores!$B18=2,R_Scores!$C18="Tool condition",ISNUMBER(R_Scores!O18)),COUNTIFS(R_Scores!$B$5:$B$44,2,R_Scores!$C$5:$C$44,"Paper condition",R_Scores!O$5:O$44,"&lt;"&amp;R_Scores!O18)+0.5*COUNTIFS(R_Scores!$B$5:$B$44,2,R_Scores!$C$5:$C$44,"Paper condition",R_Scores!O$5:O$44,R_Scores!O18),"")</f>
        <v/>
      </c>
      <c r="DK18" s="1" t="str">
        <f aca="false">IF(AND(R_Scores!$B18=2,OR(R_Scores!$C18="Tool condition",R_Scores!$C18="Paper condition"),ISNUMBER(R_Scores!O18)),(COUNTIFS(R_Scores!$B$5:$B$44,2,R_Scores!$C$5:$C$44,"Tool condition",R_Scores!O$5:O$44,R_Scores!O18)+COUNTIFS(R_Scores!$B$5:$B$44,2,R_Scores!$C$5:$C$44,"Paper condition",R_Scores!O$5:O$44,R_Scores!O18))^2-1,"")</f>
        <v/>
      </c>
      <c r="DL18" s="1" t="n">
        <f aca="false">IF(ISNUMBER(R_Scores!O18),R_Scores!O18^2,"")</f>
        <v>1</v>
      </c>
      <c r="DM18" s="1" t="str">
        <f aca="false">IF(AND(R_Scores!$B18=1,R_Scores!$C18="Tool condition",ISNUMBER(R_Scores!P18)),COUNTIFS(R_Scores!$B$5:$B$44,1,R_Scores!$C$5:$C$44,"Paper condition",R_Scores!P$5:P$44,"&lt;"&amp;R_Scores!P18)+0.5*COUNTIFS(R_Scores!$B$5:$B$44,1,R_Scores!$C$5:$C$44,"Paper condition",R_Scores!P$5:P$44,R_Scores!P18),"")</f>
        <v/>
      </c>
      <c r="DN18" s="1" t="n">
        <f aca="false">IF(AND(R_Scores!$B18=1,OR(R_Scores!$C18="Tool condition",R_Scores!$C18="Paper condition"),ISNUMBER(R_Scores!P18)),(COUNTIFS(R_Scores!$B$5:$B$44,1,R_Scores!$C$5:$C$44,"Tool condition",R_Scores!P$5:P$44,R_Scores!P18)+COUNTIFS(R_Scores!$B$5:$B$44,1,R_Scores!$C$5:$C$44,"Paper condition",R_Scores!P$5:P$44,R_Scores!P18))^2-1,"")</f>
        <v>120</v>
      </c>
      <c r="DO18" s="1" t="str">
        <f aca="false">IF(AND(R_Scores!$B18=2,R_Scores!$C18="Tool condition",ISNUMBER(R_Scores!P18)),COUNTIFS(R_Scores!$B$5:$B$44,2,R_Scores!$C$5:$C$44,"Paper condition",R_Scores!P$5:P$44,"&lt;"&amp;R_Scores!P18)+0.5*COUNTIFS(R_Scores!$B$5:$B$44,2,R_Scores!$C$5:$C$44,"Paper condition",R_Scores!P$5:P$44,R_Scores!P18),"")</f>
        <v/>
      </c>
      <c r="DP18" s="1" t="str">
        <f aca="false">IF(AND(R_Scores!$B18=2,OR(R_Scores!$C18="Tool condition",R_Scores!$C18="Paper condition"),ISNUMBER(R_Scores!P18)),(COUNTIFS(R_Scores!$B$5:$B$44,2,R_Scores!$C$5:$C$44,"Tool condition",R_Scores!P$5:P$44,R_Scores!P18)+COUNTIFS(R_Scores!$B$5:$B$44,2,R_Scores!$C$5:$C$44,"Paper condition",R_Scores!P$5:P$44,R_Scores!P18))^2-1,"")</f>
        <v/>
      </c>
      <c r="DQ18" s="1" t="n">
        <f aca="false">IF(ISNUMBER(R_Scores!P18),R_Scores!P18^2,"")</f>
        <v>1</v>
      </c>
      <c r="DR18" s="1" t="str">
        <f aca="false">IF(AND(Scores!$B18=1,Scores!$C18="Tool condition",ISNUMBER(Scores!Q18)),COUNTIFS(Scores!$B$5:$B$44,1,Scores!$C$5:$C$44,"Paper condition",Scores!Q$5:Q$44,"&lt;"&amp;Scores!Q18)+0.5*COUNTIFS(Scores!$B$5:$B$44,1,Scores!$C$5:$C$44,"Paper condition",Scores!Q$5:Q$44,Scores!Q18),"")</f>
        <v/>
      </c>
      <c r="DS18" s="1" t="n">
        <f aca="false">IF(AND(Scores!$B18=1,OR(Scores!$C18="Tool condition",Scores!$C18="Paper condition"),ISNUMBER(Scores!Q18)),(COUNTIFS(Scores!$B$5:$B$44,1,Scores!$C$5:$C$44,"Tool condition",Scores!Q$5:Q$44,Scores!Q18)+COUNTIFS(Scores!$B$5:$B$44,1,Scores!$C$5:$C$44,"Paper condition",Scores!Q$5:Q$44,Scores!Q18))^2-1,"")</f>
        <v>3</v>
      </c>
      <c r="DT18" s="1" t="str">
        <f aca="false">IF(AND(Scores!$B18=2,Scores!$C18="Tool condition",ISNUMBER(Scores!Q18)),COUNTIFS(Scores!$B$5:$B$44,2,Scores!$C$5:$C$44,"Paper condition",Scores!Q$5:Q$44,"&lt;"&amp;Scores!Q18)+0.5*COUNTIFS(Scores!$B$5:$B$44,2,Scores!$C$5:$C$44,"Paper condition",Scores!Q$5:Q$44,Scores!Q18),"")</f>
        <v/>
      </c>
      <c r="DU18" s="1" t="str">
        <f aca="false">IF(AND(Scores!$B18=2,OR(Scores!$C18="Tool condition",Scores!$C18="Paper condition"),ISNUMBER(Scores!Q18)),(COUNTIFS(Scores!$B$5:$B$44,2,Scores!$C$5:$C$44,"Tool condition",Scores!Q$5:Q$44,Scores!Q18)+COUNTIFS(Scores!$B$5:$B$44,2,Scores!$C$5:$C$44,"Paper condition",Scores!Q$5:Q$44,Scores!Q18))^2-1,"")</f>
        <v/>
      </c>
      <c r="DV18" s="1" t="n">
        <f aca="false">IF(ISNUMBER(Scores!Q18),Scores!Q18^2,"")</f>
        <v>484</v>
      </c>
      <c r="DW18" s="1" t="str">
        <f aca="false">IF(AND(Scores!$B18=1,Scores!$C18="Tool condition",ISNUMBER(Scores!R18)),COUNTIFS(Scores!$B$5:$B$44,1,Scores!$C$5:$C$44,"Paper condition",Scores!R$5:R$44,"&lt;"&amp;Scores!R18)+0.5*COUNTIFS(Scores!$B$5:$B$44,1,Scores!$C$5:$C$44,"Paper condition",Scores!R$5:R$44,Scores!R18),"")</f>
        <v/>
      </c>
      <c r="DX18" s="1" t="n">
        <f aca="false">IF(AND(Scores!$B18=1,OR(Scores!$C18="Tool condition",Scores!$C18="Paper condition"),ISNUMBER(Scores!R18)),(COUNTIFS(Scores!$B$5:$B$44,1,Scores!$C$5:$C$44,"Tool condition",Scores!R$5:R$44,Scores!R18)+COUNTIFS(Scores!$B$5:$B$44,1,Scores!$C$5:$C$44,"Paper condition",Scores!R$5:R$44,Scores!R18))^2-1,"")</f>
        <v>120</v>
      </c>
      <c r="DY18" s="1" t="str">
        <f aca="false">IF(AND(Scores!$B18=2,Scores!$C18="Tool condition",ISNUMBER(Scores!R18)),COUNTIFS(Scores!$B$5:$B$44,2,Scores!$C$5:$C$44,"Paper condition",Scores!R$5:R$44,"&lt;"&amp;Scores!R18)+0.5*COUNTIFS(Scores!$B$5:$B$44,2,Scores!$C$5:$C$44,"Paper condition",Scores!R$5:R$44,Scores!R18),"")</f>
        <v/>
      </c>
      <c r="DZ18" s="1" t="str">
        <f aca="false">IF(AND(Scores!$B18=2,OR(Scores!$C18="Tool condition",Scores!$C18="Paper condition"),ISNUMBER(Scores!R18)),(COUNTIFS(Scores!$B$5:$B$44,2,Scores!$C$5:$C$44,"Tool condition",Scores!R$5:R$44,Scores!R18)+COUNTIFS(Scores!$B$5:$B$44,2,Scores!$C$5:$C$44,"Paper condition",Scores!R$5:R$44,Scores!R18))^2-1,"")</f>
        <v/>
      </c>
      <c r="EA18" s="1" t="n">
        <f aca="false">IF(ISNUMBER(Scores!R18),Scores!R18^2,"")</f>
        <v>196</v>
      </c>
      <c r="EB18" s="1" t="str">
        <f aca="false">IF(AND(Scores!$B18=1,Scores!$C18="Tool condition",ISNUMBER(Scores!S18)),COUNTIFS(Scores!$B$5:$B$44,1,Scores!$C$5:$C$44,"Paper condition",Scores!S$5:S$44,"&lt;"&amp;Scores!S18)+0.5*COUNTIFS(Scores!$B$5:$B$44,1,Scores!$C$5:$C$44,"Paper condition",Scores!S$5:S$44,Scores!S18),"")</f>
        <v/>
      </c>
      <c r="EC18" s="1" t="n">
        <f aca="false">IF(AND(Scores!$B18=1,OR(Scores!$C18="Tool condition",Scores!$C18="Paper condition"),ISNUMBER(Scores!S18)),(COUNTIFS(Scores!$B$5:$B$44,1,Scores!$C$5:$C$44,"Tool condition",Scores!S$5:S$44,Scores!S18)+COUNTIFS(Scores!$B$5:$B$44,1,Scores!$C$5:$C$44,"Paper condition",Scores!S$5:S$44,Scores!S18))^2-1,"")</f>
        <v>15</v>
      </c>
      <c r="ED18" s="1" t="str">
        <f aca="false">IF(AND(Scores!$B18=2,Scores!$C18="Tool condition",ISNUMBER(Scores!S18)),COUNTIFS(Scores!$B$5:$B$44,2,Scores!$C$5:$C$44,"Paper condition",Scores!S$5:S$44,"&lt;"&amp;Scores!S18)+0.5*COUNTIFS(Scores!$B$5:$B$44,2,Scores!$C$5:$C$44,"Paper condition",Scores!S$5:S$44,Scores!S18),"")</f>
        <v/>
      </c>
      <c r="EE18" s="1" t="str">
        <f aca="false">IF(AND(Scores!$B18=2,OR(Scores!$C18="Tool condition",Scores!$C18="Paper condition"),ISNUMBER(Scores!S18)),(COUNTIFS(Scores!$B$5:$B$44,2,Scores!$C$5:$C$44,"Tool condition",Scores!S$5:S$44,Scores!S18)+COUNTIFS(Scores!$B$5:$B$44,2,Scores!$C$5:$C$44,"Paper condition",Scores!S$5:S$44,Scores!S18))^2-1,"")</f>
        <v/>
      </c>
      <c r="EF18" s="1" t="n">
        <f aca="false">IF(ISNUMBER(Scores!S18),Scores!S18^2,"")</f>
        <v>64</v>
      </c>
      <c r="EG18" s="1" t="str">
        <f aca="false">IF(AND(Scores!$B18=1,Scores!$C18="Tool condition",ISNUMBER(Scores!T18)),COUNTIFS(Scores!$B$5:$B$44,1,Scores!$C$5:$C$44,"Paper condition",Scores!T$5:T$44,"&lt;"&amp;Scores!T18)+0.5*COUNTIFS(Scores!$B$5:$B$44,1,Scores!$C$5:$C$44,"Paper condition",Scores!T$5:T$44,Scores!T18),"")</f>
        <v/>
      </c>
      <c r="EH18" s="1" t="n">
        <f aca="false">IF(AND(Scores!$B18=1,OR(Scores!$C18="Tool condition",Scores!$C18="Paper condition"),ISNUMBER(Scores!T18)),(COUNTIFS(Scores!$B$5:$B$44,1,Scores!$C$5:$C$44,"Tool condition",Scores!T$5:T$44,Scores!T18)+COUNTIFS(Scores!$B$5:$B$44,1,Scores!$C$5:$C$44,"Paper condition",Scores!T$5:T$44,Scores!T18))^2-1,"")</f>
        <v>3</v>
      </c>
      <c r="EI18" s="1" t="str">
        <f aca="false">IF(AND(Scores!$B18=2,Scores!$C18="Tool condition",ISNUMBER(Scores!T18)),COUNTIFS(Scores!$B$5:$B$44,2,Scores!$C$5:$C$44,"Paper condition",Scores!T$5:T$44,"&lt;"&amp;Scores!T18)+0.5*COUNTIFS(Scores!$B$5:$B$44,2,Scores!$C$5:$C$44,"Paper condition",Scores!T$5:T$44,Scores!T18),"")</f>
        <v/>
      </c>
      <c r="EJ18" s="1" t="str">
        <f aca="false">IF(AND(Scores!$B18=2,OR(Scores!$C18="Tool condition",Scores!$C18="Paper condition"),ISNUMBER(Scores!T18)),(COUNTIFS(Scores!$B$5:$B$44,2,Scores!$C$5:$C$44,"Tool condition",Scores!T$5:T$44,Scores!T18)+COUNTIFS(Scores!$B$5:$B$44,2,Scores!$C$5:$C$44,"Paper condition",Scores!T$5:T$44,Scores!T18))^2-1,"")</f>
        <v/>
      </c>
      <c r="EK18" s="1" t="n">
        <f aca="false">IF(ISNUMBER(Scores!T18),Scores!T18^2,"")</f>
        <v>49</v>
      </c>
      <c r="EL18" s="1" t="str">
        <f aca="false">IF(AND(Scores!$B18=1,Scores!$C18="Tool condition",ISNUMBER(Scores!U18)),COUNTIFS(Scores!$B$5:$B$44,1,Scores!$C$5:$C$44,"Paper condition",Scores!U$5:U$44,"&lt;"&amp;Scores!U18)+0.5*COUNTIFS(Scores!$B$5:$B$44,1,Scores!$C$5:$C$44,"Paper condition",Scores!U$5:U$44,Scores!U18),"")</f>
        <v/>
      </c>
      <c r="EM18" s="1" t="n">
        <f aca="false">IF(AND(Scores!$B18=1,OR(Scores!$C18="Tool condition",Scores!$C18="Paper condition"),ISNUMBER(Scores!U18)),(COUNTIFS(Scores!$B$5:$B$44,1,Scores!$C$5:$C$44,"Tool condition",Scores!U$5:U$44,Scores!U18)+COUNTIFS(Scores!$B$5:$B$44,1,Scores!$C$5:$C$44,"Paper condition",Scores!U$5:U$44,Scores!U18))^2-1,"")</f>
        <v>168</v>
      </c>
      <c r="EN18" s="1" t="str">
        <f aca="false">IF(AND(Scores!$B18=2,Scores!$C18="Tool condition",ISNUMBER(Scores!U18)),COUNTIFS(Scores!$B$5:$B$44,2,Scores!$C$5:$C$44,"Paper condition",Scores!U$5:U$44,"&lt;"&amp;Scores!U18)+0.5*COUNTIFS(Scores!$B$5:$B$44,2,Scores!$C$5:$C$44,"Paper condition",Scores!U$5:U$44,Scores!U18),"")</f>
        <v/>
      </c>
      <c r="EO18" s="1" t="str">
        <f aca="false">IF(AND(Scores!$B18=2,OR(Scores!$C18="Tool condition",Scores!$C18="Paper condition"),ISNUMBER(Scores!U18)),(COUNTIFS(Scores!$B$5:$B$44,2,Scores!$C$5:$C$44,"Tool condition",Scores!U$5:U$44,Scores!U18)+COUNTIFS(Scores!$B$5:$B$44,2,Scores!$C$5:$C$44,"Paper condition",Scores!U$5:U$44,Scores!U18))^2-1,"")</f>
        <v/>
      </c>
      <c r="EP18" s="1" t="n">
        <f aca="false">IF(ISNUMBER(Scores!U18),Scores!U18^2,"")</f>
        <v>36</v>
      </c>
      <c r="EQ18" s="1" t="str">
        <f aca="false">IF(AND(Scores!$B18=1,Scores!$C18="Tool condition",ISNUMBER(Scores!V18)),COUNTIFS(Scores!$B$5:$B$44,1,Scores!$C$5:$C$44,"Paper condition",Scores!V$5:V$44,"&lt;"&amp;Scores!V18)+0.5*COUNTIFS(Scores!$B$5:$B$44,1,Scores!$C$5:$C$44,"Paper condition",Scores!V$5:V$44,Scores!V18),"")</f>
        <v/>
      </c>
      <c r="ER18" s="1" t="n">
        <f aca="false">IF(AND(Scores!$B18=1,OR(Scores!$C18="Tool condition",Scores!$C18="Paper condition"),ISNUMBER(Scores!V18)),(COUNTIFS(Scores!$B$5:$B$44,1,Scores!$C$5:$C$44,"Tool condition",Scores!V$5:V$44,Scores!V18)+COUNTIFS(Scores!$B$5:$B$44,1,Scores!$C$5:$C$44,"Paper condition",Scores!V$5:V$44,Scores!V18))^2-1,"")</f>
        <v>15</v>
      </c>
      <c r="ES18" s="1" t="str">
        <f aca="false">IF(AND(Scores!$B18=2,Scores!$C18="Tool condition",ISNUMBER(Scores!V18)),COUNTIFS(Scores!$B$5:$B$44,2,Scores!$C$5:$C$44,"Paper condition",Scores!V$5:V$44,"&lt;"&amp;Scores!V18)+0.5*COUNTIFS(Scores!$B$5:$B$44,2,Scores!$C$5:$C$44,"Paper condition",Scores!V$5:V$44,Scores!V18),"")</f>
        <v/>
      </c>
      <c r="ET18" s="1" t="str">
        <f aca="false">IF(AND(Scores!$B18=2,OR(Scores!$C18="Tool condition",Scores!$C18="Paper condition"),ISNUMBER(Scores!V18)),(COUNTIFS(Scores!$B$5:$B$44,2,Scores!$C$5:$C$44,"Tool condition",Scores!V$5:V$44,Scores!V18)+COUNTIFS(Scores!$B$5:$B$44,2,Scores!$C$5:$C$44,"Paper condition",Scores!V$5:V$44,Scores!V18))^2-1,"")</f>
        <v/>
      </c>
      <c r="EU18" s="1" t="n">
        <f aca="false">IF(ISNUMBER(Scores!V18),Scores!V18^2,"")</f>
        <v>81</v>
      </c>
      <c r="EV18" s="1" t="str">
        <f aca="false">IF(AND(R_Scores!$B18=1,R_Scores!$C18="Tool condition",ISNUMBER(R_Scores!Q18)),COUNTIFS(R_Scores!$B$5:$B$44,1,R_Scores!$C$5:$C$44,"Paper condition",R_Scores!Q$5:Q$44,"&lt;"&amp;R_Scores!Q18)+0.5*COUNTIFS(R_Scores!$B$5:$B$44,1,R_Scores!$C$5:$C$44,"Paper condition",R_Scores!Q$5:Q$44,R_Scores!Q18),"")</f>
        <v/>
      </c>
      <c r="EW18" s="1" t="n">
        <f aca="false">IF(AND(R_Scores!$B18=1,OR(R_Scores!$C18="Tool condition",R_Scores!$C18="Paper condition"),ISNUMBER(R_Scores!Q18)),(COUNTIFS(R_Scores!$B$5:$B$44,1,R_Scores!$C$5:$C$44,"Tool condition",R_Scores!Q$5:Q$44,R_Scores!Q18)+COUNTIFS(R_Scores!$B$5:$B$44,1,R_Scores!$C$5:$C$44,"Paper condition",R_Scores!Q$5:Q$44,R_Scores!Q18))^2-1,"")</f>
        <v>3</v>
      </c>
      <c r="EX18" s="1" t="str">
        <f aca="false">IF(AND(R_Scores!$B18=2,R_Scores!$C18="Tool condition",ISNUMBER(R_Scores!Q18)),COUNTIFS(R_Scores!$B$5:$B$44,2,R_Scores!$C$5:$C$44,"Paper condition",R_Scores!Q$5:Q$44,"&lt;"&amp;R_Scores!Q18)+0.5*COUNTIFS(R_Scores!$B$5:$B$44,2,R_Scores!$C$5:$C$44,"Paper condition",R_Scores!Q$5:Q$44,R_Scores!Q18),"")</f>
        <v/>
      </c>
      <c r="EY18" s="1" t="str">
        <f aca="false">IF(AND(R_Scores!$B18=2,OR(R_Scores!$C18="Tool condition",R_Scores!$C18="Paper condition"),ISNUMBER(R_Scores!Q18)),(COUNTIFS(R_Scores!$B$5:$B$44,2,R_Scores!$C$5:$C$44,"Tool condition",R_Scores!Q$5:Q$44,R_Scores!Q18)+COUNTIFS(R_Scores!$B$5:$B$44,2,R_Scores!$C$5:$C$44,"Paper condition",R_Scores!Q$5:Q$44,R_Scores!Q18))^2-1,"")</f>
        <v/>
      </c>
      <c r="EZ18" s="1" t="n">
        <f aca="false">IF(ISNUMBER(R_Scores!Q18),R_Scores!Q18^2,"")</f>
        <v>49</v>
      </c>
      <c r="FA18" s="1" t="str">
        <f aca="false">IF(AND(R_Scores!$B18=1,R_Scores!$C18="Tool condition",ISNUMBER(R_Scores!R18)),COUNTIFS(R_Scores!$B$5:$B$44,1,R_Scores!$C$5:$C$44,"Paper condition",R_Scores!R$5:R$44,"&lt;"&amp;R_Scores!R18)+0.5*COUNTIFS(R_Scores!$B$5:$B$44,1,R_Scores!$C$5:$C$44,"Paper condition",R_Scores!R$5:R$44,R_Scores!R18),"")</f>
        <v/>
      </c>
      <c r="FB18" s="1" t="n">
        <f aca="false">IF(AND(R_Scores!$B18=1,OR(R_Scores!$C18="Tool condition",R_Scores!$C18="Paper condition"),ISNUMBER(R_Scores!R18)),(COUNTIFS(R_Scores!$B$5:$B$44,1,R_Scores!$C$5:$C$44,"Tool condition",R_Scores!R$5:R$44,R_Scores!R18)+COUNTIFS(R_Scores!$B$5:$B$44,1,R_Scores!$C$5:$C$44,"Paper condition",R_Scores!R$5:R$44,R_Scores!R18))^2-1,"")</f>
        <v>24</v>
      </c>
      <c r="FC18" s="1" t="str">
        <f aca="false">IF(AND(R_Scores!$B18=2,R_Scores!$C18="Tool condition",ISNUMBER(R_Scores!R18)),COUNTIFS(R_Scores!$B$5:$B$44,2,R_Scores!$C$5:$C$44,"Paper condition",R_Scores!R$5:R$44,"&lt;"&amp;R_Scores!R18)+0.5*COUNTIFS(R_Scores!$B$5:$B$44,2,R_Scores!$C$5:$C$44,"Paper condition",R_Scores!R$5:R$44,R_Scores!R18),"")</f>
        <v/>
      </c>
      <c r="FD18" s="1" t="str">
        <f aca="false">IF(AND(R_Scores!$B18=2,OR(R_Scores!$C18="Tool condition",R_Scores!$C18="Paper condition"),ISNUMBER(R_Scores!R18)),(COUNTIFS(R_Scores!$B$5:$B$44,2,R_Scores!$C$5:$C$44,"Tool condition",R_Scores!R$5:R$44,R_Scores!R18)+COUNTIFS(R_Scores!$B$5:$B$44,2,R_Scores!$C$5:$C$44,"Paper condition",R_Scores!R$5:R$44,R_Scores!R18))^2-1,"")</f>
        <v/>
      </c>
      <c r="FE18" s="1" t="n">
        <f aca="false">IF(ISNUMBER(R_Scores!R18),R_Scores!R18^2,"")</f>
        <v>841</v>
      </c>
    </row>
    <row r="19" customFormat="false" ht="14.25" hidden="false" customHeight="true" outlineLevel="0" collapsed="false">
      <c r="B19" s="1" t="str">
        <f aca="false">IF(AND(Scores!$B19=1,Scores!$C19="Tool condition",ISNUMBER(Scores!E19)),COUNTIFS(Scores!$B$5:$B$44,1,Scores!$C$5:$C$44,"Paper condition",Scores!E$5:E$44,"&lt;"&amp;Scores!E19)+0.5*COUNTIFS(Scores!$B$5:$B$44,1,Scores!$C$5:$C$44,"Paper condition",Scores!E$5:E$44,Scores!E19),"")</f>
        <v/>
      </c>
      <c r="C19" s="1" t="n">
        <f aca="false">IF(AND(Scores!$B19=1,OR(Scores!$C19="Tool condition",Scores!$C19="Paper condition"),ISNUMBER(Scores!E19)),(COUNTIFS(Scores!$B$5:$B$44,1,Scores!$C$5:$C$44,"Tool condition",Scores!E$5:E$44,Scores!E19)+COUNTIFS(Scores!$B$5:$B$44,1,Scores!$C$5:$C$44,"Paper condition",Scores!E$5:E$44,Scores!E19))^2-1,"")</f>
        <v>8</v>
      </c>
      <c r="D19" s="1" t="str">
        <f aca="false">IF(AND(Scores!$B19=2,Scores!$C19="Tool condition",ISNUMBER(Scores!E19)),COUNTIFS(Scores!$B$5:$B$44,2,Scores!$C$5:$C$44,"Paper condition",Scores!E$5:E$44,"&lt;"&amp;Scores!E19)+0.5*COUNTIFS(Scores!$B$5:$B$44,2,Scores!$C$5:$C$44,"Paper condition",Scores!E$5:E$44,Scores!E19),"")</f>
        <v/>
      </c>
      <c r="E19" s="1" t="str">
        <f aca="false">IF(AND(Scores!$B19=2,OR(Scores!$C19="Tool condition",Scores!$C19="Paper condition"),ISNUMBER(Scores!E19)),(COUNTIFS(Scores!$B$5:$B$44,2,Scores!$C$5:$C$44,"Tool condition",Scores!E$5:E$44,Scores!E19)+COUNTIFS(Scores!$B$5:$B$44,2,Scores!$C$5:$C$44,"Paper condition",Scores!E$5:E$44,Scores!E19))^2-1,"")</f>
        <v/>
      </c>
      <c r="F19" s="1" t="n">
        <f aca="false">IF(ISNUMBER(Scores!E19),Scores!E19^2,"")</f>
        <v>1</v>
      </c>
      <c r="G19" s="1" t="str">
        <f aca="false">IF(AND(Scores!$B19=1,Scores!$C19="Tool condition",ISNUMBER(Scores!F19)),COUNTIFS(Scores!$B$5:$B$44,1,Scores!$C$5:$C$44,"Paper condition",Scores!F$5:F$44,"&lt;"&amp;Scores!F19)+0.5*COUNTIFS(Scores!$B$5:$B$44,1,Scores!$C$5:$C$44,"Paper condition",Scores!F$5:F$44,Scores!F19),"")</f>
        <v/>
      </c>
      <c r="H19" s="1" t="n">
        <f aca="false">IF(AND(Scores!$B19=1,OR(Scores!$C19="Tool condition",Scores!$C19="Paper condition"),ISNUMBER(Scores!F19)),(COUNTIFS(Scores!$B$5:$B$44,1,Scores!$C$5:$C$44,"Tool condition",Scores!F$5:F$44,Scores!F19)+COUNTIFS(Scores!$B$5:$B$44,1,Scores!$C$5:$C$44,"Paper condition",Scores!F$5:F$44,Scores!F19))^2-1,"")</f>
        <v>0</v>
      </c>
      <c r="I19" s="1" t="str">
        <f aca="false">IF(AND(Scores!$B19=2,Scores!$C19="Tool condition",ISNUMBER(Scores!F19)),COUNTIFS(Scores!$B$5:$B$44,2,Scores!$C$5:$C$44,"Paper condition",Scores!F$5:F$44,"&lt;"&amp;Scores!F19)+0.5*COUNTIFS(Scores!$B$5:$B$44,2,Scores!$C$5:$C$44,"Paper condition",Scores!F$5:F$44,Scores!F19),"")</f>
        <v/>
      </c>
      <c r="J19" s="1" t="str">
        <f aca="false">IF(AND(Scores!$B19=2,OR(Scores!$C19="Tool condition",Scores!$C19="Paper condition"),ISNUMBER(Scores!F19)),(COUNTIFS(Scores!$B$5:$B$44,2,Scores!$C$5:$C$44,"Tool condition",Scores!F$5:F$44,Scores!F19)+COUNTIFS(Scores!$B$5:$B$44,2,Scores!$C$5:$C$44,"Paper condition",Scores!F$5:F$44,Scores!F19))^2-1,"")</f>
        <v/>
      </c>
      <c r="K19" s="1" t="n">
        <f aca="false">IF(ISNUMBER(Scores!F19),Scores!F19^2,"")</f>
        <v>0</v>
      </c>
      <c r="L19" s="1" t="str">
        <f aca="false">IF(AND(Scores!$B19=1,Scores!$C19="Tool condition",ISNUMBER(Scores!G19)),COUNTIFS(Scores!$B$5:$B$44,1,Scores!$C$5:$C$44,"Paper condition",Scores!G$5:G$44,"&lt;"&amp;Scores!G19)+0.5*COUNTIFS(Scores!$B$5:$B$44,1,Scores!$C$5:$C$44,"Paper condition",Scores!G$5:G$44,Scores!G19),"")</f>
        <v/>
      </c>
      <c r="M19" s="1" t="n">
        <f aca="false">IF(AND(Scores!$B19=1,OR(Scores!$C19="Tool condition",Scores!$C19="Paper condition"),ISNUMBER(Scores!G19)),(COUNTIFS(Scores!$B$5:$B$44,1,Scores!$C$5:$C$44,"Tool condition",Scores!G$5:G$44,Scores!G19)+COUNTIFS(Scores!$B$5:$B$44,1,Scores!$C$5:$C$44,"Paper condition",Scores!G$5:G$44,Scores!G19))^2-1,"")</f>
        <v>288</v>
      </c>
      <c r="N19" s="1" t="str">
        <f aca="false">IF(AND(Scores!$B19=2,Scores!$C19="Tool condition",ISNUMBER(Scores!G19)),COUNTIFS(Scores!$B$5:$B$44,2,Scores!$C$5:$C$44,"Paper condition",Scores!G$5:G$44,"&lt;"&amp;Scores!G19)+0.5*COUNTIFS(Scores!$B$5:$B$44,2,Scores!$C$5:$C$44,"Paper condition",Scores!G$5:G$44,Scores!G19),"")</f>
        <v/>
      </c>
      <c r="O19" s="1" t="str">
        <f aca="false">IF(AND(Scores!$B19=2,OR(Scores!$C19="Tool condition",Scores!$C19="Paper condition"),ISNUMBER(Scores!G19)),(COUNTIFS(Scores!$B$5:$B$44,2,Scores!$C$5:$C$44,"Tool condition",Scores!G$5:G$44,Scores!G19)+COUNTIFS(Scores!$B$5:$B$44,2,Scores!$C$5:$C$44,"Paper condition",Scores!G$5:G$44,Scores!G19))^2-1,"")</f>
        <v/>
      </c>
      <c r="P19" s="1" t="n">
        <f aca="false">IF(ISNUMBER(Scores!G19),Scores!G19^2,"")</f>
        <v>4</v>
      </c>
      <c r="Q19" s="1" t="str">
        <f aca="false">IF(AND(Scores!$B19=1,Scores!$C19="Tool condition",ISNUMBER(Scores!H19)),COUNTIFS(Scores!$B$5:$B$44,1,Scores!$C$5:$C$44,"Paper condition",Scores!H$5:H$44,"&lt;"&amp;Scores!H19)+0.5*COUNTIFS(Scores!$B$5:$B$44,1,Scores!$C$5:$C$44,"Paper condition",Scores!H$5:H$44,Scores!H19),"")</f>
        <v/>
      </c>
      <c r="R19" s="1" t="n">
        <f aca="false">IF(AND(Scores!$B19=1,OR(Scores!$C19="Tool condition",Scores!$C19="Paper condition"),ISNUMBER(Scores!H19)),(COUNTIFS(Scores!$B$5:$B$44,1,Scores!$C$5:$C$44,"Tool condition",Scores!H$5:H$44,Scores!H19)+COUNTIFS(Scores!$B$5:$B$44,1,Scores!$C$5:$C$44,"Paper condition",Scores!H$5:H$44,Scores!H19))^2-1,"")</f>
        <v>15</v>
      </c>
      <c r="S19" s="1" t="str">
        <f aca="false">IF(AND(Scores!$B19=2,Scores!$C19="Tool condition",ISNUMBER(Scores!H19)),COUNTIFS(Scores!$B$5:$B$44,2,Scores!$C$5:$C$44,"Paper condition",Scores!H$5:H$44,"&lt;"&amp;Scores!H19)+0.5*COUNTIFS(Scores!$B$5:$B$44,2,Scores!$C$5:$C$44,"Paper condition",Scores!H$5:H$44,Scores!H19),"")</f>
        <v/>
      </c>
      <c r="T19" s="1" t="str">
        <f aca="false">IF(AND(Scores!$B19=2,OR(Scores!$C19="Tool condition",Scores!$C19="Paper condition"),ISNUMBER(Scores!H19)),(COUNTIFS(Scores!$B$5:$B$44,2,Scores!$C$5:$C$44,"Tool condition",Scores!H$5:H$44,Scores!H19)+COUNTIFS(Scores!$B$5:$B$44,2,Scores!$C$5:$C$44,"Paper condition",Scores!H$5:H$44,Scores!H19))^2-1,"")</f>
        <v/>
      </c>
      <c r="U19" s="1" t="n">
        <f aca="false">IF(ISNUMBER(Scores!H19),Scores!H19^2,"")</f>
        <v>1</v>
      </c>
      <c r="V19" s="1" t="str">
        <f aca="false">IF(AND(Scores!$B19=1,Scores!$C19="Tool condition",ISNUMBER(Scores!I19)),COUNTIFS(Scores!$B$5:$B$44,1,Scores!$C$5:$C$44,"Paper condition",Scores!I$5:I$44,"&lt;"&amp;Scores!I19)+0.5*COUNTIFS(Scores!$B$5:$B$44,1,Scores!$C$5:$C$44,"Paper condition",Scores!I$5:I$44,Scores!I19),"")</f>
        <v/>
      </c>
      <c r="W19" s="1" t="n">
        <f aca="false">IF(AND(Scores!$B19=1,OR(Scores!$C19="Tool condition",Scores!$C19="Paper condition"),ISNUMBER(Scores!I19)),(COUNTIFS(Scores!$B$5:$B$44,1,Scores!$C$5:$C$44,"Tool condition",Scores!I$5:I$44,Scores!I19)+COUNTIFS(Scores!$B$5:$B$44,1,Scores!$C$5:$C$44,"Paper condition",Scores!I$5:I$44,Scores!I19))^2-1,"")</f>
        <v>15</v>
      </c>
      <c r="X19" s="1" t="str">
        <f aca="false">IF(AND(Scores!$B19=2,Scores!$C19="Tool condition",ISNUMBER(Scores!I19)),COUNTIFS(Scores!$B$5:$B$44,2,Scores!$C$5:$C$44,"Paper condition",Scores!I$5:I$44,"&lt;"&amp;Scores!I19)+0.5*COUNTIFS(Scores!$B$5:$B$44,2,Scores!$C$5:$C$44,"Paper condition",Scores!I$5:I$44,Scores!I19),"")</f>
        <v/>
      </c>
      <c r="Y19" s="1" t="str">
        <f aca="false">IF(AND(Scores!$B19=2,OR(Scores!$C19="Tool condition",Scores!$C19="Paper condition"),ISNUMBER(Scores!I19)),(COUNTIFS(Scores!$B$5:$B$44,2,Scores!$C$5:$C$44,"Tool condition",Scores!I$5:I$44,Scores!I19)+COUNTIFS(Scores!$B$5:$B$44,2,Scores!$C$5:$C$44,"Paper condition",Scores!I$5:I$44,Scores!I19))^2-1,"")</f>
        <v/>
      </c>
      <c r="Z19" s="1" t="n">
        <f aca="false">IF(ISNUMBER(Scores!I19),Scores!I19^2,"")</f>
        <v>1</v>
      </c>
      <c r="AA19" s="1" t="str">
        <f aca="false">IF(AND(Scores!$B19=1,Scores!$C19="Tool condition",ISNUMBER(Scores!J19)),COUNTIFS(Scores!$B$5:$B$44,1,Scores!$C$5:$C$44,"Paper condition",Scores!J$5:J$44,"&lt;"&amp;Scores!J19)+0.5*COUNTIFS(Scores!$B$5:$B$44,1,Scores!$C$5:$C$44,"Paper condition",Scores!J$5:J$44,Scores!J19),"")</f>
        <v/>
      </c>
      <c r="AB19" s="1" t="n">
        <f aca="false">IF(AND(Scores!$B19=1,OR(Scores!$C19="Tool condition",Scores!$C19="Paper condition"),ISNUMBER(Scores!J19)),(COUNTIFS(Scores!$B$5:$B$44,1,Scores!$C$5:$C$44,"Tool condition",Scores!J$5:J$44,Scores!J19)+COUNTIFS(Scores!$B$5:$B$44,1,Scores!$C$5:$C$44,"Paper condition",Scores!J$5:J$44,Scores!J19))^2-1,"")</f>
        <v>224</v>
      </c>
      <c r="AC19" s="1" t="str">
        <f aca="false">IF(AND(Scores!$B19=2,Scores!$C19="Tool condition",ISNUMBER(Scores!J19)),COUNTIFS(Scores!$B$5:$B$44,2,Scores!$C$5:$C$44,"Paper condition",Scores!J$5:J$44,"&lt;"&amp;Scores!J19)+0.5*COUNTIFS(Scores!$B$5:$B$44,2,Scores!$C$5:$C$44,"Paper condition",Scores!J$5:J$44,Scores!J19),"")</f>
        <v/>
      </c>
      <c r="AD19" s="1" t="str">
        <f aca="false">IF(AND(Scores!$B19=2,OR(Scores!$C19="Tool condition",Scores!$C19="Paper condition"),ISNUMBER(Scores!J19)),(COUNTIFS(Scores!$B$5:$B$44,2,Scores!$C$5:$C$44,"Tool condition",Scores!J$5:J$44,Scores!J19)+COUNTIFS(Scores!$B$5:$B$44,2,Scores!$C$5:$C$44,"Paper condition",Scores!J$5:J$44,Scores!J19))^2-1,"")</f>
        <v/>
      </c>
      <c r="AE19" s="1" t="n">
        <f aca="false">IF(ISNUMBER(Scores!J19),Scores!J19^2,"")</f>
        <v>4</v>
      </c>
      <c r="AF19" s="1" t="str">
        <f aca="false">IF(AND(Scores!$B19=1,Scores!$C19="Tool condition",ISNUMBER(Scores!K19)),COUNTIFS(Scores!$B$5:$B$44,1,Scores!$C$5:$C$44,"Paper condition",Scores!K$5:K$44,"&lt;"&amp;Scores!K19)+0.5*COUNTIFS(Scores!$B$5:$B$44,1,Scores!$C$5:$C$44,"Paper condition",Scores!K$5:K$44,Scores!K19),"")</f>
        <v/>
      </c>
      <c r="AG19" s="1" t="n">
        <f aca="false">IF(AND(Scores!$B19=1,OR(Scores!$C19="Tool condition",Scores!$C19="Paper condition"),ISNUMBER(Scores!K19)),(COUNTIFS(Scores!$B$5:$B$44,1,Scores!$C$5:$C$44,"Tool condition",Scores!K$5:K$44,Scores!K19)+COUNTIFS(Scores!$B$5:$B$44,1,Scores!$C$5:$C$44,"Paper condition",Scores!K$5:K$44,Scores!K19))^2-1,"")</f>
        <v>15</v>
      </c>
      <c r="AH19" s="1" t="str">
        <f aca="false">IF(AND(Scores!$B19=2,Scores!$C19="Tool condition",ISNUMBER(Scores!K19)),COUNTIFS(Scores!$B$5:$B$44,2,Scores!$C$5:$C$44,"Paper condition",Scores!K$5:K$44,"&lt;"&amp;Scores!K19)+0.5*COUNTIFS(Scores!$B$5:$B$44,2,Scores!$C$5:$C$44,"Paper condition",Scores!K$5:K$44,Scores!K19),"")</f>
        <v/>
      </c>
      <c r="AI19" s="1" t="str">
        <f aca="false">IF(AND(Scores!$B19=2,OR(Scores!$C19="Tool condition",Scores!$C19="Paper condition"),ISNUMBER(Scores!K19)),(COUNTIFS(Scores!$B$5:$B$44,2,Scores!$C$5:$C$44,"Tool condition",Scores!K$5:K$44,Scores!K19)+COUNTIFS(Scores!$B$5:$B$44,2,Scores!$C$5:$C$44,"Paper condition",Scores!K$5:K$44,Scores!K19))^2-1,"")</f>
        <v/>
      </c>
      <c r="AJ19" s="1" t="n">
        <f aca="false">IF(ISNUMBER(Scores!K19),Scores!K19^2,"")</f>
        <v>1</v>
      </c>
      <c r="AK19" s="1" t="str">
        <f aca="false">IF(AND(Scores!$B19=1,Scores!$C19="Tool condition",ISNUMBER(Scores!L19)),COUNTIFS(Scores!$B$5:$B$44,1,Scores!$C$5:$C$44,"Paper condition",Scores!L$5:L$44,"&lt;"&amp;Scores!L19)+0.5*COUNTIFS(Scores!$B$5:$B$44,1,Scores!$C$5:$C$44,"Paper condition",Scores!L$5:L$44,Scores!L19),"")</f>
        <v/>
      </c>
      <c r="AL19" s="1" t="n">
        <f aca="false">IF(AND(Scores!$B19=1,OR(Scores!$C19="Tool condition",Scores!$C19="Paper condition"),ISNUMBER(Scores!L19)),(COUNTIFS(Scores!$B$5:$B$44,1,Scores!$C$5:$C$44,"Tool condition",Scores!L$5:L$44,Scores!L19)+COUNTIFS(Scores!$B$5:$B$44,1,Scores!$C$5:$C$44,"Paper condition",Scores!L$5:L$44,Scores!L19))^2-1,"")</f>
        <v>288</v>
      </c>
      <c r="AM19" s="1" t="str">
        <f aca="false">IF(AND(Scores!$B19=2,Scores!$C19="Tool condition",ISNUMBER(Scores!L19)),COUNTIFS(Scores!$B$5:$B$44,2,Scores!$C$5:$C$44,"Paper condition",Scores!L$5:L$44,"&lt;"&amp;Scores!L19)+0.5*COUNTIFS(Scores!$B$5:$B$44,2,Scores!$C$5:$C$44,"Paper condition",Scores!L$5:L$44,Scores!L19),"")</f>
        <v/>
      </c>
      <c r="AN19" s="1" t="str">
        <f aca="false">IF(AND(Scores!$B19=2,OR(Scores!$C19="Tool condition",Scores!$C19="Paper condition"),ISNUMBER(Scores!L19)),(COUNTIFS(Scores!$B$5:$B$44,2,Scores!$C$5:$C$44,"Tool condition",Scores!L$5:L$44,Scores!L19)+COUNTIFS(Scores!$B$5:$B$44,2,Scores!$C$5:$C$44,"Paper condition",Scores!L$5:L$44,Scores!L19))^2-1,"")</f>
        <v/>
      </c>
      <c r="AO19" s="1" t="n">
        <f aca="false">IF(ISNUMBER(Scores!L19),Scores!L19^2,"")</f>
        <v>4</v>
      </c>
      <c r="AP19" s="1" t="str">
        <f aca="false">IF(AND(Scores!$B19=1,Scores!$C19="Tool condition",ISNUMBER(Scores!M19)),COUNTIFS(Scores!$B$5:$B$44,1,Scores!$C$5:$C$44,"Paper condition",Scores!M$5:M$44,"&lt;"&amp;Scores!M19)+0.5*COUNTIFS(Scores!$B$5:$B$44,1,Scores!$C$5:$C$44,"Paper condition",Scores!M$5:M$44,Scores!M19),"")</f>
        <v/>
      </c>
      <c r="AQ19" s="1" t="n">
        <f aca="false">IF(AND(Scores!$B19=1,OR(Scores!$C19="Tool condition",Scores!$C19="Paper condition"),ISNUMBER(Scores!M19)),(COUNTIFS(Scores!$B$5:$B$44,1,Scores!$C$5:$C$44,"Tool condition",Scores!M$5:M$44,Scores!M19)+COUNTIFS(Scores!$B$5:$B$44,1,Scores!$C$5:$C$44,"Paper condition",Scores!M$5:M$44,Scores!M19))^2-1,"")</f>
        <v>288</v>
      </c>
      <c r="AR19" s="1" t="str">
        <f aca="false">IF(AND(Scores!$B19=2,Scores!$C19="Tool condition",ISNUMBER(Scores!M19)),COUNTIFS(Scores!$B$5:$B$44,2,Scores!$C$5:$C$44,"Paper condition",Scores!M$5:M$44,"&lt;"&amp;Scores!M19)+0.5*COUNTIFS(Scores!$B$5:$B$44,2,Scores!$C$5:$C$44,"Paper condition",Scores!M$5:M$44,Scores!M19),"")</f>
        <v/>
      </c>
      <c r="AS19" s="1" t="str">
        <f aca="false">IF(AND(Scores!$B19=2,OR(Scores!$C19="Tool condition",Scores!$C19="Paper condition"),ISNUMBER(Scores!M19)),(COUNTIFS(Scores!$B$5:$B$44,2,Scores!$C$5:$C$44,"Tool condition",Scores!M$5:M$44,Scores!M19)+COUNTIFS(Scores!$B$5:$B$44,2,Scores!$C$5:$C$44,"Paper condition",Scores!M$5:M$44,Scores!M19))^2-1,"")</f>
        <v/>
      </c>
      <c r="AT19" s="1" t="n">
        <f aca="false">IF(ISNUMBER(Scores!M19),Scores!M19^2,"")</f>
        <v>4</v>
      </c>
      <c r="AU19" s="1" t="str">
        <f aca="false">IF(AND(Scores!$B19=1,Scores!$C19="Tool condition",ISNUMBER(Scores!N19)),COUNTIFS(Scores!$B$5:$B$44,1,Scores!$C$5:$C$44,"Paper condition",Scores!N$5:N$44,"&lt;"&amp;Scores!N19)+0.5*COUNTIFS(Scores!$B$5:$B$44,1,Scores!$C$5:$C$44,"Paper condition",Scores!N$5:N$44,Scores!N19),"")</f>
        <v/>
      </c>
      <c r="AV19" s="1" t="n">
        <f aca="false">IF(AND(Scores!$B19=1,OR(Scores!$C19="Tool condition",Scores!$C19="Paper condition"),ISNUMBER(Scores!N19)),(COUNTIFS(Scores!$B$5:$B$44,1,Scores!$C$5:$C$44,"Tool condition",Scores!N$5:N$44,Scores!N19)+COUNTIFS(Scores!$B$5:$B$44,1,Scores!$C$5:$C$44,"Paper condition",Scores!N$5:N$44,Scores!N19))^2-1,"")</f>
        <v>15</v>
      </c>
      <c r="AW19" s="1" t="str">
        <f aca="false">IF(AND(Scores!$B19=2,Scores!$C19="Tool condition",ISNUMBER(Scores!N19)),COUNTIFS(Scores!$B$5:$B$44,2,Scores!$C$5:$C$44,"Paper condition",Scores!N$5:N$44,"&lt;"&amp;Scores!N19)+0.5*COUNTIFS(Scores!$B$5:$B$44,2,Scores!$C$5:$C$44,"Paper condition",Scores!N$5:N$44,Scores!N19),"")</f>
        <v/>
      </c>
      <c r="AX19" s="1" t="str">
        <f aca="false">IF(AND(Scores!$B19=2,OR(Scores!$C19="Tool condition",Scores!$C19="Paper condition"),ISNUMBER(Scores!N19)),(COUNTIFS(Scores!$B$5:$B$44,2,Scores!$C$5:$C$44,"Tool condition",Scores!N$5:N$44,Scores!N19)+COUNTIFS(Scores!$B$5:$B$44,2,Scores!$C$5:$C$44,"Paper condition",Scores!N$5:N$44,Scores!N19))^2-1,"")</f>
        <v/>
      </c>
      <c r="AY19" s="1" t="n">
        <f aca="false">IF(ISNUMBER(Scores!N19),Scores!N19^2,"")</f>
        <v>1</v>
      </c>
      <c r="AZ19" s="1" t="str">
        <f aca="false">IF(AND(Scores!$B19=1,Scores!$C19="Tool condition",ISNUMBER(Scores!O19)),COUNTIFS(Scores!$B$5:$B$44,1,Scores!$C$5:$C$44,"Paper condition",Scores!O$5:O$44,"&lt;"&amp;Scores!O19)+0.5*COUNTIFS(Scores!$B$5:$B$44,1,Scores!$C$5:$C$44,"Paper condition",Scores!O$5:O$44,Scores!O19),"")</f>
        <v/>
      </c>
      <c r="BA19" s="1" t="n">
        <f aca="false">IF(AND(Scores!$B19=1,OR(Scores!$C19="Tool condition",Scores!$C19="Paper condition"),ISNUMBER(Scores!O19)),(COUNTIFS(Scores!$B$5:$B$44,1,Scores!$C$5:$C$44,"Tool condition",Scores!O$5:O$44,Scores!O19)+COUNTIFS(Scores!$B$5:$B$44,1,Scores!$C$5:$C$44,"Paper condition",Scores!O$5:O$44,Scores!O19))^2-1,"")</f>
        <v>15</v>
      </c>
      <c r="BB19" s="1" t="str">
        <f aca="false">IF(AND(Scores!$B19=2,Scores!$C19="Tool condition",ISNUMBER(Scores!O19)),COUNTIFS(Scores!$B$5:$B$44,2,Scores!$C$5:$C$44,"Paper condition",Scores!O$5:O$44,"&lt;"&amp;Scores!O19)+0.5*COUNTIFS(Scores!$B$5:$B$44,2,Scores!$C$5:$C$44,"Paper condition",Scores!O$5:O$44,Scores!O19),"")</f>
        <v/>
      </c>
      <c r="BC19" s="1" t="str">
        <f aca="false">IF(AND(Scores!$B19=2,OR(Scores!$C19="Tool condition",Scores!$C19="Paper condition"),ISNUMBER(Scores!O19)),(COUNTIFS(Scores!$B$5:$B$44,2,Scores!$C$5:$C$44,"Tool condition",Scores!O$5:O$44,Scores!O19)+COUNTIFS(Scores!$B$5:$B$44,2,Scores!$C$5:$C$44,"Paper condition",Scores!O$5:O$44,Scores!O19))^2-1,"")</f>
        <v/>
      </c>
      <c r="BD19" s="1" t="n">
        <f aca="false">IF(ISNUMBER(Scores!O19),Scores!O19^2,"")</f>
        <v>1</v>
      </c>
      <c r="BE19" s="1" t="str">
        <f aca="false">IF(AND(Scores!$B19=1,Scores!$C19="Tool condition",ISNUMBER(Scores!P19)),COUNTIFS(Scores!$B$5:$B$44,1,Scores!$C$5:$C$44,"Paper condition",Scores!P$5:P$44,"&lt;"&amp;Scores!P19)+0.5*COUNTIFS(Scores!$B$5:$B$44,1,Scores!$C$5:$C$44,"Paper condition",Scores!P$5:P$44,Scores!P19),"")</f>
        <v/>
      </c>
      <c r="BF19" s="1" t="n">
        <f aca="false">IF(AND(Scores!$B19=1,OR(Scores!$C19="Tool condition",Scores!$C19="Paper condition"),ISNUMBER(Scores!P19)),(COUNTIFS(Scores!$B$5:$B$44,1,Scores!$C$5:$C$44,"Tool condition",Scores!P$5:P$44,Scores!P19)+COUNTIFS(Scores!$B$5:$B$44,1,Scores!$C$5:$C$44,"Paper condition",Scores!P$5:P$44,Scores!P19))^2-1,"")</f>
        <v>35</v>
      </c>
      <c r="BG19" s="1" t="str">
        <f aca="false">IF(AND(Scores!$B19=2,Scores!$C19="Tool condition",ISNUMBER(Scores!P19)),COUNTIFS(Scores!$B$5:$B$44,2,Scores!$C$5:$C$44,"Paper condition",Scores!P$5:P$44,"&lt;"&amp;Scores!P19)+0.5*COUNTIFS(Scores!$B$5:$B$44,2,Scores!$C$5:$C$44,"Paper condition",Scores!P$5:P$44,Scores!P19),"")</f>
        <v/>
      </c>
      <c r="BH19" s="1" t="str">
        <f aca="false">IF(AND(Scores!$B19=2,OR(Scores!$C19="Tool condition",Scores!$C19="Paper condition"),ISNUMBER(Scores!P19)),(COUNTIFS(Scores!$B$5:$B$44,2,Scores!$C$5:$C$44,"Tool condition",Scores!P$5:P$44,Scores!P19)+COUNTIFS(Scores!$B$5:$B$44,2,Scores!$C$5:$C$44,"Paper condition",Scores!P$5:P$44,Scores!P19))^2-1,"")</f>
        <v/>
      </c>
      <c r="BI19" s="1" t="n">
        <f aca="false">IF(ISNUMBER(Scores!P19),Scores!P19^2,"")</f>
        <v>1</v>
      </c>
      <c r="BJ19" s="1" t="str">
        <f aca="false">IF(AND(R_Scores!$B19=1,R_Scores!$C19="Tool condition",ISNUMBER(R_Scores!E19)),COUNTIFS(R_Scores!$B$5:$B$44,1,R_Scores!$C$5:$C$44,"Paper condition",R_Scores!E$5:E$44,"&lt;"&amp;R_Scores!E19)+0.5*COUNTIFS(R_Scores!$B$5:$B$44,1,R_Scores!$C$5:$C$44,"Paper condition",R_Scores!E$5:E$44,R_Scores!E19),"")</f>
        <v/>
      </c>
      <c r="BK19" s="1" t="n">
        <f aca="false">IF(AND(R_Scores!$B19=1,OR(R_Scores!$C19="Tool condition",R_Scores!$C19="Paper condition"),ISNUMBER(R_Scores!E19)),(COUNTIFS(R_Scores!$B$5:$B$44,1,R_Scores!$C$5:$C$44,"Tool condition",R_Scores!E$5:E$44,R_Scores!E19)+COUNTIFS(R_Scores!$B$5:$B$44,1,R_Scores!$C$5:$C$44,"Paper condition",R_Scores!E$5:E$44,R_Scores!E19))^2-1,"")</f>
        <v>24</v>
      </c>
      <c r="BL19" s="1" t="str">
        <f aca="false">IF(AND(R_Scores!$B19=2,R_Scores!$C19="Tool condition",ISNUMBER(R_Scores!E19)),COUNTIFS(R_Scores!$B$5:$B$44,2,R_Scores!$C$5:$C$44,"Paper condition",R_Scores!E$5:E$44,"&lt;"&amp;R_Scores!E19)+0.5*COUNTIFS(R_Scores!$B$5:$B$44,2,R_Scores!$C$5:$C$44,"Paper condition",R_Scores!E$5:E$44,R_Scores!E19),"")</f>
        <v/>
      </c>
      <c r="BM19" s="1" t="str">
        <f aca="false">IF(AND(R_Scores!$B19=2,OR(R_Scores!$C19="Tool condition",R_Scores!$C19="Paper condition"),ISNUMBER(R_Scores!E19)),(COUNTIFS(R_Scores!$B$5:$B$44,2,R_Scores!$C$5:$C$44,"Tool condition",R_Scores!E$5:E$44,R_Scores!E19)+COUNTIFS(R_Scores!$B$5:$B$44,2,R_Scores!$C$5:$C$44,"Paper condition",R_Scores!E$5:E$44,R_Scores!E19))^2-1,"")</f>
        <v/>
      </c>
      <c r="BN19" s="1" t="n">
        <f aca="false">IF(ISNUMBER(R_Scores!E19),R_Scores!E19^2,"")</f>
        <v>0</v>
      </c>
      <c r="BO19" s="1" t="str">
        <f aca="false">IF(AND(R_Scores!$B19=1,R_Scores!$C19="Tool condition",ISNUMBER(R_Scores!F19)),COUNTIFS(R_Scores!$B$5:$B$44,1,R_Scores!$C$5:$C$44,"Paper condition",R_Scores!F$5:F$44,"&lt;"&amp;R_Scores!F19)+0.5*COUNTIFS(R_Scores!$B$5:$B$44,1,R_Scores!$C$5:$C$44,"Paper condition",R_Scores!F$5:F$44,R_Scores!F19),"")</f>
        <v/>
      </c>
      <c r="BP19" s="1" t="n">
        <f aca="false">IF(AND(R_Scores!$B19=1,OR(R_Scores!$C19="Tool condition",R_Scores!$C19="Paper condition"),ISNUMBER(R_Scores!F19)),(COUNTIFS(R_Scores!$B$5:$B$44,1,R_Scores!$C$5:$C$44,"Tool condition",R_Scores!F$5:F$44,R_Scores!F19)+COUNTIFS(R_Scores!$B$5:$B$44,1,R_Scores!$C$5:$C$44,"Paper condition",R_Scores!F$5:F$44,R_Scores!F19))^2-1,"")</f>
        <v>35</v>
      </c>
      <c r="BQ19" s="1" t="str">
        <f aca="false">IF(AND(R_Scores!$B19=2,R_Scores!$C19="Tool condition",ISNUMBER(R_Scores!F19)),COUNTIFS(R_Scores!$B$5:$B$44,2,R_Scores!$C$5:$C$44,"Paper condition",R_Scores!F$5:F$44,"&lt;"&amp;R_Scores!F19)+0.5*COUNTIFS(R_Scores!$B$5:$B$44,2,R_Scores!$C$5:$C$44,"Paper condition",R_Scores!F$5:F$44,R_Scores!F19),"")</f>
        <v/>
      </c>
      <c r="BR19" s="1" t="str">
        <f aca="false">IF(AND(R_Scores!$B19=2,OR(R_Scores!$C19="Tool condition",R_Scores!$C19="Paper condition"),ISNUMBER(R_Scores!F19)),(COUNTIFS(R_Scores!$B$5:$B$44,2,R_Scores!$C$5:$C$44,"Tool condition",R_Scores!F$5:F$44,R_Scores!F19)+COUNTIFS(R_Scores!$B$5:$B$44,2,R_Scores!$C$5:$C$44,"Paper condition",R_Scores!F$5:F$44,R_Scores!F19))^2-1,"")</f>
        <v/>
      </c>
      <c r="BS19" s="1" t="n">
        <f aca="false">IF(ISNUMBER(R_Scores!F19),R_Scores!F19^2,"")</f>
        <v>0</v>
      </c>
      <c r="BT19" s="1" t="str">
        <f aca="false">IF(AND(R_Scores!$B19=1,R_Scores!$C19="Tool condition",ISNUMBER(R_Scores!G19)),COUNTIFS(R_Scores!$B$5:$B$44,1,R_Scores!$C$5:$C$44,"Paper condition",R_Scores!G$5:G$44,"&lt;"&amp;R_Scores!G19)+0.5*COUNTIFS(R_Scores!$B$5:$B$44,1,R_Scores!$C$5:$C$44,"Paper condition",R_Scores!G$5:G$44,R_Scores!G19),"")</f>
        <v/>
      </c>
      <c r="BU19" s="1" t="str">
        <f aca="false">IF(AND(R_Scores!$B19=1,OR(R_Scores!$C19="Tool condition",R_Scores!$C19="Paper condition"),ISNUMBER(R_Scores!G19)),(COUNTIFS(R_Scores!$B$5:$B$44,1,R_Scores!$C$5:$C$44,"Tool condition",R_Scores!G$5:G$44,R_Scores!G19)+COUNTIFS(R_Scores!$B$5:$B$44,1,R_Scores!$C$5:$C$44,"Paper condition",R_Scores!G$5:G$44,R_Scores!G19))^2-1,"")</f>
        <v/>
      </c>
      <c r="BV19" s="1" t="str">
        <f aca="false">IF(AND(R_Scores!$B19=2,R_Scores!$C19="Tool condition",ISNUMBER(R_Scores!G19)),COUNTIFS(R_Scores!$B$5:$B$44,2,R_Scores!$C$5:$C$44,"Paper condition",R_Scores!G$5:G$44,"&lt;"&amp;R_Scores!G19)+0.5*COUNTIFS(R_Scores!$B$5:$B$44,2,R_Scores!$C$5:$C$44,"Paper condition",R_Scores!G$5:G$44,R_Scores!G19),"")</f>
        <v/>
      </c>
      <c r="BW19" s="1" t="str">
        <f aca="false">IF(AND(R_Scores!$B19=2,OR(R_Scores!$C19="Tool condition",R_Scores!$C19="Paper condition"),ISNUMBER(R_Scores!G19)),(COUNTIFS(R_Scores!$B$5:$B$44,2,R_Scores!$C$5:$C$44,"Tool condition",R_Scores!G$5:G$44,R_Scores!G19)+COUNTIFS(R_Scores!$B$5:$B$44,2,R_Scores!$C$5:$C$44,"Paper condition",R_Scores!G$5:G$44,R_Scores!G19))^2-1,"")</f>
        <v/>
      </c>
      <c r="BX19" s="1" t="str">
        <f aca="false">IF(ISNUMBER(R_Scores!G19),R_Scores!G19^2,"")</f>
        <v/>
      </c>
      <c r="BY19" s="1" t="str">
        <f aca="false">IF(AND(R_Scores!$B19=1,R_Scores!$C19="Tool condition",ISNUMBER(R_Scores!H19)),COUNTIFS(R_Scores!$B$5:$B$44,1,R_Scores!$C$5:$C$44,"Paper condition",R_Scores!H$5:H$44,"&lt;"&amp;R_Scores!H19)+0.5*COUNTIFS(R_Scores!$B$5:$B$44,1,R_Scores!$C$5:$C$44,"Paper condition",R_Scores!H$5:H$44,R_Scores!H19),"")</f>
        <v/>
      </c>
      <c r="BZ19" s="1" t="str">
        <f aca="false">IF(AND(R_Scores!$B19=1,OR(R_Scores!$C19="Tool condition",R_Scores!$C19="Paper condition"),ISNUMBER(R_Scores!H19)),(COUNTIFS(R_Scores!$B$5:$B$44,1,R_Scores!$C$5:$C$44,"Tool condition",R_Scores!H$5:H$44,R_Scores!H19)+COUNTIFS(R_Scores!$B$5:$B$44,1,R_Scores!$C$5:$C$44,"Paper condition",R_Scores!H$5:H$44,R_Scores!H19))^2-1,"")</f>
        <v/>
      </c>
      <c r="CA19" s="1" t="str">
        <f aca="false">IF(AND(R_Scores!$B19=2,R_Scores!$C19="Tool condition",ISNUMBER(R_Scores!H19)),COUNTIFS(R_Scores!$B$5:$B$44,2,R_Scores!$C$5:$C$44,"Paper condition",R_Scores!H$5:H$44,"&lt;"&amp;R_Scores!H19)+0.5*COUNTIFS(R_Scores!$B$5:$B$44,2,R_Scores!$C$5:$C$44,"Paper condition",R_Scores!H$5:H$44,R_Scores!H19),"")</f>
        <v/>
      </c>
      <c r="CB19" s="1" t="str">
        <f aca="false">IF(AND(R_Scores!$B19=2,OR(R_Scores!$C19="Tool condition",R_Scores!$C19="Paper condition"),ISNUMBER(R_Scores!H19)),(COUNTIFS(R_Scores!$B$5:$B$44,2,R_Scores!$C$5:$C$44,"Tool condition",R_Scores!H$5:H$44,R_Scores!H19)+COUNTIFS(R_Scores!$B$5:$B$44,2,R_Scores!$C$5:$C$44,"Paper condition",R_Scores!H$5:H$44,R_Scores!H19))^2-1,"")</f>
        <v/>
      </c>
      <c r="CC19" s="1" t="str">
        <f aca="false">IF(ISNUMBER(R_Scores!H19),R_Scores!H19^2,"")</f>
        <v/>
      </c>
      <c r="CD19" s="1" t="str">
        <f aca="false">IF(AND(R_Scores!$B19=1,R_Scores!$C19="Tool condition",ISNUMBER(R_Scores!I19)),COUNTIFS(R_Scores!$B$5:$B$44,1,R_Scores!$C$5:$C$44,"Paper condition",R_Scores!I$5:I$44,"&lt;"&amp;R_Scores!I19)+0.5*COUNTIFS(R_Scores!$B$5:$B$44,1,R_Scores!$C$5:$C$44,"Paper condition",R_Scores!I$5:I$44,R_Scores!I19),"")</f>
        <v/>
      </c>
      <c r="CE19" s="1" t="n">
        <f aca="false">IF(AND(R_Scores!$B19=1,OR(R_Scores!$C19="Tool condition",R_Scores!$C19="Paper condition"),ISNUMBER(R_Scores!I19)),(COUNTIFS(R_Scores!$B$5:$B$44,1,R_Scores!$C$5:$C$44,"Tool condition",R_Scores!I$5:I$44,R_Scores!I19)+COUNTIFS(R_Scores!$B$5:$B$44,1,R_Scores!$C$5:$C$44,"Paper condition",R_Scores!I$5:I$44,R_Scores!I19))^2-1,"")</f>
        <v>168</v>
      </c>
      <c r="CF19" s="1" t="str">
        <f aca="false">IF(AND(R_Scores!$B19=2,R_Scores!$C19="Tool condition",ISNUMBER(R_Scores!I19)),COUNTIFS(R_Scores!$B$5:$B$44,2,R_Scores!$C$5:$C$44,"Paper condition",R_Scores!I$5:I$44,"&lt;"&amp;R_Scores!I19)+0.5*COUNTIFS(R_Scores!$B$5:$B$44,2,R_Scores!$C$5:$C$44,"Paper condition",R_Scores!I$5:I$44,R_Scores!I19),"")</f>
        <v/>
      </c>
      <c r="CG19" s="1" t="str">
        <f aca="false">IF(AND(R_Scores!$B19=2,OR(R_Scores!$C19="Tool condition",R_Scores!$C19="Paper condition"),ISNUMBER(R_Scores!I19)),(COUNTIFS(R_Scores!$B$5:$B$44,2,R_Scores!$C$5:$C$44,"Tool condition",R_Scores!I$5:I$44,R_Scores!I19)+COUNTIFS(R_Scores!$B$5:$B$44,2,R_Scores!$C$5:$C$44,"Paper condition",R_Scores!I$5:I$44,R_Scores!I19))^2-1,"")</f>
        <v/>
      </c>
      <c r="CH19" s="1" t="n">
        <f aca="false">IF(ISNUMBER(R_Scores!I19),R_Scores!I19^2,"")</f>
        <v>1</v>
      </c>
      <c r="CI19" s="1" t="str">
        <f aca="false">IF(AND(R_Scores!$B19=1,R_Scores!$C19="Tool condition",ISNUMBER(R_Scores!J19)),COUNTIFS(R_Scores!$B$5:$B$44,1,R_Scores!$C$5:$C$44,"Paper condition",R_Scores!J$5:J$44,"&lt;"&amp;R_Scores!J19)+0.5*COUNTIFS(R_Scores!$B$5:$B$44,1,R_Scores!$C$5:$C$44,"Paper condition",R_Scores!J$5:J$44,R_Scores!J19),"")</f>
        <v/>
      </c>
      <c r="CJ19" s="1" t="n">
        <f aca="false">IF(AND(R_Scores!$B19=1,OR(R_Scores!$C19="Tool condition",R_Scores!$C19="Paper condition"),ISNUMBER(R_Scores!J19)),(COUNTIFS(R_Scores!$B$5:$B$44,1,R_Scores!$C$5:$C$44,"Tool condition",R_Scores!J$5:J$44,R_Scores!J19)+COUNTIFS(R_Scores!$B$5:$B$44,1,R_Scores!$C$5:$C$44,"Paper condition",R_Scores!J$5:J$44,R_Scores!J19))^2-1,"")</f>
        <v>224</v>
      </c>
      <c r="CK19" s="1" t="str">
        <f aca="false">IF(AND(R_Scores!$B19=2,R_Scores!$C19="Tool condition",ISNUMBER(R_Scores!J19)),COUNTIFS(R_Scores!$B$5:$B$44,2,R_Scores!$C$5:$C$44,"Paper condition",R_Scores!J$5:J$44,"&lt;"&amp;R_Scores!J19)+0.5*COUNTIFS(R_Scores!$B$5:$B$44,2,R_Scores!$C$5:$C$44,"Paper condition",R_Scores!J$5:J$44,R_Scores!J19),"")</f>
        <v/>
      </c>
      <c r="CL19" s="1" t="str">
        <f aca="false">IF(AND(R_Scores!$B19=2,OR(R_Scores!$C19="Tool condition",R_Scores!$C19="Paper condition"),ISNUMBER(R_Scores!J19)),(COUNTIFS(R_Scores!$B$5:$B$44,2,R_Scores!$C$5:$C$44,"Tool condition",R_Scores!J$5:J$44,R_Scores!J19)+COUNTIFS(R_Scores!$B$5:$B$44,2,R_Scores!$C$5:$C$44,"Paper condition",R_Scores!J$5:J$44,R_Scores!J19))^2-1,"")</f>
        <v/>
      </c>
      <c r="CM19" s="1" t="n">
        <f aca="false">IF(ISNUMBER(R_Scores!J19),R_Scores!J19^2,"")</f>
        <v>1</v>
      </c>
      <c r="CN19" s="1" t="str">
        <f aca="false">IF(AND(R_Scores!$B19=1,R_Scores!$C19="Tool condition",ISNUMBER(R_Scores!K19)),COUNTIFS(R_Scores!$B$5:$B$44,1,R_Scores!$C$5:$C$44,"Paper condition",R_Scores!K$5:K$44,"&lt;"&amp;R_Scores!K19)+0.5*COUNTIFS(R_Scores!$B$5:$B$44,1,R_Scores!$C$5:$C$44,"Paper condition",R_Scores!K$5:K$44,R_Scores!K19),"")</f>
        <v/>
      </c>
      <c r="CO19" s="1" t="str">
        <f aca="false">IF(AND(R_Scores!$B19=1,OR(R_Scores!$C19="Tool condition",R_Scores!$C19="Paper condition"),ISNUMBER(R_Scores!K19)),(COUNTIFS(R_Scores!$B$5:$B$44,1,R_Scores!$C$5:$C$44,"Tool condition",R_Scores!K$5:K$44,R_Scores!K19)+COUNTIFS(R_Scores!$B$5:$B$44,1,R_Scores!$C$5:$C$44,"Paper condition",R_Scores!K$5:K$44,R_Scores!K19))^2-1,"")</f>
        <v/>
      </c>
      <c r="CP19" s="1" t="str">
        <f aca="false">IF(AND(R_Scores!$B19=2,R_Scores!$C19="Tool condition",ISNUMBER(R_Scores!K19)),COUNTIFS(R_Scores!$B$5:$B$44,2,R_Scores!$C$5:$C$44,"Paper condition",R_Scores!K$5:K$44,"&lt;"&amp;R_Scores!K19)+0.5*COUNTIFS(R_Scores!$B$5:$B$44,2,R_Scores!$C$5:$C$44,"Paper condition",R_Scores!K$5:K$44,R_Scores!K19),"")</f>
        <v/>
      </c>
      <c r="CQ19" s="1" t="str">
        <f aca="false">IF(AND(R_Scores!$B19=2,OR(R_Scores!$C19="Tool condition",R_Scores!$C19="Paper condition"),ISNUMBER(R_Scores!K19)),(COUNTIFS(R_Scores!$B$5:$B$44,2,R_Scores!$C$5:$C$44,"Tool condition",R_Scores!K$5:K$44,R_Scores!K19)+COUNTIFS(R_Scores!$B$5:$B$44,2,R_Scores!$C$5:$C$44,"Paper condition",R_Scores!K$5:K$44,R_Scores!K19))^2-1,"")</f>
        <v/>
      </c>
      <c r="CR19" s="1" t="str">
        <f aca="false">IF(ISNUMBER(R_Scores!K19),R_Scores!K19^2,"")</f>
        <v/>
      </c>
      <c r="CS19" s="1" t="str">
        <f aca="false">IF(AND(R_Scores!$B19=1,R_Scores!$C19="Tool condition",ISNUMBER(R_Scores!L19)),COUNTIFS(R_Scores!$B$5:$B$44,1,R_Scores!$C$5:$C$44,"Paper condition",R_Scores!L$5:L$44,"&lt;"&amp;R_Scores!L19)+0.5*COUNTIFS(R_Scores!$B$5:$B$44,1,R_Scores!$C$5:$C$44,"Paper condition",R_Scores!L$5:L$44,R_Scores!L19),"")</f>
        <v/>
      </c>
      <c r="CT19" s="1" t="str">
        <f aca="false">IF(AND(R_Scores!$B19=1,OR(R_Scores!$C19="Tool condition",R_Scores!$C19="Paper condition"),ISNUMBER(R_Scores!L19)),(COUNTIFS(R_Scores!$B$5:$B$44,1,R_Scores!$C$5:$C$44,"Tool condition",R_Scores!L$5:L$44,R_Scores!L19)+COUNTIFS(R_Scores!$B$5:$B$44,1,R_Scores!$C$5:$C$44,"Paper condition",R_Scores!L$5:L$44,R_Scores!L19))^2-1,"")</f>
        <v/>
      </c>
      <c r="CU19" s="1" t="str">
        <f aca="false">IF(AND(R_Scores!$B19=2,R_Scores!$C19="Tool condition",ISNUMBER(R_Scores!L19)),COUNTIFS(R_Scores!$B$5:$B$44,2,R_Scores!$C$5:$C$44,"Paper condition",R_Scores!L$5:L$44,"&lt;"&amp;R_Scores!L19)+0.5*COUNTIFS(R_Scores!$B$5:$B$44,2,R_Scores!$C$5:$C$44,"Paper condition",R_Scores!L$5:L$44,R_Scores!L19),"")</f>
        <v/>
      </c>
      <c r="CV19" s="1" t="str">
        <f aca="false">IF(AND(R_Scores!$B19=2,OR(R_Scores!$C19="Tool condition",R_Scores!$C19="Paper condition"),ISNUMBER(R_Scores!L19)),(COUNTIFS(R_Scores!$B$5:$B$44,2,R_Scores!$C$5:$C$44,"Tool condition",R_Scores!L$5:L$44,R_Scores!L19)+COUNTIFS(R_Scores!$B$5:$B$44,2,R_Scores!$C$5:$C$44,"Paper condition",R_Scores!L$5:L$44,R_Scores!L19))^2-1,"")</f>
        <v/>
      </c>
      <c r="CW19" s="1" t="str">
        <f aca="false">IF(ISNUMBER(R_Scores!L19),R_Scores!L19^2,"")</f>
        <v/>
      </c>
      <c r="CX19" s="1" t="str">
        <f aca="false">IF(AND(R_Scores!$B19=1,R_Scores!$C19="Tool condition",ISNUMBER(R_Scores!M19)),COUNTIFS(R_Scores!$B$5:$B$44,1,R_Scores!$C$5:$C$44,"Paper condition",R_Scores!M$5:M$44,"&lt;"&amp;R_Scores!M19)+0.5*COUNTIFS(R_Scores!$B$5:$B$44,1,R_Scores!$C$5:$C$44,"Paper condition",R_Scores!M$5:M$44,R_Scores!M19),"")</f>
        <v/>
      </c>
      <c r="CY19" s="1" t="str">
        <f aca="false">IF(AND(R_Scores!$B19=1,OR(R_Scores!$C19="Tool condition",R_Scores!$C19="Paper condition"),ISNUMBER(R_Scores!M19)),(COUNTIFS(R_Scores!$B$5:$B$44,1,R_Scores!$C$5:$C$44,"Tool condition",R_Scores!M$5:M$44,R_Scores!M19)+COUNTIFS(R_Scores!$B$5:$B$44,1,R_Scores!$C$5:$C$44,"Paper condition",R_Scores!M$5:M$44,R_Scores!M19))^2-1,"")</f>
        <v/>
      </c>
      <c r="CZ19" s="1" t="str">
        <f aca="false">IF(AND(R_Scores!$B19=2,R_Scores!$C19="Tool condition",ISNUMBER(R_Scores!M19)),COUNTIFS(R_Scores!$B$5:$B$44,2,R_Scores!$C$5:$C$44,"Paper condition",R_Scores!M$5:M$44,"&lt;"&amp;R_Scores!M19)+0.5*COUNTIFS(R_Scores!$B$5:$B$44,2,R_Scores!$C$5:$C$44,"Paper condition",R_Scores!M$5:M$44,R_Scores!M19),"")</f>
        <v/>
      </c>
      <c r="DA19" s="1" t="str">
        <f aca="false">IF(AND(R_Scores!$B19=2,OR(R_Scores!$C19="Tool condition",R_Scores!$C19="Paper condition"),ISNUMBER(R_Scores!M19)),(COUNTIFS(R_Scores!$B$5:$B$44,2,R_Scores!$C$5:$C$44,"Tool condition",R_Scores!M$5:M$44,R_Scores!M19)+COUNTIFS(R_Scores!$B$5:$B$44,2,R_Scores!$C$5:$C$44,"Paper condition",R_Scores!M$5:M$44,R_Scores!M19))^2-1,"")</f>
        <v/>
      </c>
      <c r="DB19" s="1" t="str">
        <f aca="false">IF(ISNUMBER(R_Scores!M19),R_Scores!M19^2,"")</f>
        <v/>
      </c>
      <c r="DC19" s="1" t="str">
        <f aca="false">IF(AND(R_Scores!$B19=1,R_Scores!$C19="Tool condition",ISNUMBER(R_Scores!N19)),COUNTIFS(R_Scores!$B$5:$B$44,1,R_Scores!$C$5:$C$44,"Paper condition",R_Scores!N$5:N$44,"&lt;"&amp;R_Scores!N19)+0.5*COUNTIFS(R_Scores!$B$5:$B$44,1,R_Scores!$C$5:$C$44,"Paper condition",R_Scores!N$5:N$44,R_Scores!N19),"")</f>
        <v/>
      </c>
      <c r="DD19" s="1" t="n">
        <f aca="false">IF(AND(R_Scores!$B19=1,OR(R_Scores!$C19="Tool condition",R_Scores!$C19="Paper condition"),ISNUMBER(R_Scores!N19)),(COUNTIFS(R_Scores!$B$5:$B$44,1,R_Scores!$C$5:$C$44,"Tool condition",R_Scores!N$5:N$44,R_Scores!N19)+COUNTIFS(R_Scores!$B$5:$B$44,1,R_Scores!$C$5:$C$44,"Paper condition",R_Scores!N$5:N$44,R_Scores!N19))^2-1,"")</f>
        <v>63</v>
      </c>
      <c r="DE19" s="1" t="str">
        <f aca="false">IF(AND(R_Scores!$B19=2,R_Scores!$C19="Tool condition",ISNUMBER(R_Scores!N19)),COUNTIFS(R_Scores!$B$5:$B$44,2,R_Scores!$C$5:$C$44,"Paper condition",R_Scores!N$5:N$44,"&lt;"&amp;R_Scores!N19)+0.5*COUNTIFS(R_Scores!$B$5:$B$44,2,R_Scores!$C$5:$C$44,"Paper condition",R_Scores!N$5:N$44,R_Scores!N19),"")</f>
        <v/>
      </c>
      <c r="DF19" s="1" t="str">
        <f aca="false">IF(AND(R_Scores!$B19=2,OR(R_Scores!$C19="Tool condition",R_Scores!$C19="Paper condition"),ISNUMBER(R_Scores!N19)),(COUNTIFS(R_Scores!$B$5:$B$44,2,R_Scores!$C$5:$C$44,"Tool condition",R_Scores!N$5:N$44,R_Scores!N19)+COUNTIFS(R_Scores!$B$5:$B$44,2,R_Scores!$C$5:$C$44,"Paper condition",R_Scores!N$5:N$44,R_Scores!N19))^2-1,"")</f>
        <v/>
      </c>
      <c r="DG19" s="1" t="n">
        <f aca="false">IF(ISNUMBER(R_Scores!N19),R_Scores!N19^2,"")</f>
        <v>0</v>
      </c>
      <c r="DH19" s="1" t="str">
        <f aca="false">IF(AND(R_Scores!$B19=1,R_Scores!$C19="Tool condition",ISNUMBER(R_Scores!O19)),COUNTIFS(R_Scores!$B$5:$B$44,1,R_Scores!$C$5:$C$44,"Paper condition",R_Scores!O$5:O$44,"&lt;"&amp;R_Scores!O19)+0.5*COUNTIFS(R_Scores!$B$5:$B$44,1,R_Scores!$C$5:$C$44,"Paper condition",R_Scores!O$5:O$44,R_Scores!O19),"")</f>
        <v/>
      </c>
      <c r="DI19" s="1" t="n">
        <f aca="false">IF(AND(R_Scores!$B19=1,OR(R_Scores!$C19="Tool condition",R_Scores!$C19="Paper condition"),ISNUMBER(R_Scores!O19)),(COUNTIFS(R_Scores!$B$5:$B$44,1,R_Scores!$C$5:$C$44,"Tool condition",R_Scores!O$5:O$44,R_Scores!O19)+COUNTIFS(R_Scores!$B$5:$B$44,1,R_Scores!$C$5:$C$44,"Paper condition",R_Scores!O$5:O$44,R_Scores!O19))^2-1,"")</f>
        <v>48</v>
      </c>
      <c r="DJ19" s="1" t="str">
        <f aca="false">IF(AND(R_Scores!$B19=2,R_Scores!$C19="Tool condition",ISNUMBER(R_Scores!O19)),COUNTIFS(R_Scores!$B$5:$B$44,2,R_Scores!$C$5:$C$44,"Paper condition",R_Scores!O$5:O$44,"&lt;"&amp;R_Scores!O19)+0.5*COUNTIFS(R_Scores!$B$5:$B$44,2,R_Scores!$C$5:$C$44,"Paper condition",R_Scores!O$5:O$44,R_Scores!O19),"")</f>
        <v/>
      </c>
      <c r="DK19" s="1" t="str">
        <f aca="false">IF(AND(R_Scores!$B19=2,OR(R_Scores!$C19="Tool condition",R_Scores!$C19="Paper condition"),ISNUMBER(R_Scores!O19)),(COUNTIFS(R_Scores!$B$5:$B$44,2,R_Scores!$C$5:$C$44,"Tool condition",R_Scores!O$5:O$44,R_Scores!O19)+COUNTIFS(R_Scores!$B$5:$B$44,2,R_Scores!$C$5:$C$44,"Paper condition",R_Scores!O$5:O$44,R_Scores!O19))^2-1,"")</f>
        <v/>
      </c>
      <c r="DL19" s="1" t="n">
        <f aca="false">IF(ISNUMBER(R_Scores!O19),R_Scores!O19^2,"")</f>
        <v>0</v>
      </c>
      <c r="DM19" s="1" t="str">
        <f aca="false">IF(AND(R_Scores!$B19=1,R_Scores!$C19="Tool condition",ISNUMBER(R_Scores!P19)),COUNTIFS(R_Scores!$B$5:$B$44,1,R_Scores!$C$5:$C$44,"Paper condition",R_Scores!P$5:P$44,"&lt;"&amp;R_Scores!P19)+0.5*COUNTIFS(R_Scores!$B$5:$B$44,1,R_Scores!$C$5:$C$44,"Paper condition",R_Scores!P$5:P$44,R_Scores!P19),"")</f>
        <v/>
      </c>
      <c r="DN19" s="1" t="n">
        <f aca="false">IF(AND(R_Scores!$B19=1,OR(R_Scores!$C19="Tool condition",R_Scores!$C19="Paper condition"),ISNUMBER(R_Scores!P19)),(COUNTIFS(R_Scores!$B$5:$B$44,1,R_Scores!$C$5:$C$44,"Tool condition",R_Scores!P$5:P$44,R_Scores!P19)+COUNTIFS(R_Scores!$B$5:$B$44,1,R_Scores!$C$5:$C$44,"Paper condition",R_Scores!P$5:P$44,R_Scores!P19))^2-1,"")</f>
        <v>80</v>
      </c>
      <c r="DO19" s="1" t="str">
        <f aca="false">IF(AND(R_Scores!$B19=2,R_Scores!$C19="Tool condition",ISNUMBER(R_Scores!P19)),COUNTIFS(R_Scores!$B$5:$B$44,2,R_Scores!$C$5:$C$44,"Paper condition",R_Scores!P$5:P$44,"&lt;"&amp;R_Scores!P19)+0.5*COUNTIFS(R_Scores!$B$5:$B$44,2,R_Scores!$C$5:$C$44,"Paper condition",R_Scores!P$5:P$44,R_Scores!P19),"")</f>
        <v/>
      </c>
      <c r="DP19" s="1" t="str">
        <f aca="false">IF(AND(R_Scores!$B19=2,OR(R_Scores!$C19="Tool condition",R_Scores!$C19="Paper condition"),ISNUMBER(R_Scores!P19)),(COUNTIFS(R_Scores!$B$5:$B$44,2,R_Scores!$C$5:$C$44,"Tool condition",R_Scores!P$5:P$44,R_Scores!P19)+COUNTIFS(R_Scores!$B$5:$B$44,2,R_Scores!$C$5:$C$44,"Paper condition",R_Scores!P$5:P$44,R_Scores!P19))^2-1,"")</f>
        <v/>
      </c>
      <c r="DQ19" s="1" t="n">
        <f aca="false">IF(ISNUMBER(R_Scores!P19),R_Scores!P19^2,"")</f>
        <v>0</v>
      </c>
      <c r="DR19" s="1" t="str">
        <f aca="false">IF(AND(Scores!$B19=1,Scores!$C19="Tool condition",ISNUMBER(Scores!Q19)),COUNTIFS(Scores!$B$5:$B$44,1,Scores!$C$5:$C$44,"Paper condition",Scores!Q$5:Q$44,"&lt;"&amp;Scores!Q19)+0.5*COUNTIFS(Scores!$B$5:$B$44,1,Scores!$C$5:$C$44,"Paper condition",Scores!Q$5:Q$44,Scores!Q19),"")</f>
        <v/>
      </c>
      <c r="DS19" s="1" t="n">
        <f aca="false">IF(AND(Scores!$B19=1,OR(Scores!$C19="Tool condition",Scores!$C19="Paper condition"),ISNUMBER(Scores!Q19)),(COUNTIFS(Scores!$B$5:$B$44,1,Scores!$C$5:$C$44,"Tool condition",Scores!Q$5:Q$44,Scores!Q19)+COUNTIFS(Scores!$B$5:$B$44,1,Scores!$C$5:$C$44,"Paper condition",Scores!Q$5:Q$44,Scores!Q19))^2-1,"")</f>
        <v>0</v>
      </c>
      <c r="DT19" s="1" t="str">
        <f aca="false">IF(AND(Scores!$B19=2,Scores!$C19="Tool condition",ISNUMBER(Scores!Q19)),COUNTIFS(Scores!$B$5:$B$44,2,Scores!$C$5:$C$44,"Paper condition",Scores!Q$5:Q$44,"&lt;"&amp;Scores!Q19)+0.5*COUNTIFS(Scores!$B$5:$B$44,2,Scores!$C$5:$C$44,"Paper condition",Scores!Q$5:Q$44,Scores!Q19),"")</f>
        <v/>
      </c>
      <c r="DU19" s="1" t="str">
        <f aca="false">IF(AND(Scores!$B19=2,OR(Scores!$C19="Tool condition",Scores!$C19="Paper condition"),ISNUMBER(Scores!Q19)),(COUNTIFS(Scores!$B$5:$B$44,2,Scores!$C$5:$C$44,"Tool condition",Scores!Q$5:Q$44,Scores!Q19)+COUNTIFS(Scores!$B$5:$B$44,2,Scores!$C$5:$C$44,"Paper condition",Scores!Q$5:Q$44,Scores!Q19))^2-1,"")</f>
        <v/>
      </c>
      <c r="DV19" s="1" t="n">
        <f aca="false">IF(ISNUMBER(Scores!Q19),Scores!Q19^2,"")</f>
        <v>225</v>
      </c>
      <c r="DW19" s="1" t="str">
        <f aca="false">IF(AND(Scores!$B19=1,Scores!$C19="Tool condition",ISNUMBER(Scores!R19)),COUNTIFS(Scores!$B$5:$B$44,1,Scores!$C$5:$C$44,"Paper condition",Scores!R$5:R$44,"&lt;"&amp;Scores!R19)+0.5*COUNTIFS(Scores!$B$5:$B$44,1,Scores!$C$5:$C$44,"Paper condition",Scores!R$5:R$44,Scores!R19),"")</f>
        <v/>
      </c>
      <c r="DX19" s="1" t="n">
        <f aca="false">IF(AND(Scores!$B19=1,OR(Scores!$C19="Tool condition",Scores!$C19="Paper condition"),ISNUMBER(Scores!R19)),(COUNTIFS(Scores!$B$5:$B$44,1,Scores!$C$5:$C$44,"Tool condition",Scores!R$5:R$44,Scores!R19)+COUNTIFS(Scores!$B$5:$B$44,1,Scores!$C$5:$C$44,"Paper condition",Scores!R$5:R$44,Scores!R19))^2-1,"")</f>
        <v>0</v>
      </c>
      <c r="DY19" s="1" t="str">
        <f aca="false">IF(AND(Scores!$B19=2,Scores!$C19="Tool condition",ISNUMBER(Scores!R19)),COUNTIFS(Scores!$B$5:$B$44,2,Scores!$C$5:$C$44,"Paper condition",Scores!R$5:R$44,"&lt;"&amp;Scores!R19)+0.5*COUNTIFS(Scores!$B$5:$B$44,2,Scores!$C$5:$C$44,"Paper condition",Scores!R$5:R$44,Scores!R19),"")</f>
        <v/>
      </c>
      <c r="DZ19" s="1" t="str">
        <f aca="false">IF(AND(Scores!$B19=2,OR(Scores!$C19="Tool condition",Scores!$C19="Paper condition"),ISNUMBER(Scores!R19)),(COUNTIFS(Scores!$B$5:$B$44,2,Scores!$C$5:$C$44,"Tool condition",Scores!R$5:R$44,Scores!R19)+COUNTIFS(Scores!$B$5:$B$44,2,Scores!$C$5:$C$44,"Paper condition",Scores!R$5:R$44,Scores!R19))^2-1,"")</f>
        <v/>
      </c>
      <c r="EA19" s="1" t="n">
        <f aca="false">IF(ISNUMBER(Scores!R19),Scores!R19^2,"")</f>
        <v>49</v>
      </c>
      <c r="EB19" s="1" t="str">
        <f aca="false">IF(AND(Scores!$B19=1,Scores!$C19="Tool condition",ISNUMBER(Scores!S19)),COUNTIFS(Scores!$B$5:$B$44,1,Scores!$C$5:$C$44,"Paper condition",Scores!S$5:S$44,"&lt;"&amp;Scores!S19)+0.5*COUNTIFS(Scores!$B$5:$B$44,1,Scores!$C$5:$C$44,"Paper condition",Scores!S$5:S$44,Scores!S19),"")</f>
        <v/>
      </c>
      <c r="EC19" s="1" t="n">
        <f aca="false">IF(AND(Scores!$B19=1,OR(Scores!$C19="Tool condition",Scores!$C19="Paper condition"),ISNUMBER(Scores!S19)),(COUNTIFS(Scores!$B$5:$B$44,1,Scores!$C$5:$C$44,"Tool condition",Scores!S$5:S$44,Scores!S19)+COUNTIFS(Scores!$B$5:$B$44,1,Scores!$C$5:$C$44,"Paper condition",Scores!S$5:S$44,Scores!S19))^2-1,"")</f>
        <v>15</v>
      </c>
      <c r="ED19" s="1" t="str">
        <f aca="false">IF(AND(Scores!$B19=2,Scores!$C19="Tool condition",ISNUMBER(Scores!S19)),COUNTIFS(Scores!$B$5:$B$44,2,Scores!$C$5:$C$44,"Paper condition",Scores!S$5:S$44,"&lt;"&amp;Scores!S19)+0.5*COUNTIFS(Scores!$B$5:$B$44,2,Scores!$C$5:$C$44,"Paper condition",Scores!S$5:S$44,Scores!S19),"")</f>
        <v/>
      </c>
      <c r="EE19" s="1" t="str">
        <f aca="false">IF(AND(Scores!$B19=2,OR(Scores!$C19="Tool condition",Scores!$C19="Paper condition"),ISNUMBER(Scores!S19)),(COUNTIFS(Scores!$B$5:$B$44,2,Scores!$C$5:$C$44,"Tool condition",Scores!S$5:S$44,Scores!S19)+COUNTIFS(Scores!$B$5:$B$44,2,Scores!$C$5:$C$44,"Paper condition",Scores!S$5:S$44,Scores!S19))^2-1,"")</f>
        <v/>
      </c>
      <c r="EF19" s="1" t="n">
        <f aca="false">IF(ISNUMBER(Scores!S19),Scores!S19^2,"")</f>
        <v>64</v>
      </c>
      <c r="EG19" s="1" t="str">
        <f aca="false">IF(AND(Scores!$B19=1,Scores!$C19="Tool condition",ISNUMBER(Scores!T19)),COUNTIFS(Scores!$B$5:$B$44,1,Scores!$C$5:$C$44,"Paper condition",Scores!T$5:T$44,"&lt;"&amp;Scores!T19)+0.5*COUNTIFS(Scores!$B$5:$B$44,1,Scores!$C$5:$C$44,"Paper condition",Scores!T$5:T$44,Scores!T19),"")</f>
        <v/>
      </c>
      <c r="EH19" s="1" t="n">
        <f aca="false">IF(AND(Scores!$B19=1,OR(Scores!$C19="Tool condition",Scores!$C19="Paper condition"),ISNUMBER(Scores!T19)),(COUNTIFS(Scores!$B$5:$B$44,1,Scores!$C$5:$C$44,"Tool condition",Scores!T$5:T$44,Scores!T19)+COUNTIFS(Scores!$B$5:$B$44,1,Scores!$C$5:$C$44,"Paper condition",Scores!T$5:T$44,Scores!T19))^2-1,"")</f>
        <v>0</v>
      </c>
      <c r="EI19" s="1" t="str">
        <f aca="false">IF(AND(Scores!$B19=2,Scores!$C19="Tool condition",ISNUMBER(Scores!T19)),COUNTIFS(Scores!$B$5:$B$44,2,Scores!$C$5:$C$44,"Paper condition",Scores!T$5:T$44,"&lt;"&amp;Scores!T19)+0.5*COUNTIFS(Scores!$B$5:$B$44,2,Scores!$C$5:$C$44,"Paper condition",Scores!T$5:T$44,Scores!T19),"")</f>
        <v/>
      </c>
      <c r="EJ19" s="1" t="str">
        <f aca="false">IF(AND(Scores!$B19=2,OR(Scores!$C19="Tool condition",Scores!$C19="Paper condition"),ISNUMBER(Scores!T19)),(COUNTIFS(Scores!$B$5:$B$44,2,Scores!$C$5:$C$44,"Tool condition",Scores!T$5:T$44,Scores!T19)+COUNTIFS(Scores!$B$5:$B$44,2,Scores!$C$5:$C$44,"Paper condition",Scores!T$5:T$44,Scores!T19))^2-1,"")</f>
        <v/>
      </c>
      <c r="EK19" s="1" t="n">
        <f aca="false">IF(ISNUMBER(Scores!T19),Scores!T19^2,"")</f>
        <v>25</v>
      </c>
      <c r="EL19" s="1" t="str">
        <f aca="false">IF(AND(Scores!$B19=1,Scores!$C19="Tool condition",ISNUMBER(Scores!U19)),COUNTIFS(Scores!$B$5:$B$44,1,Scores!$C$5:$C$44,"Paper condition",Scores!U$5:U$44,"&lt;"&amp;Scores!U19)+0.5*COUNTIFS(Scores!$B$5:$B$44,1,Scores!$C$5:$C$44,"Paper condition",Scores!U$5:U$44,Scores!U19),"")</f>
        <v/>
      </c>
      <c r="EM19" s="1" t="n">
        <f aca="false">IF(AND(Scores!$B19=1,OR(Scores!$C19="Tool condition",Scores!$C19="Paper condition"),ISNUMBER(Scores!U19)),(COUNTIFS(Scores!$B$5:$B$44,1,Scores!$C$5:$C$44,"Tool condition",Scores!U$5:U$44,Scores!U19)+COUNTIFS(Scores!$B$5:$B$44,1,Scores!$C$5:$C$44,"Paper condition",Scores!U$5:U$44,Scores!U19))^2-1,"")</f>
        <v>3</v>
      </c>
      <c r="EN19" s="1" t="str">
        <f aca="false">IF(AND(Scores!$B19=2,Scores!$C19="Tool condition",ISNUMBER(Scores!U19)),COUNTIFS(Scores!$B$5:$B$44,2,Scores!$C$5:$C$44,"Paper condition",Scores!U$5:U$44,"&lt;"&amp;Scores!U19)+0.5*COUNTIFS(Scores!$B$5:$B$44,2,Scores!$C$5:$C$44,"Paper condition",Scores!U$5:U$44,Scores!U19),"")</f>
        <v/>
      </c>
      <c r="EO19" s="1" t="str">
        <f aca="false">IF(AND(Scores!$B19=2,OR(Scores!$C19="Tool condition",Scores!$C19="Paper condition"),ISNUMBER(Scores!U19)),(COUNTIFS(Scores!$B$5:$B$44,2,Scores!$C$5:$C$44,"Tool condition",Scores!U$5:U$44,Scores!U19)+COUNTIFS(Scores!$B$5:$B$44,2,Scores!$C$5:$C$44,"Paper condition",Scores!U$5:U$44,Scores!U19))^2-1,"")</f>
        <v/>
      </c>
      <c r="EP19" s="1" t="n">
        <f aca="false">IF(ISNUMBER(Scores!U19),Scores!U19^2,"")</f>
        <v>16</v>
      </c>
      <c r="EQ19" s="1" t="str">
        <f aca="false">IF(AND(Scores!$B19=1,Scores!$C19="Tool condition",ISNUMBER(Scores!V19)),COUNTIFS(Scores!$B$5:$B$44,1,Scores!$C$5:$C$44,"Paper condition",Scores!V$5:V$44,"&lt;"&amp;Scores!V19)+0.5*COUNTIFS(Scores!$B$5:$B$44,1,Scores!$C$5:$C$44,"Paper condition",Scores!V$5:V$44,Scores!V19),"")</f>
        <v/>
      </c>
      <c r="ER19" s="1" t="n">
        <f aca="false">IF(AND(Scores!$B19=1,OR(Scores!$C19="Tool condition",Scores!$C19="Paper condition"),ISNUMBER(Scores!V19)),(COUNTIFS(Scores!$B$5:$B$44,1,Scores!$C$5:$C$44,"Tool condition",Scores!V$5:V$44,Scores!V19)+COUNTIFS(Scores!$B$5:$B$44,1,Scores!$C$5:$C$44,"Paper condition",Scores!V$5:V$44,Scores!V19))^2-1,"")</f>
        <v>0</v>
      </c>
      <c r="ES19" s="1" t="str">
        <f aca="false">IF(AND(Scores!$B19=2,Scores!$C19="Tool condition",ISNUMBER(Scores!V19)),COUNTIFS(Scores!$B$5:$B$44,2,Scores!$C$5:$C$44,"Paper condition",Scores!V$5:V$44,"&lt;"&amp;Scores!V19)+0.5*COUNTIFS(Scores!$B$5:$B$44,2,Scores!$C$5:$C$44,"Paper condition",Scores!V$5:V$44,Scores!V19),"")</f>
        <v/>
      </c>
      <c r="ET19" s="1" t="str">
        <f aca="false">IF(AND(Scores!$B19=2,OR(Scores!$C19="Tool condition",Scores!$C19="Paper condition"),ISNUMBER(Scores!V19)),(COUNTIFS(Scores!$B$5:$B$44,2,Scores!$C$5:$C$44,"Tool condition",Scores!V$5:V$44,Scores!V19)+COUNTIFS(Scores!$B$5:$B$44,2,Scores!$C$5:$C$44,"Paper condition",Scores!V$5:V$44,Scores!V19))^2-1,"")</f>
        <v/>
      </c>
      <c r="EU19" s="1" t="n">
        <f aca="false">IF(ISNUMBER(Scores!V19),Scores!V19^2,"")</f>
        <v>36</v>
      </c>
      <c r="EV19" s="1" t="str">
        <f aca="false">IF(AND(R_Scores!$B19=1,R_Scores!$C19="Tool condition",ISNUMBER(R_Scores!Q19)),COUNTIFS(R_Scores!$B$5:$B$44,1,R_Scores!$C$5:$C$44,"Paper condition",R_Scores!Q$5:Q$44,"&lt;"&amp;R_Scores!Q19)+0.5*COUNTIFS(R_Scores!$B$5:$B$44,1,R_Scores!$C$5:$C$44,"Paper condition",R_Scores!Q$5:Q$44,R_Scores!Q19),"")</f>
        <v/>
      </c>
      <c r="EW19" s="1" t="n">
        <f aca="false">IF(AND(R_Scores!$B19=1,OR(R_Scores!$C19="Tool condition",R_Scores!$C19="Paper condition"),ISNUMBER(R_Scores!Q19)),(COUNTIFS(R_Scores!$B$5:$B$44,1,R_Scores!$C$5:$C$44,"Tool condition",R_Scores!Q$5:Q$44,R_Scores!Q19)+COUNTIFS(R_Scores!$B$5:$B$44,1,R_Scores!$C$5:$C$44,"Paper condition",R_Scores!Q$5:Q$44,R_Scores!Q19))^2-1,"")</f>
        <v>0</v>
      </c>
      <c r="EX19" s="1" t="str">
        <f aca="false">IF(AND(R_Scores!$B19=2,R_Scores!$C19="Tool condition",ISNUMBER(R_Scores!Q19)),COUNTIFS(R_Scores!$B$5:$B$44,2,R_Scores!$C$5:$C$44,"Paper condition",R_Scores!Q$5:Q$44,"&lt;"&amp;R_Scores!Q19)+0.5*COUNTIFS(R_Scores!$B$5:$B$44,2,R_Scores!$C$5:$C$44,"Paper condition",R_Scores!Q$5:Q$44,R_Scores!Q19),"")</f>
        <v/>
      </c>
      <c r="EY19" s="1" t="str">
        <f aca="false">IF(AND(R_Scores!$B19=2,OR(R_Scores!$C19="Tool condition",R_Scores!$C19="Paper condition"),ISNUMBER(R_Scores!Q19)),(COUNTIFS(R_Scores!$B$5:$B$44,2,R_Scores!$C$5:$C$44,"Tool condition",R_Scores!Q$5:Q$44,R_Scores!Q19)+COUNTIFS(R_Scores!$B$5:$B$44,2,R_Scores!$C$5:$C$44,"Paper condition",R_Scores!Q$5:Q$44,R_Scores!Q19))^2-1,"")</f>
        <v/>
      </c>
      <c r="EZ19" s="1" t="n">
        <f aca="false">IF(ISNUMBER(R_Scores!Q19),R_Scores!Q19^2,"")</f>
        <v>4</v>
      </c>
      <c r="FA19" s="1" t="str">
        <f aca="false">IF(AND(R_Scores!$B19=1,R_Scores!$C19="Tool condition",ISNUMBER(R_Scores!R19)),COUNTIFS(R_Scores!$B$5:$B$44,1,R_Scores!$C$5:$C$44,"Paper condition",R_Scores!R$5:R$44,"&lt;"&amp;R_Scores!R19)+0.5*COUNTIFS(R_Scores!$B$5:$B$44,1,R_Scores!$C$5:$C$44,"Paper condition",R_Scores!R$5:R$44,R_Scores!R19),"")</f>
        <v/>
      </c>
      <c r="FB19" s="1" t="n">
        <f aca="false">IF(AND(R_Scores!$B19=1,OR(R_Scores!$C19="Tool condition",R_Scores!$C19="Paper condition"),ISNUMBER(R_Scores!R19)),(COUNTIFS(R_Scores!$B$5:$B$44,1,R_Scores!$C$5:$C$44,"Tool condition",R_Scores!R$5:R$44,R_Scores!R19)+COUNTIFS(R_Scores!$B$5:$B$44,1,R_Scores!$C$5:$C$44,"Paper condition",R_Scores!R$5:R$44,R_Scores!R19))^2-1,"")</f>
        <v>0</v>
      </c>
      <c r="FC19" s="1" t="str">
        <f aca="false">IF(AND(R_Scores!$B19=2,R_Scores!$C19="Tool condition",ISNUMBER(R_Scores!R19)),COUNTIFS(R_Scores!$B$5:$B$44,2,R_Scores!$C$5:$C$44,"Paper condition",R_Scores!R$5:R$44,"&lt;"&amp;R_Scores!R19)+0.5*COUNTIFS(R_Scores!$B$5:$B$44,2,R_Scores!$C$5:$C$44,"Paper condition",R_Scores!R$5:R$44,R_Scores!R19),"")</f>
        <v/>
      </c>
      <c r="FD19" s="1" t="str">
        <f aca="false">IF(AND(R_Scores!$B19=2,OR(R_Scores!$C19="Tool condition",R_Scores!$C19="Paper condition"),ISNUMBER(R_Scores!R19)),(COUNTIFS(R_Scores!$B$5:$B$44,2,R_Scores!$C$5:$C$44,"Tool condition",R_Scores!R$5:R$44,R_Scores!R19)+COUNTIFS(R_Scores!$B$5:$B$44,2,R_Scores!$C$5:$C$44,"Paper condition",R_Scores!R$5:R$44,R_Scores!R19))^2-1,"")</f>
        <v/>
      </c>
      <c r="FE19" s="1" t="n">
        <f aca="false">IF(ISNUMBER(R_Scores!R19),R_Scores!R19^2,"")</f>
        <v>289</v>
      </c>
    </row>
    <row r="20" customFormat="false" ht="14.25" hidden="false" customHeight="true" outlineLevel="0" collapsed="false">
      <c r="B20" s="1" t="str">
        <f aca="false">IF(AND(Scores!$B20=1,Scores!$C20="Tool condition",ISNUMBER(Scores!E20)),COUNTIFS(Scores!$B$5:$B$44,1,Scores!$C$5:$C$44,"Paper condition",Scores!E$5:E$44,"&lt;"&amp;Scores!E20)+0.5*COUNTIFS(Scores!$B$5:$B$44,1,Scores!$C$5:$C$44,"Paper condition",Scores!E$5:E$44,Scores!E20),"")</f>
        <v/>
      </c>
      <c r="C20" s="1" t="n">
        <f aca="false">IF(AND(Scores!$B20=1,OR(Scores!$C20="Tool condition",Scores!$C20="Paper condition"),ISNUMBER(Scores!E20)),(COUNTIFS(Scores!$B$5:$B$44,1,Scores!$C$5:$C$44,"Tool condition",Scores!E$5:E$44,Scores!E20)+COUNTIFS(Scores!$B$5:$B$44,1,Scores!$C$5:$C$44,"Paper condition",Scores!E$5:E$44,Scores!E20))^2-1,"")</f>
        <v>255</v>
      </c>
      <c r="D20" s="1" t="str">
        <f aca="false">IF(AND(Scores!$B20=2,Scores!$C20="Tool condition",ISNUMBER(Scores!E20)),COUNTIFS(Scores!$B$5:$B$44,2,Scores!$C$5:$C$44,"Paper condition",Scores!E$5:E$44,"&lt;"&amp;Scores!E20)+0.5*COUNTIFS(Scores!$B$5:$B$44,2,Scores!$C$5:$C$44,"Paper condition",Scores!E$5:E$44,Scores!E20),"")</f>
        <v/>
      </c>
      <c r="E20" s="1" t="str">
        <f aca="false">IF(AND(Scores!$B20=2,OR(Scores!$C20="Tool condition",Scores!$C20="Paper condition"),ISNUMBER(Scores!E20)),(COUNTIFS(Scores!$B$5:$B$44,2,Scores!$C$5:$C$44,"Tool condition",Scores!E$5:E$44,Scores!E20)+COUNTIFS(Scores!$B$5:$B$44,2,Scores!$C$5:$C$44,"Paper condition",Scores!E$5:E$44,Scores!E20))^2-1,"")</f>
        <v/>
      </c>
      <c r="F20" s="1" t="n">
        <f aca="false">IF(ISNUMBER(Scores!E20),Scores!E20^2,"")</f>
        <v>4</v>
      </c>
      <c r="G20" s="1" t="str">
        <f aca="false">IF(AND(Scores!$B20=1,Scores!$C20="Tool condition",ISNUMBER(Scores!F20)),COUNTIFS(Scores!$B$5:$B$44,1,Scores!$C$5:$C$44,"Paper condition",Scores!F$5:F$44,"&lt;"&amp;Scores!F20)+0.5*COUNTIFS(Scores!$B$5:$B$44,1,Scores!$C$5:$C$44,"Paper condition",Scores!F$5:F$44,Scores!F20),"")</f>
        <v/>
      </c>
      <c r="H20" s="1" t="n">
        <f aca="false">IF(AND(Scores!$B20=1,OR(Scores!$C20="Tool condition",Scores!$C20="Paper condition"),ISNUMBER(Scores!F20)),(COUNTIFS(Scores!$B$5:$B$44,1,Scores!$C$5:$C$44,"Tool condition",Scores!F$5:F$44,Scores!F20)+COUNTIFS(Scores!$B$5:$B$44,1,Scores!$C$5:$C$44,"Paper condition",Scores!F$5:F$44,Scores!F20))^2-1,"")</f>
        <v>24</v>
      </c>
      <c r="I20" s="1" t="str">
        <f aca="false">IF(AND(Scores!$B20=2,Scores!$C20="Tool condition",ISNUMBER(Scores!F20)),COUNTIFS(Scores!$B$5:$B$44,2,Scores!$C$5:$C$44,"Paper condition",Scores!F$5:F$44,"&lt;"&amp;Scores!F20)+0.5*COUNTIFS(Scores!$B$5:$B$44,2,Scores!$C$5:$C$44,"Paper condition",Scores!F$5:F$44,Scores!F20),"")</f>
        <v/>
      </c>
      <c r="J20" s="1" t="str">
        <f aca="false">IF(AND(Scores!$B20=2,OR(Scores!$C20="Tool condition",Scores!$C20="Paper condition"),ISNUMBER(Scores!F20)),(COUNTIFS(Scores!$B$5:$B$44,2,Scores!$C$5:$C$44,"Tool condition",Scores!F$5:F$44,Scores!F20)+COUNTIFS(Scores!$B$5:$B$44,2,Scores!$C$5:$C$44,"Paper condition",Scores!F$5:F$44,Scores!F20))^2-1,"")</f>
        <v/>
      </c>
      <c r="K20" s="1" t="n">
        <f aca="false">IF(ISNUMBER(Scores!F20),Scores!F20^2,"")</f>
        <v>1</v>
      </c>
      <c r="L20" s="1" t="str">
        <f aca="false">IF(AND(Scores!$B20=1,Scores!$C20="Tool condition",ISNUMBER(Scores!G20)),COUNTIFS(Scores!$B$5:$B$44,1,Scores!$C$5:$C$44,"Paper condition",Scores!G$5:G$44,"&lt;"&amp;Scores!G20)+0.5*COUNTIFS(Scores!$B$5:$B$44,1,Scores!$C$5:$C$44,"Paper condition",Scores!G$5:G$44,Scores!G20),"")</f>
        <v/>
      </c>
      <c r="M20" s="1" t="n">
        <f aca="false">IF(AND(Scores!$B20=1,OR(Scores!$C20="Tool condition",Scores!$C20="Paper condition"),ISNUMBER(Scores!G20)),(COUNTIFS(Scores!$B$5:$B$44,1,Scores!$C$5:$C$44,"Tool condition",Scores!G$5:G$44,Scores!G20)+COUNTIFS(Scores!$B$5:$B$44,1,Scores!$C$5:$C$44,"Paper condition",Scores!G$5:G$44,Scores!G20))^2-1,"")</f>
        <v>288</v>
      </c>
      <c r="N20" s="1" t="str">
        <f aca="false">IF(AND(Scores!$B20=2,Scores!$C20="Tool condition",ISNUMBER(Scores!G20)),COUNTIFS(Scores!$B$5:$B$44,2,Scores!$C$5:$C$44,"Paper condition",Scores!G$5:G$44,"&lt;"&amp;Scores!G20)+0.5*COUNTIFS(Scores!$B$5:$B$44,2,Scores!$C$5:$C$44,"Paper condition",Scores!G$5:G$44,Scores!G20),"")</f>
        <v/>
      </c>
      <c r="O20" s="1" t="str">
        <f aca="false">IF(AND(Scores!$B20=2,OR(Scores!$C20="Tool condition",Scores!$C20="Paper condition"),ISNUMBER(Scores!G20)),(COUNTIFS(Scores!$B$5:$B$44,2,Scores!$C$5:$C$44,"Tool condition",Scores!G$5:G$44,Scores!G20)+COUNTIFS(Scores!$B$5:$B$44,2,Scores!$C$5:$C$44,"Paper condition",Scores!G$5:G$44,Scores!G20))^2-1,"")</f>
        <v/>
      </c>
      <c r="P20" s="1" t="n">
        <f aca="false">IF(ISNUMBER(Scores!G20),Scores!G20^2,"")</f>
        <v>4</v>
      </c>
      <c r="Q20" s="1" t="str">
        <f aca="false">IF(AND(Scores!$B20=1,Scores!$C20="Tool condition",ISNUMBER(Scores!H20)),COUNTIFS(Scores!$B$5:$B$44,1,Scores!$C$5:$C$44,"Paper condition",Scores!H$5:H$44,"&lt;"&amp;Scores!H20)+0.5*COUNTIFS(Scores!$B$5:$B$44,1,Scores!$C$5:$C$44,"Paper condition",Scores!H$5:H$44,Scores!H20),"")</f>
        <v/>
      </c>
      <c r="R20" s="1" t="n">
        <f aca="false">IF(AND(Scores!$B20=1,OR(Scores!$C20="Tool condition",Scores!$C20="Paper condition"),ISNUMBER(Scores!H20)),(COUNTIFS(Scores!$B$5:$B$44,1,Scores!$C$5:$C$44,"Tool condition",Scores!H$5:H$44,Scores!H20)+COUNTIFS(Scores!$B$5:$B$44,1,Scores!$C$5:$C$44,"Paper condition",Scores!H$5:H$44,Scores!H20))^2-1,"")</f>
        <v>255</v>
      </c>
      <c r="S20" s="1" t="str">
        <f aca="false">IF(AND(Scores!$B20=2,Scores!$C20="Tool condition",ISNUMBER(Scores!H20)),COUNTIFS(Scores!$B$5:$B$44,2,Scores!$C$5:$C$44,"Paper condition",Scores!H$5:H$44,"&lt;"&amp;Scores!H20)+0.5*COUNTIFS(Scores!$B$5:$B$44,2,Scores!$C$5:$C$44,"Paper condition",Scores!H$5:H$44,Scores!H20),"")</f>
        <v/>
      </c>
      <c r="T20" s="1" t="str">
        <f aca="false">IF(AND(Scores!$B20=2,OR(Scores!$C20="Tool condition",Scores!$C20="Paper condition"),ISNUMBER(Scores!H20)),(COUNTIFS(Scores!$B$5:$B$44,2,Scores!$C$5:$C$44,"Tool condition",Scores!H$5:H$44,Scores!H20)+COUNTIFS(Scores!$B$5:$B$44,2,Scores!$C$5:$C$44,"Paper condition",Scores!H$5:H$44,Scores!H20))^2-1,"")</f>
        <v/>
      </c>
      <c r="U20" s="1" t="n">
        <f aca="false">IF(ISNUMBER(Scores!H20),Scores!H20^2,"")</f>
        <v>4</v>
      </c>
      <c r="V20" s="1" t="str">
        <f aca="false">IF(AND(Scores!$B20=1,Scores!$C20="Tool condition",ISNUMBER(Scores!I20)),COUNTIFS(Scores!$B$5:$B$44,1,Scores!$C$5:$C$44,"Paper condition",Scores!I$5:I$44,"&lt;"&amp;Scores!I20)+0.5*COUNTIFS(Scores!$B$5:$B$44,1,Scores!$C$5:$C$44,"Paper condition",Scores!I$5:I$44,Scores!I20),"")</f>
        <v/>
      </c>
      <c r="W20" s="1" t="n">
        <f aca="false">IF(AND(Scores!$B20=1,OR(Scores!$C20="Tool condition",Scores!$C20="Paper condition"),ISNUMBER(Scores!I20)),(COUNTIFS(Scores!$B$5:$B$44,1,Scores!$C$5:$C$44,"Tool condition",Scores!I$5:I$44,Scores!I20)+COUNTIFS(Scores!$B$5:$B$44,1,Scores!$C$5:$C$44,"Paper condition",Scores!I$5:I$44,Scores!I20))^2-1,"")</f>
        <v>15</v>
      </c>
      <c r="X20" s="1" t="str">
        <f aca="false">IF(AND(Scores!$B20=2,Scores!$C20="Tool condition",ISNUMBER(Scores!I20)),COUNTIFS(Scores!$B$5:$B$44,2,Scores!$C$5:$C$44,"Paper condition",Scores!I$5:I$44,"&lt;"&amp;Scores!I20)+0.5*COUNTIFS(Scores!$B$5:$B$44,2,Scores!$C$5:$C$44,"Paper condition",Scores!I$5:I$44,Scores!I20),"")</f>
        <v/>
      </c>
      <c r="Y20" s="1" t="str">
        <f aca="false">IF(AND(Scores!$B20=2,OR(Scores!$C20="Tool condition",Scores!$C20="Paper condition"),ISNUMBER(Scores!I20)),(COUNTIFS(Scores!$B$5:$B$44,2,Scores!$C$5:$C$44,"Tool condition",Scores!I$5:I$44,Scores!I20)+COUNTIFS(Scores!$B$5:$B$44,2,Scores!$C$5:$C$44,"Paper condition",Scores!I$5:I$44,Scores!I20))^2-1,"")</f>
        <v/>
      </c>
      <c r="Z20" s="1" t="n">
        <f aca="false">IF(ISNUMBER(Scores!I20),Scores!I20^2,"")</f>
        <v>1</v>
      </c>
      <c r="AA20" s="1" t="str">
        <f aca="false">IF(AND(Scores!$B20=1,Scores!$C20="Tool condition",ISNUMBER(Scores!J20)),COUNTIFS(Scores!$B$5:$B$44,1,Scores!$C$5:$C$44,"Paper condition",Scores!J$5:J$44,"&lt;"&amp;Scores!J20)+0.5*COUNTIFS(Scores!$B$5:$B$44,1,Scores!$C$5:$C$44,"Paper condition",Scores!J$5:J$44,Scores!J20),"")</f>
        <v/>
      </c>
      <c r="AB20" s="1" t="n">
        <f aca="false">IF(AND(Scores!$B20=1,OR(Scores!$C20="Tool condition",Scores!$C20="Paper condition"),ISNUMBER(Scores!J20)),(COUNTIFS(Scores!$B$5:$B$44,1,Scores!$C$5:$C$44,"Tool condition",Scores!J$5:J$44,Scores!J20)+COUNTIFS(Scores!$B$5:$B$44,1,Scores!$C$5:$C$44,"Paper condition",Scores!J$5:J$44,Scores!J20))^2-1,"")</f>
        <v>15</v>
      </c>
      <c r="AC20" s="1" t="str">
        <f aca="false">IF(AND(Scores!$B20=2,Scores!$C20="Tool condition",ISNUMBER(Scores!J20)),COUNTIFS(Scores!$B$5:$B$44,2,Scores!$C$5:$C$44,"Paper condition",Scores!J$5:J$44,"&lt;"&amp;Scores!J20)+0.5*COUNTIFS(Scores!$B$5:$B$44,2,Scores!$C$5:$C$44,"Paper condition",Scores!J$5:J$44,Scores!J20),"")</f>
        <v/>
      </c>
      <c r="AD20" s="1" t="str">
        <f aca="false">IF(AND(Scores!$B20=2,OR(Scores!$C20="Tool condition",Scores!$C20="Paper condition"),ISNUMBER(Scores!J20)),(COUNTIFS(Scores!$B$5:$B$44,2,Scores!$C$5:$C$44,"Tool condition",Scores!J$5:J$44,Scores!J20)+COUNTIFS(Scores!$B$5:$B$44,2,Scores!$C$5:$C$44,"Paper condition",Scores!J$5:J$44,Scores!J20))^2-1,"")</f>
        <v/>
      </c>
      <c r="AE20" s="1" t="n">
        <f aca="false">IF(ISNUMBER(Scores!J20),Scores!J20^2,"")</f>
        <v>1</v>
      </c>
      <c r="AF20" s="1" t="str">
        <f aca="false">IF(AND(Scores!$B20=1,Scores!$C20="Tool condition",ISNUMBER(Scores!K20)),COUNTIFS(Scores!$B$5:$B$44,1,Scores!$C$5:$C$44,"Paper condition",Scores!K$5:K$44,"&lt;"&amp;Scores!K20)+0.5*COUNTIFS(Scores!$B$5:$B$44,1,Scores!$C$5:$C$44,"Paper condition",Scores!K$5:K$44,Scores!K20),"")</f>
        <v/>
      </c>
      <c r="AG20" s="1" t="n">
        <f aca="false">IF(AND(Scores!$B20=1,OR(Scores!$C20="Tool condition",Scores!$C20="Paper condition"),ISNUMBER(Scores!K20)),(COUNTIFS(Scores!$B$5:$B$44,1,Scores!$C$5:$C$44,"Tool condition",Scores!K$5:K$44,Scores!K20)+COUNTIFS(Scores!$B$5:$B$44,1,Scores!$C$5:$C$44,"Paper condition",Scores!K$5:K$44,Scores!K20))^2-1,"")</f>
        <v>255</v>
      </c>
      <c r="AH20" s="1" t="str">
        <f aca="false">IF(AND(Scores!$B20=2,Scores!$C20="Tool condition",ISNUMBER(Scores!K20)),COUNTIFS(Scores!$B$5:$B$44,2,Scores!$C$5:$C$44,"Paper condition",Scores!K$5:K$44,"&lt;"&amp;Scores!K20)+0.5*COUNTIFS(Scores!$B$5:$B$44,2,Scores!$C$5:$C$44,"Paper condition",Scores!K$5:K$44,Scores!K20),"")</f>
        <v/>
      </c>
      <c r="AI20" s="1" t="str">
        <f aca="false">IF(AND(Scores!$B20=2,OR(Scores!$C20="Tool condition",Scores!$C20="Paper condition"),ISNUMBER(Scores!K20)),(COUNTIFS(Scores!$B$5:$B$44,2,Scores!$C$5:$C$44,"Tool condition",Scores!K$5:K$44,Scores!K20)+COUNTIFS(Scores!$B$5:$B$44,2,Scores!$C$5:$C$44,"Paper condition",Scores!K$5:K$44,Scores!K20))^2-1,"")</f>
        <v/>
      </c>
      <c r="AJ20" s="1" t="n">
        <f aca="false">IF(ISNUMBER(Scores!K20),Scores!K20^2,"")</f>
        <v>4</v>
      </c>
      <c r="AK20" s="1" t="str">
        <f aca="false">IF(AND(Scores!$B20=1,Scores!$C20="Tool condition",ISNUMBER(Scores!L20)),COUNTIFS(Scores!$B$5:$B$44,1,Scores!$C$5:$C$44,"Paper condition",Scores!L$5:L$44,"&lt;"&amp;Scores!L20)+0.5*COUNTIFS(Scores!$B$5:$B$44,1,Scores!$C$5:$C$44,"Paper condition",Scores!L$5:L$44,Scores!L20),"")</f>
        <v/>
      </c>
      <c r="AL20" s="1" t="n">
        <f aca="false">IF(AND(Scores!$B20=1,OR(Scores!$C20="Tool condition",Scores!$C20="Paper condition"),ISNUMBER(Scores!L20)),(COUNTIFS(Scores!$B$5:$B$44,1,Scores!$C$5:$C$44,"Tool condition",Scores!L$5:L$44,Scores!L20)+COUNTIFS(Scores!$B$5:$B$44,1,Scores!$C$5:$C$44,"Paper condition",Scores!L$5:L$44,Scores!L20))^2-1,"")</f>
        <v>8</v>
      </c>
      <c r="AM20" s="1" t="str">
        <f aca="false">IF(AND(Scores!$B20=2,Scores!$C20="Tool condition",ISNUMBER(Scores!L20)),COUNTIFS(Scores!$B$5:$B$44,2,Scores!$C$5:$C$44,"Paper condition",Scores!L$5:L$44,"&lt;"&amp;Scores!L20)+0.5*COUNTIFS(Scores!$B$5:$B$44,2,Scores!$C$5:$C$44,"Paper condition",Scores!L$5:L$44,Scores!L20),"")</f>
        <v/>
      </c>
      <c r="AN20" s="1" t="str">
        <f aca="false">IF(AND(Scores!$B20=2,OR(Scores!$C20="Tool condition",Scores!$C20="Paper condition"),ISNUMBER(Scores!L20)),(COUNTIFS(Scores!$B$5:$B$44,2,Scores!$C$5:$C$44,"Tool condition",Scores!L$5:L$44,Scores!L20)+COUNTIFS(Scores!$B$5:$B$44,2,Scores!$C$5:$C$44,"Paper condition",Scores!L$5:L$44,Scores!L20))^2-1,"")</f>
        <v/>
      </c>
      <c r="AO20" s="1" t="n">
        <f aca="false">IF(ISNUMBER(Scores!L20),Scores!L20^2,"")</f>
        <v>1</v>
      </c>
      <c r="AP20" s="1" t="str">
        <f aca="false">IF(AND(Scores!$B20=1,Scores!$C20="Tool condition",ISNUMBER(Scores!M20)),COUNTIFS(Scores!$B$5:$B$44,1,Scores!$C$5:$C$44,"Paper condition",Scores!M$5:M$44,"&lt;"&amp;Scores!M20)+0.5*COUNTIFS(Scores!$B$5:$B$44,1,Scores!$C$5:$C$44,"Paper condition",Scores!M$5:M$44,Scores!M20),"")</f>
        <v/>
      </c>
      <c r="AQ20" s="1" t="n">
        <f aca="false">IF(AND(Scores!$B20=1,OR(Scores!$C20="Tool condition",Scores!$C20="Paper condition"),ISNUMBER(Scores!M20)),(COUNTIFS(Scores!$B$5:$B$44,1,Scores!$C$5:$C$44,"Tool condition",Scores!M$5:M$44,Scores!M20)+COUNTIFS(Scores!$B$5:$B$44,1,Scores!$C$5:$C$44,"Paper condition",Scores!M$5:M$44,Scores!M20))^2-1,"")</f>
        <v>288</v>
      </c>
      <c r="AR20" s="1" t="str">
        <f aca="false">IF(AND(Scores!$B20=2,Scores!$C20="Tool condition",ISNUMBER(Scores!M20)),COUNTIFS(Scores!$B$5:$B$44,2,Scores!$C$5:$C$44,"Paper condition",Scores!M$5:M$44,"&lt;"&amp;Scores!M20)+0.5*COUNTIFS(Scores!$B$5:$B$44,2,Scores!$C$5:$C$44,"Paper condition",Scores!M$5:M$44,Scores!M20),"")</f>
        <v/>
      </c>
      <c r="AS20" s="1" t="str">
        <f aca="false">IF(AND(Scores!$B20=2,OR(Scores!$C20="Tool condition",Scores!$C20="Paper condition"),ISNUMBER(Scores!M20)),(COUNTIFS(Scores!$B$5:$B$44,2,Scores!$C$5:$C$44,"Tool condition",Scores!M$5:M$44,Scores!M20)+COUNTIFS(Scores!$B$5:$B$44,2,Scores!$C$5:$C$44,"Paper condition",Scores!M$5:M$44,Scores!M20))^2-1,"")</f>
        <v/>
      </c>
      <c r="AT20" s="1" t="n">
        <f aca="false">IF(ISNUMBER(Scores!M20),Scores!M20^2,"")</f>
        <v>4</v>
      </c>
      <c r="AU20" s="1" t="str">
        <f aca="false">IF(AND(Scores!$B20=1,Scores!$C20="Tool condition",ISNUMBER(Scores!N20)),COUNTIFS(Scores!$B$5:$B$44,1,Scores!$C$5:$C$44,"Paper condition",Scores!N$5:N$44,"&lt;"&amp;Scores!N20)+0.5*COUNTIFS(Scores!$B$5:$B$44,1,Scores!$C$5:$C$44,"Paper condition",Scores!N$5:N$44,Scores!N20),"")</f>
        <v/>
      </c>
      <c r="AV20" s="1" t="n">
        <f aca="false">IF(AND(Scores!$B20=1,OR(Scores!$C20="Tool condition",Scores!$C20="Paper condition"),ISNUMBER(Scores!N20)),(COUNTIFS(Scores!$B$5:$B$44,1,Scores!$C$5:$C$44,"Tool condition",Scores!N$5:N$44,Scores!N20)+COUNTIFS(Scores!$B$5:$B$44,1,Scores!$C$5:$C$44,"Paper condition",Scores!N$5:N$44,Scores!N20))^2-1,"")</f>
        <v>195</v>
      </c>
      <c r="AW20" s="1" t="str">
        <f aca="false">IF(AND(Scores!$B20=2,Scores!$C20="Tool condition",ISNUMBER(Scores!N20)),COUNTIFS(Scores!$B$5:$B$44,2,Scores!$C$5:$C$44,"Paper condition",Scores!N$5:N$44,"&lt;"&amp;Scores!N20)+0.5*COUNTIFS(Scores!$B$5:$B$44,2,Scores!$C$5:$C$44,"Paper condition",Scores!N$5:N$44,Scores!N20),"")</f>
        <v/>
      </c>
      <c r="AX20" s="1" t="str">
        <f aca="false">IF(AND(Scores!$B20=2,OR(Scores!$C20="Tool condition",Scores!$C20="Paper condition"),ISNUMBER(Scores!N20)),(COUNTIFS(Scores!$B$5:$B$44,2,Scores!$C$5:$C$44,"Tool condition",Scores!N$5:N$44,Scores!N20)+COUNTIFS(Scores!$B$5:$B$44,2,Scores!$C$5:$C$44,"Paper condition",Scores!N$5:N$44,Scores!N20))^2-1,"")</f>
        <v/>
      </c>
      <c r="AY20" s="1" t="n">
        <f aca="false">IF(ISNUMBER(Scores!N20),Scores!N20^2,"")</f>
        <v>4</v>
      </c>
      <c r="AZ20" s="1" t="str">
        <f aca="false">IF(AND(Scores!$B20=1,Scores!$C20="Tool condition",ISNUMBER(Scores!O20)),COUNTIFS(Scores!$B$5:$B$44,1,Scores!$C$5:$C$44,"Paper condition",Scores!O$5:O$44,"&lt;"&amp;Scores!O20)+0.5*COUNTIFS(Scores!$B$5:$B$44,1,Scores!$C$5:$C$44,"Paper condition",Scores!O$5:O$44,Scores!O20),"")</f>
        <v/>
      </c>
      <c r="BA20" s="1" t="n">
        <f aca="false">IF(AND(Scores!$B20=1,OR(Scores!$C20="Tool condition",Scores!$C20="Paper condition"),ISNUMBER(Scores!O20)),(COUNTIFS(Scores!$B$5:$B$44,1,Scores!$C$5:$C$44,"Tool condition",Scores!O$5:O$44,Scores!O20)+COUNTIFS(Scores!$B$5:$B$44,1,Scores!$C$5:$C$44,"Paper condition",Scores!O$5:O$44,Scores!O20))^2-1,"")</f>
        <v>224</v>
      </c>
      <c r="BB20" s="1" t="str">
        <f aca="false">IF(AND(Scores!$B20=2,Scores!$C20="Tool condition",ISNUMBER(Scores!O20)),COUNTIFS(Scores!$B$5:$B$44,2,Scores!$C$5:$C$44,"Paper condition",Scores!O$5:O$44,"&lt;"&amp;Scores!O20)+0.5*COUNTIFS(Scores!$B$5:$B$44,2,Scores!$C$5:$C$44,"Paper condition",Scores!O$5:O$44,Scores!O20),"")</f>
        <v/>
      </c>
      <c r="BC20" s="1" t="str">
        <f aca="false">IF(AND(Scores!$B20=2,OR(Scores!$C20="Tool condition",Scores!$C20="Paper condition"),ISNUMBER(Scores!O20)),(COUNTIFS(Scores!$B$5:$B$44,2,Scores!$C$5:$C$44,"Tool condition",Scores!O$5:O$44,Scores!O20)+COUNTIFS(Scores!$B$5:$B$44,2,Scores!$C$5:$C$44,"Paper condition",Scores!O$5:O$44,Scores!O20))^2-1,"")</f>
        <v/>
      </c>
      <c r="BD20" s="1" t="n">
        <f aca="false">IF(ISNUMBER(Scores!O20),Scores!O20^2,"")</f>
        <v>4</v>
      </c>
      <c r="BE20" s="1" t="str">
        <f aca="false">IF(AND(Scores!$B20=1,Scores!$C20="Tool condition",ISNUMBER(Scores!P20)),COUNTIFS(Scores!$B$5:$B$44,1,Scores!$C$5:$C$44,"Paper condition",Scores!P$5:P$44,"&lt;"&amp;Scores!P20)+0.5*COUNTIFS(Scores!$B$5:$B$44,1,Scores!$C$5:$C$44,"Paper condition",Scores!P$5:P$44,Scores!P20),"")</f>
        <v/>
      </c>
      <c r="BF20" s="1" t="n">
        <f aca="false">IF(AND(Scores!$B20=1,OR(Scores!$C20="Tool condition",Scores!$C20="Paper condition"),ISNUMBER(Scores!P20)),(COUNTIFS(Scores!$B$5:$B$44,1,Scores!$C$5:$C$44,"Tool condition",Scores!P$5:P$44,Scores!P20)+COUNTIFS(Scores!$B$5:$B$44,1,Scores!$C$5:$C$44,"Paper condition",Scores!P$5:P$44,Scores!P20))^2-1,"")</f>
        <v>35</v>
      </c>
      <c r="BG20" s="1" t="str">
        <f aca="false">IF(AND(Scores!$B20=2,Scores!$C20="Tool condition",ISNUMBER(Scores!P20)),COUNTIFS(Scores!$B$5:$B$44,2,Scores!$C$5:$C$44,"Paper condition",Scores!P$5:P$44,"&lt;"&amp;Scores!P20)+0.5*COUNTIFS(Scores!$B$5:$B$44,2,Scores!$C$5:$C$44,"Paper condition",Scores!P$5:P$44,Scores!P20),"")</f>
        <v/>
      </c>
      <c r="BH20" s="1" t="str">
        <f aca="false">IF(AND(Scores!$B20=2,OR(Scores!$C20="Tool condition",Scores!$C20="Paper condition"),ISNUMBER(Scores!P20)),(COUNTIFS(Scores!$B$5:$B$44,2,Scores!$C$5:$C$44,"Tool condition",Scores!P$5:P$44,Scores!P20)+COUNTIFS(Scores!$B$5:$B$44,2,Scores!$C$5:$C$44,"Paper condition",Scores!P$5:P$44,Scores!P20))^2-1,"")</f>
        <v/>
      </c>
      <c r="BI20" s="1" t="n">
        <f aca="false">IF(ISNUMBER(Scores!P20),Scores!P20^2,"")</f>
        <v>1</v>
      </c>
      <c r="BJ20" s="1" t="str">
        <f aca="false">IF(AND(R_Scores!$B20=1,R_Scores!$C20="Tool condition",ISNUMBER(R_Scores!E20)),COUNTIFS(R_Scores!$B$5:$B$44,1,R_Scores!$C$5:$C$44,"Paper condition",R_Scores!E$5:E$44,"&lt;"&amp;R_Scores!E20)+0.5*COUNTIFS(R_Scores!$B$5:$B$44,1,R_Scores!$C$5:$C$44,"Paper condition",R_Scores!E$5:E$44,R_Scores!E20),"")</f>
        <v/>
      </c>
      <c r="BK20" s="1" t="n">
        <f aca="false">IF(AND(R_Scores!$B20=1,OR(R_Scores!$C20="Tool condition",R_Scores!$C20="Paper condition"),ISNUMBER(R_Scores!E20)),(COUNTIFS(R_Scores!$B$5:$B$44,1,R_Scores!$C$5:$C$44,"Tool condition",R_Scores!E$5:E$44,R_Scores!E20)+COUNTIFS(R_Scores!$B$5:$B$44,1,R_Scores!$C$5:$C$44,"Paper condition",R_Scores!E$5:E$44,R_Scores!E20))^2-1,"")</f>
        <v>224</v>
      </c>
      <c r="BL20" s="1" t="str">
        <f aca="false">IF(AND(R_Scores!$B20=2,R_Scores!$C20="Tool condition",ISNUMBER(R_Scores!E20)),COUNTIFS(R_Scores!$B$5:$B$44,2,R_Scores!$C$5:$C$44,"Paper condition",R_Scores!E$5:E$44,"&lt;"&amp;R_Scores!E20)+0.5*COUNTIFS(R_Scores!$B$5:$B$44,2,R_Scores!$C$5:$C$44,"Paper condition",R_Scores!E$5:E$44,R_Scores!E20),"")</f>
        <v/>
      </c>
      <c r="BM20" s="1" t="str">
        <f aca="false">IF(AND(R_Scores!$B20=2,OR(R_Scores!$C20="Tool condition",R_Scores!$C20="Paper condition"),ISNUMBER(R_Scores!E20)),(COUNTIFS(R_Scores!$B$5:$B$44,2,R_Scores!$C$5:$C$44,"Tool condition",R_Scores!E$5:E$44,R_Scores!E20)+COUNTIFS(R_Scores!$B$5:$B$44,2,R_Scores!$C$5:$C$44,"Paper condition",R_Scores!E$5:E$44,R_Scores!E20))^2-1,"")</f>
        <v/>
      </c>
      <c r="BN20" s="1" t="n">
        <f aca="false">IF(ISNUMBER(R_Scores!E20),R_Scores!E20^2,"")</f>
        <v>1</v>
      </c>
      <c r="BO20" s="1" t="str">
        <f aca="false">IF(AND(R_Scores!$B20=1,R_Scores!$C20="Tool condition",ISNUMBER(R_Scores!F20)),COUNTIFS(R_Scores!$B$5:$B$44,1,R_Scores!$C$5:$C$44,"Paper condition",R_Scores!F$5:F$44,"&lt;"&amp;R_Scores!F20)+0.5*COUNTIFS(R_Scores!$B$5:$B$44,1,R_Scores!$C$5:$C$44,"Paper condition",R_Scores!F$5:F$44,R_Scores!F20),"")</f>
        <v/>
      </c>
      <c r="BP20" s="1" t="n">
        <f aca="false">IF(AND(R_Scores!$B20=1,OR(R_Scores!$C20="Tool condition",R_Scores!$C20="Paper condition"),ISNUMBER(R_Scores!F20)),(COUNTIFS(R_Scores!$B$5:$B$44,1,R_Scores!$C$5:$C$44,"Tool condition",R_Scores!F$5:F$44,R_Scores!F20)+COUNTIFS(R_Scores!$B$5:$B$44,1,R_Scores!$C$5:$C$44,"Paper condition",R_Scores!F$5:F$44,R_Scores!F20))^2-1,"")</f>
        <v>35</v>
      </c>
      <c r="BQ20" s="1" t="str">
        <f aca="false">IF(AND(R_Scores!$B20=2,R_Scores!$C20="Tool condition",ISNUMBER(R_Scores!F20)),COUNTIFS(R_Scores!$B$5:$B$44,2,R_Scores!$C$5:$C$44,"Paper condition",R_Scores!F$5:F$44,"&lt;"&amp;R_Scores!F20)+0.5*COUNTIFS(R_Scores!$B$5:$B$44,2,R_Scores!$C$5:$C$44,"Paper condition",R_Scores!F$5:F$44,R_Scores!F20),"")</f>
        <v/>
      </c>
      <c r="BR20" s="1" t="str">
        <f aca="false">IF(AND(R_Scores!$B20=2,OR(R_Scores!$C20="Tool condition",R_Scores!$C20="Paper condition"),ISNUMBER(R_Scores!F20)),(COUNTIFS(R_Scores!$B$5:$B$44,2,R_Scores!$C$5:$C$44,"Tool condition",R_Scores!F$5:F$44,R_Scores!F20)+COUNTIFS(R_Scores!$B$5:$B$44,2,R_Scores!$C$5:$C$44,"Paper condition",R_Scores!F$5:F$44,R_Scores!F20))^2-1,"")</f>
        <v/>
      </c>
      <c r="BS20" s="1" t="n">
        <f aca="false">IF(ISNUMBER(R_Scores!F20),R_Scores!F20^2,"")</f>
        <v>0</v>
      </c>
      <c r="BT20" s="1" t="str">
        <f aca="false">IF(AND(R_Scores!$B20=1,R_Scores!$C20="Tool condition",ISNUMBER(R_Scores!G20)),COUNTIFS(R_Scores!$B$5:$B$44,1,R_Scores!$C$5:$C$44,"Paper condition",R_Scores!G$5:G$44,"&lt;"&amp;R_Scores!G20)+0.5*COUNTIFS(R_Scores!$B$5:$B$44,1,R_Scores!$C$5:$C$44,"Paper condition",R_Scores!G$5:G$44,R_Scores!G20),"")</f>
        <v/>
      </c>
      <c r="BU20" s="1" t="str">
        <f aca="false">IF(AND(R_Scores!$B20=1,OR(R_Scores!$C20="Tool condition",R_Scores!$C20="Paper condition"),ISNUMBER(R_Scores!G20)),(COUNTIFS(R_Scores!$B$5:$B$44,1,R_Scores!$C$5:$C$44,"Tool condition",R_Scores!G$5:G$44,R_Scores!G20)+COUNTIFS(R_Scores!$B$5:$B$44,1,R_Scores!$C$5:$C$44,"Paper condition",R_Scores!G$5:G$44,R_Scores!G20))^2-1,"")</f>
        <v/>
      </c>
      <c r="BV20" s="1" t="str">
        <f aca="false">IF(AND(R_Scores!$B20=2,R_Scores!$C20="Tool condition",ISNUMBER(R_Scores!G20)),COUNTIFS(R_Scores!$B$5:$B$44,2,R_Scores!$C$5:$C$44,"Paper condition",R_Scores!G$5:G$44,"&lt;"&amp;R_Scores!G20)+0.5*COUNTIFS(R_Scores!$B$5:$B$44,2,R_Scores!$C$5:$C$44,"Paper condition",R_Scores!G$5:G$44,R_Scores!G20),"")</f>
        <v/>
      </c>
      <c r="BW20" s="1" t="str">
        <f aca="false">IF(AND(R_Scores!$B20=2,OR(R_Scores!$C20="Tool condition",R_Scores!$C20="Paper condition"),ISNUMBER(R_Scores!G20)),(COUNTIFS(R_Scores!$B$5:$B$44,2,R_Scores!$C$5:$C$44,"Tool condition",R_Scores!G$5:G$44,R_Scores!G20)+COUNTIFS(R_Scores!$B$5:$B$44,2,R_Scores!$C$5:$C$44,"Paper condition",R_Scores!G$5:G$44,R_Scores!G20))^2-1,"")</f>
        <v/>
      </c>
      <c r="BX20" s="1" t="str">
        <f aca="false">IF(ISNUMBER(R_Scores!G20),R_Scores!G20^2,"")</f>
        <v/>
      </c>
      <c r="BY20" s="1" t="str">
        <f aca="false">IF(AND(R_Scores!$B20=1,R_Scores!$C20="Tool condition",ISNUMBER(R_Scores!H20)),COUNTIFS(R_Scores!$B$5:$B$44,1,R_Scores!$C$5:$C$44,"Paper condition",R_Scores!H$5:H$44,"&lt;"&amp;R_Scores!H20)+0.5*COUNTIFS(R_Scores!$B$5:$B$44,1,R_Scores!$C$5:$C$44,"Paper condition",R_Scores!H$5:H$44,R_Scores!H20),"")</f>
        <v/>
      </c>
      <c r="BZ20" s="1" t="str">
        <f aca="false">IF(AND(R_Scores!$B20=1,OR(R_Scores!$C20="Tool condition",R_Scores!$C20="Paper condition"),ISNUMBER(R_Scores!H20)),(COUNTIFS(R_Scores!$B$5:$B$44,1,R_Scores!$C$5:$C$44,"Tool condition",R_Scores!H$5:H$44,R_Scores!H20)+COUNTIFS(R_Scores!$B$5:$B$44,1,R_Scores!$C$5:$C$44,"Paper condition",R_Scores!H$5:H$44,R_Scores!H20))^2-1,"")</f>
        <v/>
      </c>
      <c r="CA20" s="1" t="str">
        <f aca="false">IF(AND(R_Scores!$B20=2,R_Scores!$C20="Tool condition",ISNUMBER(R_Scores!H20)),COUNTIFS(R_Scores!$B$5:$B$44,2,R_Scores!$C$5:$C$44,"Paper condition",R_Scores!H$5:H$44,"&lt;"&amp;R_Scores!H20)+0.5*COUNTIFS(R_Scores!$B$5:$B$44,2,R_Scores!$C$5:$C$44,"Paper condition",R_Scores!H$5:H$44,R_Scores!H20),"")</f>
        <v/>
      </c>
      <c r="CB20" s="1" t="str">
        <f aca="false">IF(AND(R_Scores!$B20=2,OR(R_Scores!$C20="Tool condition",R_Scores!$C20="Paper condition"),ISNUMBER(R_Scores!H20)),(COUNTIFS(R_Scores!$B$5:$B$44,2,R_Scores!$C$5:$C$44,"Tool condition",R_Scores!H$5:H$44,R_Scores!H20)+COUNTIFS(R_Scores!$B$5:$B$44,2,R_Scores!$C$5:$C$44,"Paper condition",R_Scores!H$5:H$44,R_Scores!H20))^2-1,"")</f>
        <v/>
      </c>
      <c r="CC20" s="1" t="str">
        <f aca="false">IF(ISNUMBER(R_Scores!H20),R_Scores!H20^2,"")</f>
        <v/>
      </c>
      <c r="CD20" s="1" t="str">
        <f aca="false">IF(AND(R_Scores!$B20=1,R_Scores!$C20="Tool condition",ISNUMBER(R_Scores!I20)),COUNTIFS(R_Scores!$B$5:$B$44,1,R_Scores!$C$5:$C$44,"Paper condition",R_Scores!I$5:I$44,"&lt;"&amp;R_Scores!I20)+0.5*COUNTIFS(R_Scores!$B$5:$B$44,1,R_Scores!$C$5:$C$44,"Paper condition",R_Scores!I$5:I$44,R_Scores!I20),"")</f>
        <v/>
      </c>
      <c r="CE20" s="1" t="n">
        <f aca="false">IF(AND(R_Scores!$B20=1,OR(R_Scores!$C20="Tool condition",R_Scores!$C20="Paper condition"),ISNUMBER(R_Scores!I20)),(COUNTIFS(R_Scores!$B$5:$B$44,1,R_Scores!$C$5:$C$44,"Tool condition",R_Scores!I$5:I$44,R_Scores!I20)+COUNTIFS(R_Scores!$B$5:$B$44,1,R_Scores!$C$5:$C$44,"Paper condition",R_Scores!I$5:I$44,R_Scores!I20))^2-1,"")</f>
        <v>48</v>
      </c>
      <c r="CF20" s="1" t="str">
        <f aca="false">IF(AND(R_Scores!$B20=2,R_Scores!$C20="Tool condition",ISNUMBER(R_Scores!I20)),COUNTIFS(R_Scores!$B$5:$B$44,2,R_Scores!$C$5:$C$44,"Paper condition",R_Scores!I$5:I$44,"&lt;"&amp;R_Scores!I20)+0.5*COUNTIFS(R_Scores!$B$5:$B$44,2,R_Scores!$C$5:$C$44,"Paper condition",R_Scores!I$5:I$44,R_Scores!I20),"")</f>
        <v/>
      </c>
      <c r="CG20" s="1" t="str">
        <f aca="false">IF(AND(R_Scores!$B20=2,OR(R_Scores!$C20="Tool condition",R_Scores!$C20="Paper condition"),ISNUMBER(R_Scores!I20)),(COUNTIFS(R_Scores!$B$5:$B$44,2,R_Scores!$C$5:$C$44,"Tool condition",R_Scores!I$5:I$44,R_Scores!I20)+COUNTIFS(R_Scores!$B$5:$B$44,2,R_Scores!$C$5:$C$44,"Paper condition",R_Scores!I$5:I$44,R_Scores!I20))^2-1,"")</f>
        <v/>
      </c>
      <c r="CH20" s="1" t="n">
        <f aca="false">IF(ISNUMBER(R_Scores!I20),R_Scores!I20^2,"")</f>
        <v>0</v>
      </c>
      <c r="CI20" s="1" t="str">
        <f aca="false">IF(AND(R_Scores!$B20=1,R_Scores!$C20="Tool condition",ISNUMBER(R_Scores!J20)),COUNTIFS(R_Scores!$B$5:$B$44,1,R_Scores!$C$5:$C$44,"Paper condition",R_Scores!J$5:J$44,"&lt;"&amp;R_Scores!J20)+0.5*COUNTIFS(R_Scores!$B$5:$B$44,1,R_Scores!$C$5:$C$44,"Paper condition",R_Scores!J$5:J$44,R_Scores!J20),"")</f>
        <v/>
      </c>
      <c r="CJ20" s="1" t="n">
        <f aca="false">IF(AND(R_Scores!$B20=1,OR(R_Scores!$C20="Tool condition",R_Scores!$C20="Paper condition"),ISNUMBER(R_Scores!J20)),(COUNTIFS(R_Scores!$B$5:$B$44,1,R_Scores!$C$5:$C$44,"Tool condition",R_Scores!J$5:J$44,R_Scores!J20)+COUNTIFS(R_Scores!$B$5:$B$44,1,R_Scores!$C$5:$C$44,"Paper condition",R_Scores!J$5:J$44,R_Scores!J20))^2-1,"")</f>
        <v>24</v>
      </c>
      <c r="CK20" s="1" t="str">
        <f aca="false">IF(AND(R_Scores!$B20=2,R_Scores!$C20="Tool condition",ISNUMBER(R_Scores!J20)),COUNTIFS(R_Scores!$B$5:$B$44,2,R_Scores!$C$5:$C$44,"Paper condition",R_Scores!J$5:J$44,"&lt;"&amp;R_Scores!J20)+0.5*COUNTIFS(R_Scores!$B$5:$B$44,2,R_Scores!$C$5:$C$44,"Paper condition",R_Scores!J$5:J$44,R_Scores!J20),"")</f>
        <v/>
      </c>
      <c r="CL20" s="1" t="str">
        <f aca="false">IF(AND(R_Scores!$B20=2,OR(R_Scores!$C20="Tool condition",R_Scores!$C20="Paper condition"),ISNUMBER(R_Scores!J20)),(COUNTIFS(R_Scores!$B$5:$B$44,2,R_Scores!$C$5:$C$44,"Tool condition",R_Scores!J$5:J$44,R_Scores!J20)+COUNTIFS(R_Scores!$B$5:$B$44,2,R_Scores!$C$5:$C$44,"Paper condition",R_Scores!J$5:J$44,R_Scores!J20))^2-1,"")</f>
        <v/>
      </c>
      <c r="CM20" s="1" t="n">
        <f aca="false">IF(ISNUMBER(R_Scores!J20),R_Scores!J20^2,"")</f>
        <v>0</v>
      </c>
      <c r="CN20" s="1" t="str">
        <f aca="false">IF(AND(R_Scores!$B20=1,R_Scores!$C20="Tool condition",ISNUMBER(R_Scores!K20)),COUNTIFS(R_Scores!$B$5:$B$44,1,R_Scores!$C$5:$C$44,"Paper condition",R_Scores!K$5:K$44,"&lt;"&amp;R_Scores!K20)+0.5*COUNTIFS(R_Scores!$B$5:$B$44,1,R_Scores!$C$5:$C$44,"Paper condition",R_Scores!K$5:K$44,R_Scores!K20),"")</f>
        <v/>
      </c>
      <c r="CO20" s="1" t="str">
        <f aca="false">IF(AND(R_Scores!$B20=1,OR(R_Scores!$C20="Tool condition",R_Scores!$C20="Paper condition"),ISNUMBER(R_Scores!K20)),(COUNTIFS(R_Scores!$B$5:$B$44,1,R_Scores!$C$5:$C$44,"Tool condition",R_Scores!K$5:K$44,R_Scores!K20)+COUNTIFS(R_Scores!$B$5:$B$44,1,R_Scores!$C$5:$C$44,"Paper condition",R_Scores!K$5:K$44,R_Scores!K20))^2-1,"")</f>
        <v/>
      </c>
      <c r="CP20" s="1" t="str">
        <f aca="false">IF(AND(R_Scores!$B20=2,R_Scores!$C20="Tool condition",ISNUMBER(R_Scores!K20)),COUNTIFS(R_Scores!$B$5:$B$44,2,R_Scores!$C$5:$C$44,"Paper condition",R_Scores!K$5:K$44,"&lt;"&amp;R_Scores!K20)+0.5*COUNTIFS(R_Scores!$B$5:$B$44,2,R_Scores!$C$5:$C$44,"Paper condition",R_Scores!K$5:K$44,R_Scores!K20),"")</f>
        <v/>
      </c>
      <c r="CQ20" s="1" t="str">
        <f aca="false">IF(AND(R_Scores!$B20=2,OR(R_Scores!$C20="Tool condition",R_Scores!$C20="Paper condition"),ISNUMBER(R_Scores!K20)),(COUNTIFS(R_Scores!$B$5:$B$44,2,R_Scores!$C$5:$C$44,"Tool condition",R_Scores!K$5:K$44,R_Scores!K20)+COUNTIFS(R_Scores!$B$5:$B$44,2,R_Scores!$C$5:$C$44,"Paper condition",R_Scores!K$5:K$44,R_Scores!K20))^2-1,"")</f>
        <v/>
      </c>
      <c r="CR20" s="1" t="str">
        <f aca="false">IF(ISNUMBER(R_Scores!K20),R_Scores!K20^2,"")</f>
        <v/>
      </c>
      <c r="CS20" s="1" t="str">
        <f aca="false">IF(AND(R_Scores!$B20=1,R_Scores!$C20="Tool condition",ISNUMBER(R_Scores!L20)),COUNTIFS(R_Scores!$B$5:$B$44,1,R_Scores!$C$5:$C$44,"Paper condition",R_Scores!L$5:L$44,"&lt;"&amp;R_Scores!L20)+0.5*COUNTIFS(R_Scores!$B$5:$B$44,1,R_Scores!$C$5:$C$44,"Paper condition",R_Scores!L$5:L$44,R_Scores!L20),"")</f>
        <v/>
      </c>
      <c r="CT20" s="1" t="str">
        <f aca="false">IF(AND(R_Scores!$B20=1,OR(R_Scores!$C20="Tool condition",R_Scores!$C20="Paper condition"),ISNUMBER(R_Scores!L20)),(COUNTIFS(R_Scores!$B$5:$B$44,1,R_Scores!$C$5:$C$44,"Tool condition",R_Scores!L$5:L$44,R_Scores!L20)+COUNTIFS(R_Scores!$B$5:$B$44,1,R_Scores!$C$5:$C$44,"Paper condition",R_Scores!L$5:L$44,R_Scores!L20))^2-1,"")</f>
        <v/>
      </c>
      <c r="CU20" s="1" t="str">
        <f aca="false">IF(AND(R_Scores!$B20=2,R_Scores!$C20="Tool condition",ISNUMBER(R_Scores!L20)),COUNTIFS(R_Scores!$B$5:$B$44,2,R_Scores!$C$5:$C$44,"Paper condition",R_Scores!L$5:L$44,"&lt;"&amp;R_Scores!L20)+0.5*COUNTIFS(R_Scores!$B$5:$B$44,2,R_Scores!$C$5:$C$44,"Paper condition",R_Scores!L$5:L$44,R_Scores!L20),"")</f>
        <v/>
      </c>
      <c r="CV20" s="1" t="str">
        <f aca="false">IF(AND(R_Scores!$B20=2,OR(R_Scores!$C20="Tool condition",R_Scores!$C20="Paper condition"),ISNUMBER(R_Scores!L20)),(COUNTIFS(R_Scores!$B$5:$B$44,2,R_Scores!$C$5:$C$44,"Tool condition",R_Scores!L$5:L$44,R_Scores!L20)+COUNTIFS(R_Scores!$B$5:$B$44,2,R_Scores!$C$5:$C$44,"Paper condition",R_Scores!L$5:L$44,R_Scores!L20))^2-1,"")</f>
        <v/>
      </c>
      <c r="CW20" s="1" t="str">
        <f aca="false">IF(ISNUMBER(R_Scores!L20),R_Scores!L20^2,"")</f>
        <v/>
      </c>
      <c r="CX20" s="1" t="str">
        <f aca="false">IF(AND(R_Scores!$B20=1,R_Scores!$C20="Tool condition",ISNUMBER(R_Scores!M20)),COUNTIFS(R_Scores!$B$5:$B$44,1,R_Scores!$C$5:$C$44,"Paper condition",R_Scores!M$5:M$44,"&lt;"&amp;R_Scores!M20)+0.5*COUNTIFS(R_Scores!$B$5:$B$44,1,R_Scores!$C$5:$C$44,"Paper condition",R_Scores!M$5:M$44,R_Scores!M20),"")</f>
        <v/>
      </c>
      <c r="CY20" s="1" t="str">
        <f aca="false">IF(AND(R_Scores!$B20=1,OR(R_Scores!$C20="Tool condition",R_Scores!$C20="Paper condition"),ISNUMBER(R_Scores!M20)),(COUNTIFS(R_Scores!$B$5:$B$44,1,R_Scores!$C$5:$C$44,"Tool condition",R_Scores!M$5:M$44,R_Scores!M20)+COUNTIFS(R_Scores!$B$5:$B$44,1,R_Scores!$C$5:$C$44,"Paper condition",R_Scores!M$5:M$44,R_Scores!M20))^2-1,"")</f>
        <v/>
      </c>
      <c r="CZ20" s="1" t="str">
        <f aca="false">IF(AND(R_Scores!$B20=2,R_Scores!$C20="Tool condition",ISNUMBER(R_Scores!M20)),COUNTIFS(R_Scores!$B$5:$B$44,2,R_Scores!$C$5:$C$44,"Paper condition",R_Scores!M$5:M$44,"&lt;"&amp;R_Scores!M20)+0.5*COUNTIFS(R_Scores!$B$5:$B$44,2,R_Scores!$C$5:$C$44,"Paper condition",R_Scores!M$5:M$44,R_Scores!M20),"")</f>
        <v/>
      </c>
      <c r="DA20" s="1" t="str">
        <f aca="false">IF(AND(R_Scores!$B20=2,OR(R_Scores!$C20="Tool condition",R_Scores!$C20="Paper condition"),ISNUMBER(R_Scores!M20)),(COUNTIFS(R_Scores!$B$5:$B$44,2,R_Scores!$C$5:$C$44,"Tool condition",R_Scores!M$5:M$44,R_Scores!M20)+COUNTIFS(R_Scores!$B$5:$B$44,2,R_Scores!$C$5:$C$44,"Paper condition",R_Scores!M$5:M$44,R_Scores!M20))^2-1,"")</f>
        <v/>
      </c>
      <c r="DB20" s="1" t="str">
        <f aca="false">IF(ISNUMBER(R_Scores!M20),R_Scores!M20^2,"")</f>
        <v/>
      </c>
      <c r="DC20" s="1" t="str">
        <f aca="false">IF(AND(R_Scores!$B20=1,R_Scores!$C20="Tool condition",ISNUMBER(R_Scores!N20)),COUNTIFS(R_Scores!$B$5:$B$44,1,R_Scores!$C$5:$C$44,"Paper condition",R_Scores!N$5:N$44,"&lt;"&amp;R_Scores!N20)+0.5*COUNTIFS(R_Scores!$B$5:$B$44,1,R_Scores!$C$5:$C$44,"Paper condition",R_Scores!N$5:N$44,R_Scores!N20),"")</f>
        <v/>
      </c>
      <c r="DD20" s="1" t="n">
        <f aca="false">IF(AND(R_Scores!$B20=1,OR(R_Scores!$C20="Tool condition",R_Scores!$C20="Paper condition"),ISNUMBER(R_Scores!N20)),(COUNTIFS(R_Scores!$B$5:$B$44,1,R_Scores!$C$5:$C$44,"Tool condition",R_Scores!N$5:N$44,R_Scores!N20)+COUNTIFS(R_Scores!$B$5:$B$44,1,R_Scores!$C$5:$C$44,"Paper condition",R_Scores!N$5:N$44,R_Scores!N20))^2-1,"")</f>
        <v>143</v>
      </c>
      <c r="DE20" s="1" t="str">
        <f aca="false">IF(AND(R_Scores!$B20=2,R_Scores!$C20="Tool condition",ISNUMBER(R_Scores!N20)),COUNTIFS(R_Scores!$B$5:$B$44,2,R_Scores!$C$5:$C$44,"Paper condition",R_Scores!N$5:N$44,"&lt;"&amp;R_Scores!N20)+0.5*COUNTIFS(R_Scores!$B$5:$B$44,2,R_Scores!$C$5:$C$44,"Paper condition",R_Scores!N$5:N$44,R_Scores!N20),"")</f>
        <v/>
      </c>
      <c r="DF20" s="1" t="str">
        <f aca="false">IF(AND(R_Scores!$B20=2,OR(R_Scores!$C20="Tool condition",R_Scores!$C20="Paper condition"),ISNUMBER(R_Scores!N20)),(COUNTIFS(R_Scores!$B$5:$B$44,2,R_Scores!$C$5:$C$44,"Tool condition",R_Scores!N$5:N$44,R_Scores!N20)+COUNTIFS(R_Scores!$B$5:$B$44,2,R_Scores!$C$5:$C$44,"Paper condition",R_Scores!N$5:N$44,R_Scores!N20))^2-1,"")</f>
        <v/>
      </c>
      <c r="DG20" s="1" t="n">
        <f aca="false">IF(ISNUMBER(R_Scores!N20),R_Scores!N20^2,"")</f>
        <v>1</v>
      </c>
      <c r="DH20" s="1" t="str">
        <f aca="false">IF(AND(R_Scores!$B20=1,R_Scores!$C20="Tool condition",ISNUMBER(R_Scores!O20)),COUNTIFS(R_Scores!$B$5:$B$44,1,R_Scores!$C$5:$C$44,"Paper condition",R_Scores!O$5:O$44,"&lt;"&amp;R_Scores!O20)+0.5*COUNTIFS(R_Scores!$B$5:$B$44,1,R_Scores!$C$5:$C$44,"Paper condition",R_Scores!O$5:O$44,R_Scores!O20),"")</f>
        <v/>
      </c>
      <c r="DI20" s="1" t="n">
        <f aca="false">IF(AND(R_Scores!$B20=1,OR(R_Scores!$C20="Tool condition",R_Scores!$C20="Paper condition"),ISNUMBER(R_Scores!O20)),(COUNTIFS(R_Scores!$B$5:$B$44,1,R_Scores!$C$5:$C$44,"Tool condition",R_Scores!O$5:O$44,R_Scores!O20)+COUNTIFS(R_Scores!$B$5:$B$44,1,R_Scores!$C$5:$C$44,"Paper condition",R_Scores!O$5:O$44,R_Scores!O20))^2-1,"")</f>
        <v>168</v>
      </c>
      <c r="DJ20" s="1" t="str">
        <f aca="false">IF(AND(R_Scores!$B20=2,R_Scores!$C20="Tool condition",ISNUMBER(R_Scores!O20)),COUNTIFS(R_Scores!$B$5:$B$44,2,R_Scores!$C$5:$C$44,"Paper condition",R_Scores!O$5:O$44,"&lt;"&amp;R_Scores!O20)+0.5*COUNTIFS(R_Scores!$B$5:$B$44,2,R_Scores!$C$5:$C$44,"Paper condition",R_Scores!O$5:O$44,R_Scores!O20),"")</f>
        <v/>
      </c>
      <c r="DK20" s="1" t="str">
        <f aca="false">IF(AND(R_Scores!$B20=2,OR(R_Scores!$C20="Tool condition",R_Scores!$C20="Paper condition"),ISNUMBER(R_Scores!O20)),(COUNTIFS(R_Scores!$B$5:$B$44,2,R_Scores!$C$5:$C$44,"Tool condition",R_Scores!O$5:O$44,R_Scores!O20)+COUNTIFS(R_Scores!$B$5:$B$44,2,R_Scores!$C$5:$C$44,"Paper condition",R_Scores!O$5:O$44,R_Scores!O20))^2-1,"")</f>
        <v/>
      </c>
      <c r="DL20" s="1" t="n">
        <f aca="false">IF(ISNUMBER(R_Scores!O20),R_Scores!O20^2,"")</f>
        <v>1</v>
      </c>
      <c r="DM20" s="1" t="str">
        <f aca="false">IF(AND(R_Scores!$B20=1,R_Scores!$C20="Tool condition",ISNUMBER(R_Scores!P20)),COUNTIFS(R_Scores!$B$5:$B$44,1,R_Scores!$C$5:$C$44,"Paper condition",R_Scores!P$5:P$44,"&lt;"&amp;R_Scores!P20)+0.5*COUNTIFS(R_Scores!$B$5:$B$44,1,R_Scores!$C$5:$C$44,"Paper condition",R_Scores!P$5:P$44,R_Scores!P20),"")</f>
        <v/>
      </c>
      <c r="DN20" s="1" t="n">
        <f aca="false">IF(AND(R_Scores!$B20=1,OR(R_Scores!$C20="Tool condition",R_Scores!$C20="Paper condition"),ISNUMBER(R_Scores!P20)),(COUNTIFS(R_Scores!$B$5:$B$44,1,R_Scores!$C$5:$C$44,"Tool condition",R_Scores!P$5:P$44,R_Scores!P20)+COUNTIFS(R_Scores!$B$5:$B$44,1,R_Scores!$C$5:$C$44,"Paper condition",R_Scores!P$5:P$44,R_Scores!P20))^2-1,"")</f>
        <v>80</v>
      </c>
      <c r="DO20" s="1" t="str">
        <f aca="false">IF(AND(R_Scores!$B20=2,R_Scores!$C20="Tool condition",ISNUMBER(R_Scores!P20)),COUNTIFS(R_Scores!$B$5:$B$44,2,R_Scores!$C$5:$C$44,"Paper condition",R_Scores!P$5:P$44,"&lt;"&amp;R_Scores!P20)+0.5*COUNTIFS(R_Scores!$B$5:$B$44,2,R_Scores!$C$5:$C$44,"Paper condition",R_Scores!P$5:P$44,R_Scores!P20),"")</f>
        <v/>
      </c>
      <c r="DP20" s="1" t="str">
        <f aca="false">IF(AND(R_Scores!$B20=2,OR(R_Scores!$C20="Tool condition",R_Scores!$C20="Paper condition"),ISNUMBER(R_Scores!P20)),(COUNTIFS(R_Scores!$B$5:$B$44,2,R_Scores!$C$5:$C$44,"Tool condition",R_Scores!P$5:P$44,R_Scores!P20)+COUNTIFS(R_Scores!$B$5:$B$44,2,R_Scores!$C$5:$C$44,"Paper condition",R_Scores!P$5:P$44,R_Scores!P20))^2-1,"")</f>
        <v/>
      </c>
      <c r="DQ20" s="1" t="n">
        <f aca="false">IF(ISNUMBER(R_Scores!P20),R_Scores!P20^2,"")</f>
        <v>0</v>
      </c>
      <c r="DR20" s="1" t="str">
        <f aca="false">IF(AND(Scores!$B20=1,Scores!$C20="Tool condition",ISNUMBER(Scores!Q20)),COUNTIFS(Scores!$B$5:$B$44,1,Scores!$C$5:$C$44,"Paper condition",Scores!Q$5:Q$44,"&lt;"&amp;Scores!Q20)+0.5*COUNTIFS(Scores!$B$5:$B$44,1,Scores!$C$5:$C$44,"Paper condition",Scores!Q$5:Q$44,Scores!Q20),"")</f>
        <v/>
      </c>
      <c r="DS20" s="1" t="n">
        <f aca="false">IF(AND(Scores!$B20=1,OR(Scores!$C20="Tool condition",Scores!$C20="Paper condition"),ISNUMBER(Scores!Q20)),(COUNTIFS(Scores!$B$5:$B$44,1,Scores!$C$5:$C$44,"Tool condition",Scores!Q$5:Q$44,Scores!Q20)+COUNTIFS(Scores!$B$5:$B$44,1,Scores!$C$5:$C$44,"Paper condition",Scores!Q$5:Q$44,Scores!Q20))^2-1,"")</f>
        <v>3</v>
      </c>
      <c r="DT20" s="1" t="str">
        <f aca="false">IF(AND(Scores!$B20=2,Scores!$C20="Tool condition",ISNUMBER(Scores!Q20)),COUNTIFS(Scores!$B$5:$B$44,2,Scores!$C$5:$C$44,"Paper condition",Scores!Q$5:Q$44,"&lt;"&amp;Scores!Q20)+0.5*COUNTIFS(Scores!$B$5:$B$44,2,Scores!$C$5:$C$44,"Paper condition",Scores!Q$5:Q$44,Scores!Q20),"")</f>
        <v/>
      </c>
      <c r="DU20" s="1" t="str">
        <f aca="false">IF(AND(Scores!$B20=2,OR(Scores!$C20="Tool condition",Scores!$C20="Paper condition"),ISNUMBER(Scores!Q20)),(COUNTIFS(Scores!$B$5:$B$44,2,Scores!$C$5:$C$44,"Tool condition",Scores!Q$5:Q$44,Scores!Q20)+COUNTIFS(Scores!$B$5:$B$44,2,Scores!$C$5:$C$44,"Paper condition",Scores!Q$5:Q$44,Scores!Q20))^2-1,"")</f>
        <v/>
      </c>
      <c r="DV20" s="1" t="n">
        <f aca="false">IF(ISNUMBER(Scores!Q20),Scores!Q20^2,"")</f>
        <v>361</v>
      </c>
      <c r="DW20" s="1" t="str">
        <f aca="false">IF(AND(Scores!$B20=1,Scores!$C20="Tool condition",ISNUMBER(Scores!R20)),COUNTIFS(Scores!$B$5:$B$44,1,Scores!$C$5:$C$44,"Paper condition",Scores!R$5:R$44,"&lt;"&amp;Scores!R20)+0.5*COUNTIFS(Scores!$B$5:$B$44,1,Scores!$C$5:$C$44,"Paper condition",Scores!R$5:R$44,Scores!R20),"")</f>
        <v/>
      </c>
      <c r="DX20" s="1" t="n">
        <f aca="false">IF(AND(Scores!$B20=1,OR(Scores!$C20="Tool condition",Scores!$C20="Paper condition"),ISNUMBER(Scores!R20)),(COUNTIFS(Scores!$B$5:$B$44,1,Scores!$C$5:$C$44,"Tool condition",Scores!R$5:R$44,Scores!R20)+COUNTIFS(Scores!$B$5:$B$44,1,Scores!$C$5:$C$44,"Paper condition",Scores!R$5:R$44,Scores!R20))^2-1,"")</f>
        <v>0</v>
      </c>
      <c r="DY20" s="1" t="str">
        <f aca="false">IF(AND(Scores!$B20=2,Scores!$C20="Tool condition",ISNUMBER(Scores!R20)),COUNTIFS(Scores!$B$5:$B$44,2,Scores!$C$5:$C$44,"Paper condition",Scores!R$5:R$44,"&lt;"&amp;Scores!R20)+0.5*COUNTIFS(Scores!$B$5:$B$44,2,Scores!$C$5:$C$44,"Paper condition",Scores!R$5:R$44,Scores!R20),"")</f>
        <v/>
      </c>
      <c r="DZ20" s="1" t="str">
        <f aca="false">IF(AND(Scores!$B20=2,OR(Scores!$C20="Tool condition",Scores!$C20="Paper condition"),ISNUMBER(Scores!R20)),(COUNTIFS(Scores!$B$5:$B$44,2,Scores!$C$5:$C$44,"Tool condition",Scores!R$5:R$44,Scores!R20)+COUNTIFS(Scores!$B$5:$B$44,2,Scores!$C$5:$C$44,"Paper condition",Scores!R$5:R$44,Scores!R20))^2-1,"")</f>
        <v/>
      </c>
      <c r="EA20" s="1" t="n">
        <f aca="false">IF(ISNUMBER(Scores!R20),Scores!R20^2,"")</f>
        <v>100</v>
      </c>
      <c r="EB20" s="1" t="str">
        <f aca="false">IF(AND(Scores!$B20=1,Scores!$C20="Tool condition",ISNUMBER(Scores!S20)),COUNTIFS(Scores!$B$5:$B$44,1,Scores!$C$5:$C$44,"Paper condition",Scores!S$5:S$44,"&lt;"&amp;Scores!S20)+0.5*COUNTIFS(Scores!$B$5:$B$44,1,Scores!$C$5:$C$44,"Paper condition",Scores!S$5:S$44,Scores!S20),"")</f>
        <v/>
      </c>
      <c r="EC20" s="1" t="n">
        <f aca="false">IF(AND(Scores!$B20=1,OR(Scores!$C20="Tool condition",Scores!$C20="Paper condition"),ISNUMBER(Scores!S20)),(COUNTIFS(Scores!$B$5:$B$44,1,Scores!$C$5:$C$44,"Tool condition",Scores!S$5:S$44,Scores!S20)+COUNTIFS(Scores!$B$5:$B$44,1,Scores!$C$5:$C$44,"Paper condition",Scores!S$5:S$44,Scores!S20))^2-1,"")</f>
        <v>0</v>
      </c>
      <c r="ED20" s="1" t="str">
        <f aca="false">IF(AND(Scores!$B20=2,Scores!$C20="Tool condition",ISNUMBER(Scores!S20)),COUNTIFS(Scores!$B$5:$B$44,2,Scores!$C$5:$C$44,"Paper condition",Scores!S$5:S$44,"&lt;"&amp;Scores!S20)+0.5*COUNTIFS(Scores!$B$5:$B$44,2,Scores!$C$5:$C$44,"Paper condition",Scores!S$5:S$44,Scores!S20),"")</f>
        <v/>
      </c>
      <c r="EE20" s="1" t="str">
        <f aca="false">IF(AND(Scores!$B20=2,OR(Scores!$C20="Tool condition",Scores!$C20="Paper condition"),ISNUMBER(Scores!S20)),(COUNTIFS(Scores!$B$5:$B$44,2,Scores!$C$5:$C$44,"Tool condition",Scores!S$5:S$44,Scores!S20)+COUNTIFS(Scores!$B$5:$B$44,2,Scores!$C$5:$C$44,"Paper condition",Scores!S$5:S$44,Scores!S20))^2-1,"")</f>
        <v/>
      </c>
      <c r="EF20" s="1" t="n">
        <f aca="false">IF(ISNUMBER(Scores!S20),Scores!S20^2,"")</f>
        <v>81</v>
      </c>
      <c r="EG20" s="1" t="str">
        <f aca="false">IF(AND(Scores!$B20=1,Scores!$C20="Tool condition",ISNUMBER(Scores!T20)),COUNTIFS(Scores!$B$5:$B$44,1,Scores!$C$5:$C$44,"Paper condition",Scores!T$5:T$44,"&lt;"&amp;Scores!T20)+0.5*COUNTIFS(Scores!$B$5:$B$44,1,Scores!$C$5:$C$44,"Paper condition",Scores!T$5:T$44,Scores!T20),"")</f>
        <v/>
      </c>
      <c r="EH20" s="1" t="n">
        <f aca="false">IF(AND(Scores!$B20=1,OR(Scores!$C20="Tool condition",Scores!$C20="Paper condition"),ISNUMBER(Scores!T20)),(COUNTIFS(Scores!$B$5:$B$44,1,Scores!$C$5:$C$44,"Tool condition",Scores!T$5:T$44,Scores!T20)+COUNTIFS(Scores!$B$5:$B$44,1,Scores!$C$5:$C$44,"Paper condition",Scores!T$5:T$44,Scores!T20))^2-1,"")</f>
        <v>168</v>
      </c>
      <c r="EI20" s="1" t="str">
        <f aca="false">IF(AND(Scores!$B20=2,Scores!$C20="Tool condition",ISNUMBER(Scores!T20)),COUNTIFS(Scores!$B$5:$B$44,2,Scores!$C$5:$C$44,"Paper condition",Scores!T$5:T$44,"&lt;"&amp;Scores!T20)+0.5*COUNTIFS(Scores!$B$5:$B$44,2,Scores!$C$5:$C$44,"Paper condition",Scores!T$5:T$44,Scores!T20),"")</f>
        <v/>
      </c>
      <c r="EJ20" s="1" t="str">
        <f aca="false">IF(AND(Scores!$B20=2,OR(Scores!$C20="Tool condition",Scores!$C20="Paper condition"),ISNUMBER(Scores!T20)),(COUNTIFS(Scores!$B$5:$B$44,2,Scores!$C$5:$C$44,"Tool condition",Scores!T$5:T$44,Scores!T20)+COUNTIFS(Scores!$B$5:$B$44,2,Scores!$C$5:$C$44,"Paper condition",Scores!T$5:T$44,Scores!T20))^2-1,"")</f>
        <v/>
      </c>
      <c r="EK20" s="1" t="n">
        <f aca="false">IF(ISNUMBER(Scores!T20),Scores!T20^2,"")</f>
        <v>64</v>
      </c>
      <c r="EL20" s="1" t="str">
        <f aca="false">IF(AND(Scores!$B20=1,Scores!$C20="Tool condition",ISNUMBER(Scores!U20)),COUNTIFS(Scores!$B$5:$B$44,1,Scores!$C$5:$C$44,"Paper condition",Scores!U$5:U$44,"&lt;"&amp;Scores!U20)+0.5*COUNTIFS(Scores!$B$5:$B$44,1,Scores!$C$5:$C$44,"Paper condition",Scores!U$5:U$44,Scores!U20),"")</f>
        <v/>
      </c>
      <c r="EM20" s="1" t="n">
        <f aca="false">IF(AND(Scores!$B20=1,OR(Scores!$C20="Tool condition",Scores!$C20="Paper condition"),ISNUMBER(Scores!U20)),(COUNTIFS(Scores!$B$5:$B$44,1,Scores!$C$5:$C$44,"Tool condition",Scores!U$5:U$44,Scores!U20)+COUNTIFS(Scores!$B$5:$B$44,1,Scores!$C$5:$C$44,"Paper condition",Scores!U$5:U$44,Scores!U20))^2-1,"")</f>
        <v>3</v>
      </c>
      <c r="EN20" s="1" t="str">
        <f aca="false">IF(AND(Scores!$B20=2,Scores!$C20="Tool condition",ISNUMBER(Scores!U20)),COUNTIFS(Scores!$B$5:$B$44,2,Scores!$C$5:$C$44,"Paper condition",Scores!U$5:U$44,"&lt;"&amp;Scores!U20)+0.5*COUNTIFS(Scores!$B$5:$B$44,2,Scores!$C$5:$C$44,"Paper condition",Scores!U$5:U$44,Scores!U20),"")</f>
        <v/>
      </c>
      <c r="EO20" s="1" t="str">
        <f aca="false">IF(AND(Scores!$B20=2,OR(Scores!$C20="Tool condition",Scores!$C20="Paper condition"),ISNUMBER(Scores!U20)),(COUNTIFS(Scores!$B$5:$B$44,2,Scores!$C$5:$C$44,"Tool condition",Scores!U$5:U$44,Scores!U20)+COUNTIFS(Scores!$B$5:$B$44,2,Scores!$C$5:$C$44,"Paper condition",Scores!U$5:U$44,Scores!U20))^2-1,"")</f>
        <v/>
      </c>
      <c r="EP20" s="1" t="n">
        <f aca="false">IF(ISNUMBER(Scores!U20),Scores!U20^2,"")</f>
        <v>16</v>
      </c>
      <c r="EQ20" s="1" t="str">
        <f aca="false">IF(AND(Scores!$B20=1,Scores!$C20="Tool condition",ISNUMBER(Scores!V20)),COUNTIFS(Scores!$B$5:$B$44,1,Scores!$C$5:$C$44,"Paper condition",Scores!V$5:V$44,"&lt;"&amp;Scores!V20)+0.5*COUNTIFS(Scores!$B$5:$B$44,1,Scores!$C$5:$C$44,"Paper condition",Scores!V$5:V$44,Scores!V20),"")</f>
        <v/>
      </c>
      <c r="ER20" s="1" t="n">
        <f aca="false">IF(AND(Scores!$B20=1,OR(Scores!$C20="Tool condition",Scores!$C20="Paper condition"),ISNUMBER(Scores!V20)),(COUNTIFS(Scores!$B$5:$B$44,1,Scores!$C$5:$C$44,"Tool condition",Scores!V$5:V$44,Scores!V20)+COUNTIFS(Scores!$B$5:$B$44,1,Scores!$C$5:$C$44,"Paper condition",Scores!V$5:V$44,Scores!V20))^2-1,"")</f>
        <v>3</v>
      </c>
      <c r="ES20" s="1" t="str">
        <f aca="false">IF(AND(Scores!$B20=2,Scores!$C20="Tool condition",ISNUMBER(Scores!V20)),COUNTIFS(Scores!$B$5:$B$44,2,Scores!$C$5:$C$44,"Paper condition",Scores!V$5:V$44,"&lt;"&amp;Scores!V20)+0.5*COUNTIFS(Scores!$B$5:$B$44,2,Scores!$C$5:$C$44,"Paper condition",Scores!V$5:V$44,Scores!V20),"")</f>
        <v/>
      </c>
      <c r="ET20" s="1" t="str">
        <f aca="false">IF(AND(Scores!$B20=2,OR(Scores!$C20="Tool condition",Scores!$C20="Paper condition"),ISNUMBER(Scores!V20)),(COUNTIFS(Scores!$B$5:$B$44,2,Scores!$C$5:$C$44,"Tool condition",Scores!V$5:V$44,Scores!V20)+COUNTIFS(Scores!$B$5:$B$44,2,Scores!$C$5:$C$44,"Paper condition",Scores!V$5:V$44,Scores!V20))^2-1,"")</f>
        <v/>
      </c>
      <c r="EU20" s="1" t="n">
        <f aca="false">IF(ISNUMBER(Scores!V20),Scores!V20^2,"")</f>
        <v>49</v>
      </c>
      <c r="EV20" s="1" t="str">
        <f aca="false">IF(AND(R_Scores!$B20=1,R_Scores!$C20="Tool condition",ISNUMBER(R_Scores!Q20)),COUNTIFS(R_Scores!$B$5:$B$44,1,R_Scores!$C$5:$C$44,"Paper condition",R_Scores!Q$5:Q$44,"&lt;"&amp;R_Scores!Q20)+0.5*COUNTIFS(R_Scores!$B$5:$B$44,1,R_Scores!$C$5:$C$44,"Paper condition",R_Scores!Q$5:Q$44,R_Scores!Q20),"")</f>
        <v/>
      </c>
      <c r="EW20" s="1" t="n">
        <f aca="false">IF(AND(R_Scores!$B20=1,OR(R_Scores!$C20="Tool condition",R_Scores!$C20="Paper condition"),ISNUMBER(R_Scores!Q20)),(COUNTIFS(R_Scores!$B$5:$B$44,1,R_Scores!$C$5:$C$44,"Tool condition",R_Scores!Q$5:Q$44,R_Scores!Q20)+COUNTIFS(R_Scores!$B$5:$B$44,1,R_Scores!$C$5:$C$44,"Paper condition",R_Scores!Q$5:Q$44,R_Scores!Q20))^2-1,"")</f>
        <v>0</v>
      </c>
      <c r="EX20" s="1" t="str">
        <f aca="false">IF(AND(R_Scores!$B20=2,R_Scores!$C20="Tool condition",ISNUMBER(R_Scores!Q20)),COUNTIFS(R_Scores!$B$5:$B$44,2,R_Scores!$C$5:$C$44,"Paper condition",R_Scores!Q$5:Q$44,"&lt;"&amp;R_Scores!Q20)+0.5*COUNTIFS(R_Scores!$B$5:$B$44,2,R_Scores!$C$5:$C$44,"Paper condition",R_Scores!Q$5:Q$44,R_Scores!Q20),"")</f>
        <v/>
      </c>
      <c r="EY20" s="1" t="str">
        <f aca="false">IF(AND(R_Scores!$B20=2,OR(R_Scores!$C20="Tool condition",R_Scores!$C20="Paper condition"),ISNUMBER(R_Scores!Q20)),(COUNTIFS(R_Scores!$B$5:$B$44,2,R_Scores!$C$5:$C$44,"Tool condition",R_Scores!Q$5:Q$44,R_Scores!Q20)+COUNTIFS(R_Scores!$B$5:$B$44,2,R_Scores!$C$5:$C$44,"Paper condition",R_Scores!Q$5:Q$44,R_Scores!Q20))^2-1,"")</f>
        <v/>
      </c>
      <c r="EZ20" s="1" t="n">
        <f aca="false">IF(ISNUMBER(R_Scores!Q20),R_Scores!Q20^2,"")</f>
        <v>9</v>
      </c>
      <c r="FA20" s="1" t="str">
        <f aca="false">IF(AND(R_Scores!$B20=1,R_Scores!$C20="Tool condition",ISNUMBER(R_Scores!R20)),COUNTIFS(R_Scores!$B$5:$B$44,1,R_Scores!$C$5:$C$44,"Paper condition",R_Scores!R$5:R$44,"&lt;"&amp;R_Scores!R20)+0.5*COUNTIFS(R_Scores!$B$5:$B$44,1,R_Scores!$C$5:$C$44,"Paper condition",R_Scores!R$5:R$44,R_Scores!R20),"")</f>
        <v/>
      </c>
      <c r="FB20" s="1" t="n">
        <f aca="false">IF(AND(R_Scores!$B20=1,OR(R_Scores!$C20="Tool condition",R_Scores!$C20="Paper condition"),ISNUMBER(R_Scores!R20)),(COUNTIFS(R_Scores!$B$5:$B$44,1,R_Scores!$C$5:$C$44,"Tool condition",R_Scores!R$5:R$44,R_Scores!R20)+COUNTIFS(R_Scores!$B$5:$B$44,1,R_Scores!$C$5:$C$44,"Paper condition",R_Scores!R$5:R$44,R_Scores!R20))^2-1,"")</f>
        <v>0</v>
      </c>
      <c r="FC20" s="1" t="str">
        <f aca="false">IF(AND(R_Scores!$B20=2,R_Scores!$C20="Tool condition",ISNUMBER(R_Scores!R20)),COUNTIFS(R_Scores!$B$5:$B$44,2,R_Scores!$C$5:$C$44,"Paper condition",R_Scores!R$5:R$44,"&lt;"&amp;R_Scores!R20)+0.5*COUNTIFS(R_Scores!$B$5:$B$44,2,R_Scores!$C$5:$C$44,"Paper condition",R_Scores!R$5:R$44,R_Scores!R20),"")</f>
        <v/>
      </c>
      <c r="FD20" s="1" t="str">
        <f aca="false">IF(AND(R_Scores!$B20=2,OR(R_Scores!$C20="Tool condition",R_Scores!$C20="Paper condition"),ISNUMBER(R_Scores!R20)),(COUNTIFS(R_Scores!$B$5:$B$44,2,R_Scores!$C$5:$C$44,"Tool condition",R_Scores!R$5:R$44,R_Scores!R20)+COUNTIFS(R_Scores!$B$5:$B$44,2,R_Scores!$C$5:$C$44,"Paper condition",R_Scores!R$5:R$44,R_Scores!R20))^2-1,"")</f>
        <v/>
      </c>
      <c r="FE20" s="1" t="n">
        <f aca="false">IF(ISNUMBER(R_Scores!R20),R_Scores!R20^2,"")</f>
        <v>484</v>
      </c>
    </row>
    <row r="21" customFormat="false" ht="14.25" hidden="false" customHeight="true" outlineLevel="0" collapsed="false">
      <c r="B21" s="1" t="str">
        <f aca="false">IF(AND(Scores!$B21=1,Scores!$C21="Tool condition",ISNUMBER(Scores!E21)),COUNTIFS(Scores!$B$5:$B$44,1,Scores!$C$5:$C$44,"Paper condition",Scores!E$5:E$44,"&lt;"&amp;Scores!E21)+0.5*COUNTIFS(Scores!$B$5:$B$44,1,Scores!$C$5:$C$44,"Paper condition",Scores!E$5:E$44,Scores!E21),"")</f>
        <v/>
      </c>
      <c r="C21" s="1" t="n">
        <f aca="false">IF(AND(Scores!$B21=1,OR(Scores!$C21="Tool condition",Scores!$C21="Paper condition"),ISNUMBER(Scores!E21)),(COUNTIFS(Scores!$B$5:$B$44,1,Scores!$C$5:$C$44,"Tool condition",Scores!E$5:E$44,Scores!E21)+COUNTIFS(Scores!$B$5:$B$44,1,Scores!$C$5:$C$44,"Paper condition",Scores!E$5:E$44,Scores!E21))^2-1,"")</f>
        <v>0</v>
      </c>
      <c r="D21" s="1" t="str">
        <f aca="false">IF(AND(Scores!$B21=2,Scores!$C21="Tool condition",ISNUMBER(Scores!E21)),COUNTIFS(Scores!$B$5:$B$44,2,Scores!$C$5:$C$44,"Paper condition",Scores!E$5:E$44,"&lt;"&amp;Scores!E21)+0.5*COUNTIFS(Scores!$B$5:$B$44,2,Scores!$C$5:$C$44,"Paper condition",Scores!E$5:E$44,Scores!E21),"")</f>
        <v/>
      </c>
      <c r="E21" s="1" t="str">
        <f aca="false">IF(AND(Scores!$B21=2,OR(Scores!$C21="Tool condition",Scores!$C21="Paper condition"),ISNUMBER(Scores!E21)),(COUNTIFS(Scores!$B$5:$B$44,2,Scores!$C$5:$C$44,"Tool condition",Scores!E$5:E$44,Scores!E21)+COUNTIFS(Scores!$B$5:$B$44,2,Scores!$C$5:$C$44,"Paper condition",Scores!E$5:E$44,Scores!E21))^2-1,"")</f>
        <v/>
      </c>
      <c r="F21" s="1" t="n">
        <f aca="false">IF(ISNUMBER(Scores!E21),Scores!E21^2,"")</f>
        <v>0</v>
      </c>
      <c r="G21" s="1" t="str">
        <f aca="false">IF(AND(Scores!$B21=1,Scores!$C21="Tool condition",ISNUMBER(Scores!F21)),COUNTIFS(Scores!$B$5:$B$44,1,Scores!$C$5:$C$44,"Paper condition",Scores!F$5:F$44,"&lt;"&amp;Scores!F21)+0.5*COUNTIFS(Scores!$B$5:$B$44,1,Scores!$C$5:$C$44,"Paper condition",Scores!F$5:F$44,Scores!F21),"")</f>
        <v/>
      </c>
      <c r="H21" s="1" t="n">
        <f aca="false">IF(AND(Scores!$B21=1,OR(Scores!$C21="Tool condition",Scores!$C21="Paper condition"),ISNUMBER(Scores!F21)),(COUNTIFS(Scores!$B$5:$B$44,1,Scores!$C$5:$C$44,"Tool condition",Scores!F$5:F$44,Scores!F21)+COUNTIFS(Scores!$B$5:$B$44,1,Scores!$C$5:$C$44,"Paper condition",Scores!F$5:F$44,Scores!F21))^2-1,"")</f>
        <v>24</v>
      </c>
      <c r="I21" s="1" t="str">
        <f aca="false">IF(AND(Scores!$B21=2,Scores!$C21="Tool condition",ISNUMBER(Scores!F21)),COUNTIFS(Scores!$B$5:$B$44,2,Scores!$C$5:$C$44,"Paper condition",Scores!F$5:F$44,"&lt;"&amp;Scores!F21)+0.5*COUNTIFS(Scores!$B$5:$B$44,2,Scores!$C$5:$C$44,"Paper condition",Scores!F$5:F$44,Scores!F21),"")</f>
        <v/>
      </c>
      <c r="J21" s="1" t="str">
        <f aca="false">IF(AND(Scores!$B21=2,OR(Scores!$C21="Tool condition",Scores!$C21="Paper condition"),ISNUMBER(Scores!F21)),(COUNTIFS(Scores!$B$5:$B$44,2,Scores!$C$5:$C$44,"Tool condition",Scores!F$5:F$44,Scores!F21)+COUNTIFS(Scores!$B$5:$B$44,2,Scores!$C$5:$C$44,"Paper condition",Scores!F$5:F$44,Scores!F21))^2-1,"")</f>
        <v/>
      </c>
      <c r="K21" s="1" t="n">
        <f aca="false">IF(ISNUMBER(Scores!F21),Scores!F21^2,"")</f>
        <v>1</v>
      </c>
      <c r="L21" s="1" t="str">
        <f aca="false">IF(AND(Scores!$B21=1,Scores!$C21="Tool condition",ISNUMBER(Scores!G21)),COUNTIFS(Scores!$B$5:$B$44,1,Scores!$C$5:$C$44,"Paper condition",Scores!G$5:G$44,"&lt;"&amp;Scores!G21)+0.5*COUNTIFS(Scores!$B$5:$B$44,1,Scores!$C$5:$C$44,"Paper condition",Scores!G$5:G$44,Scores!G21),"")</f>
        <v/>
      </c>
      <c r="M21" s="1" t="n">
        <f aca="false">IF(AND(Scores!$B21=1,OR(Scores!$C21="Tool condition",Scores!$C21="Paper condition"),ISNUMBER(Scores!G21)),(COUNTIFS(Scores!$B$5:$B$44,1,Scores!$C$5:$C$44,"Tool condition",Scores!G$5:G$44,Scores!G21)+COUNTIFS(Scores!$B$5:$B$44,1,Scores!$C$5:$C$44,"Paper condition",Scores!G$5:G$44,Scores!G21))^2-1,"")</f>
        <v>8</v>
      </c>
      <c r="N21" s="1" t="str">
        <f aca="false">IF(AND(Scores!$B21=2,Scores!$C21="Tool condition",ISNUMBER(Scores!G21)),COUNTIFS(Scores!$B$5:$B$44,2,Scores!$C$5:$C$44,"Paper condition",Scores!G$5:G$44,"&lt;"&amp;Scores!G21)+0.5*COUNTIFS(Scores!$B$5:$B$44,2,Scores!$C$5:$C$44,"Paper condition",Scores!G$5:G$44,Scores!G21),"")</f>
        <v/>
      </c>
      <c r="O21" s="1" t="str">
        <f aca="false">IF(AND(Scores!$B21=2,OR(Scores!$C21="Tool condition",Scores!$C21="Paper condition"),ISNUMBER(Scores!G21)),(COUNTIFS(Scores!$B$5:$B$44,2,Scores!$C$5:$C$44,"Tool condition",Scores!G$5:G$44,Scores!G21)+COUNTIFS(Scores!$B$5:$B$44,2,Scores!$C$5:$C$44,"Paper condition",Scores!G$5:G$44,Scores!G21))^2-1,"")</f>
        <v/>
      </c>
      <c r="P21" s="1" t="n">
        <f aca="false">IF(ISNUMBER(Scores!G21),Scores!G21^2,"")</f>
        <v>1</v>
      </c>
      <c r="Q21" s="1" t="str">
        <f aca="false">IF(AND(Scores!$B21=1,Scores!$C21="Tool condition",ISNUMBER(Scores!H21)),COUNTIFS(Scores!$B$5:$B$44,1,Scores!$C$5:$C$44,"Paper condition",Scores!H$5:H$44,"&lt;"&amp;Scores!H21)+0.5*COUNTIFS(Scores!$B$5:$B$44,1,Scores!$C$5:$C$44,"Paper condition",Scores!H$5:H$44,Scores!H21),"")</f>
        <v/>
      </c>
      <c r="R21" s="1" t="n">
        <f aca="false">IF(AND(Scores!$B21=1,OR(Scores!$C21="Tool condition",Scores!$C21="Paper condition"),ISNUMBER(Scores!H21)),(COUNTIFS(Scores!$B$5:$B$44,1,Scores!$C$5:$C$44,"Tool condition",Scores!H$5:H$44,Scores!H21)+COUNTIFS(Scores!$B$5:$B$44,1,Scores!$C$5:$C$44,"Paper condition",Scores!H$5:H$44,Scores!H21))^2-1,"")</f>
        <v>15</v>
      </c>
      <c r="S21" s="1" t="str">
        <f aca="false">IF(AND(Scores!$B21=2,Scores!$C21="Tool condition",ISNUMBER(Scores!H21)),COUNTIFS(Scores!$B$5:$B$44,2,Scores!$C$5:$C$44,"Paper condition",Scores!H$5:H$44,"&lt;"&amp;Scores!H21)+0.5*COUNTIFS(Scores!$B$5:$B$44,2,Scores!$C$5:$C$44,"Paper condition",Scores!H$5:H$44,Scores!H21),"")</f>
        <v/>
      </c>
      <c r="T21" s="1" t="str">
        <f aca="false">IF(AND(Scores!$B21=2,OR(Scores!$C21="Tool condition",Scores!$C21="Paper condition"),ISNUMBER(Scores!H21)),(COUNTIFS(Scores!$B$5:$B$44,2,Scores!$C$5:$C$44,"Tool condition",Scores!H$5:H$44,Scores!H21)+COUNTIFS(Scores!$B$5:$B$44,2,Scores!$C$5:$C$44,"Paper condition",Scores!H$5:H$44,Scores!H21))^2-1,"")</f>
        <v/>
      </c>
      <c r="U21" s="1" t="n">
        <f aca="false">IF(ISNUMBER(Scores!H21),Scores!H21^2,"")</f>
        <v>1</v>
      </c>
      <c r="V21" s="1" t="str">
        <f aca="false">IF(AND(Scores!$B21=1,Scores!$C21="Tool condition",ISNUMBER(Scores!I21)),COUNTIFS(Scores!$B$5:$B$44,1,Scores!$C$5:$C$44,"Paper condition",Scores!I$5:I$44,"&lt;"&amp;Scores!I21)+0.5*COUNTIFS(Scores!$B$5:$B$44,1,Scores!$C$5:$C$44,"Paper condition",Scores!I$5:I$44,Scores!I21),"")</f>
        <v/>
      </c>
      <c r="W21" s="1" t="n">
        <f aca="false">IF(AND(Scores!$B21=1,OR(Scores!$C21="Tool condition",Scores!$C21="Paper condition"),ISNUMBER(Scores!I21)),(COUNTIFS(Scores!$B$5:$B$44,1,Scores!$C$5:$C$44,"Tool condition",Scores!I$5:I$44,Scores!I21)+COUNTIFS(Scores!$B$5:$B$44,1,Scores!$C$5:$C$44,"Paper condition",Scores!I$5:I$44,Scores!I21))^2-1,"")</f>
        <v>3</v>
      </c>
      <c r="X21" s="1" t="str">
        <f aca="false">IF(AND(Scores!$B21=2,Scores!$C21="Tool condition",ISNUMBER(Scores!I21)),COUNTIFS(Scores!$B$5:$B$44,2,Scores!$C$5:$C$44,"Paper condition",Scores!I$5:I$44,"&lt;"&amp;Scores!I21)+0.5*COUNTIFS(Scores!$B$5:$B$44,2,Scores!$C$5:$C$44,"Paper condition",Scores!I$5:I$44,Scores!I21),"")</f>
        <v/>
      </c>
      <c r="Y21" s="1" t="str">
        <f aca="false">IF(AND(Scores!$B21=2,OR(Scores!$C21="Tool condition",Scores!$C21="Paper condition"),ISNUMBER(Scores!I21)),(COUNTIFS(Scores!$B$5:$B$44,2,Scores!$C$5:$C$44,"Tool condition",Scores!I$5:I$44,Scores!I21)+COUNTIFS(Scores!$B$5:$B$44,2,Scores!$C$5:$C$44,"Paper condition",Scores!I$5:I$44,Scores!I21))^2-1,"")</f>
        <v/>
      </c>
      <c r="Z21" s="1" t="n">
        <f aca="false">IF(ISNUMBER(Scores!I21),Scores!I21^2,"")</f>
        <v>0</v>
      </c>
      <c r="AA21" s="1" t="str">
        <f aca="false">IF(AND(Scores!$B21=1,Scores!$C21="Tool condition",ISNUMBER(Scores!J21)),COUNTIFS(Scores!$B$5:$B$44,1,Scores!$C$5:$C$44,"Paper condition",Scores!J$5:J$44,"&lt;"&amp;Scores!J21)+0.5*COUNTIFS(Scores!$B$5:$B$44,1,Scores!$C$5:$C$44,"Paper condition",Scores!J$5:J$44,Scores!J21),"")</f>
        <v/>
      </c>
      <c r="AB21" s="1" t="n">
        <f aca="false">IF(AND(Scores!$B21=1,OR(Scores!$C21="Tool condition",Scores!$C21="Paper condition"),ISNUMBER(Scores!J21)),(COUNTIFS(Scores!$B$5:$B$44,1,Scores!$C$5:$C$44,"Tool condition",Scores!J$5:J$44,Scores!J21)+COUNTIFS(Scores!$B$5:$B$44,1,Scores!$C$5:$C$44,"Paper condition",Scores!J$5:J$44,Scores!J21))^2-1,"")</f>
        <v>15</v>
      </c>
      <c r="AC21" s="1" t="str">
        <f aca="false">IF(AND(Scores!$B21=2,Scores!$C21="Tool condition",ISNUMBER(Scores!J21)),COUNTIFS(Scores!$B$5:$B$44,2,Scores!$C$5:$C$44,"Paper condition",Scores!J$5:J$44,"&lt;"&amp;Scores!J21)+0.5*COUNTIFS(Scores!$B$5:$B$44,2,Scores!$C$5:$C$44,"Paper condition",Scores!J$5:J$44,Scores!J21),"")</f>
        <v/>
      </c>
      <c r="AD21" s="1" t="str">
        <f aca="false">IF(AND(Scores!$B21=2,OR(Scores!$C21="Tool condition",Scores!$C21="Paper condition"),ISNUMBER(Scores!J21)),(COUNTIFS(Scores!$B$5:$B$44,2,Scores!$C$5:$C$44,"Tool condition",Scores!J$5:J$44,Scores!J21)+COUNTIFS(Scores!$B$5:$B$44,2,Scores!$C$5:$C$44,"Paper condition",Scores!J$5:J$44,Scores!J21))^2-1,"")</f>
        <v/>
      </c>
      <c r="AE21" s="1" t="n">
        <f aca="false">IF(ISNUMBER(Scores!J21),Scores!J21^2,"")</f>
        <v>1</v>
      </c>
      <c r="AF21" s="1" t="str">
        <f aca="false">IF(AND(Scores!$B21=1,Scores!$C21="Tool condition",ISNUMBER(Scores!K21)),COUNTIFS(Scores!$B$5:$B$44,1,Scores!$C$5:$C$44,"Paper condition",Scores!K$5:K$44,"&lt;"&amp;Scores!K21)+0.5*COUNTIFS(Scores!$B$5:$B$44,1,Scores!$C$5:$C$44,"Paper condition",Scores!K$5:K$44,Scores!K21),"")</f>
        <v/>
      </c>
      <c r="AG21" s="1" t="n">
        <f aca="false">IF(AND(Scores!$B21=1,OR(Scores!$C21="Tool condition",Scores!$C21="Paper condition"),ISNUMBER(Scores!K21)),(COUNTIFS(Scores!$B$5:$B$44,1,Scores!$C$5:$C$44,"Tool condition",Scores!K$5:K$44,Scores!K21)+COUNTIFS(Scores!$B$5:$B$44,1,Scores!$C$5:$C$44,"Paper condition",Scores!K$5:K$44,Scores!K21))^2-1,"")</f>
        <v>15</v>
      </c>
      <c r="AH21" s="1" t="str">
        <f aca="false">IF(AND(Scores!$B21=2,Scores!$C21="Tool condition",ISNUMBER(Scores!K21)),COUNTIFS(Scores!$B$5:$B$44,2,Scores!$C$5:$C$44,"Paper condition",Scores!K$5:K$44,"&lt;"&amp;Scores!K21)+0.5*COUNTIFS(Scores!$B$5:$B$44,2,Scores!$C$5:$C$44,"Paper condition",Scores!K$5:K$44,Scores!K21),"")</f>
        <v/>
      </c>
      <c r="AI21" s="1" t="str">
        <f aca="false">IF(AND(Scores!$B21=2,OR(Scores!$C21="Tool condition",Scores!$C21="Paper condition"),ISNUMBER(Scores!K21)),(COUNTIFS(Scores!$B$5:$B$44,2,Scores!$C$5:$C$44,"Tool condition",Scores!K$5:K$44,Scores!K21)+COUNTIFS(Scores!$B$5:$B$44,2,Scores!$C$5:$C$44,"Paper condition",Scores!K$5:K$44,Scores!K21))^2-1,"")</f>
        <v/>
      </c>
      <c r="AJ21" s="1" t="n">
        <f aca="false">IF(ISNUMBER(Scores!K21),Scores!K21^2,"")</f>
        <v>1</v>
      </c>
      <c r="AK21" s="1" t="str">
        <f aca="false">IF(AND(Scores!$B21=1,Scores!$C21="Tool condition",ISNUMBER(Scores!L21)),COUNTIFS(Scores!$B$5:$B$44,1,Scores!$C$5:$C$44,"Paper condition",Scores!L$5:L$44,"&lt;"&amp;Scores!L21)+0.5*COUNTIFS(Scores!$B$5:$B$44,1,Scores!$C$5:$C$44,"Paper condition",Scores!L$5:L$44,Scores!L21),"")</f>
        <v/>
      </c>
      <c r="AL21" s="1" t="n">
        <f aca="false">IF(AND(Scores!$B21=1,OR(Scores!$C21="Tool condition",Scores!$C21="Paper condition"),ISNUMBER(Scores!L21)),(COUNTIFS(Scores!$B$5:$B$44,1,Scores!$C$5:$C$44,"Tool condition",Scores!L$5:L$44,Scores!L21)+COUNTIFS(Scores!$B$5:$B$44,1,Scores!$C$5:$C$44,"Paper condition",Scores!L$5:L$44,Scores!L21))^2-1,"")</f>
        <v>288</v>
      </c>
      <c r="AM21" s="1" t="str">
        <f aca="false">IF(AND(Scores!$B21=2,Scores!$C21="Tool condition",ISNUMBER(Scores!L21)),COUNTIFS(Scores!$B$5:$B$44,2,Scores!$C$5:$C$44,"Paper condition",Scores!L$5:L$44,"&lt;"&amp;Scores!L21)+0.5*COUNTIFS(Scores!$B$5:$B$44,2,Scores!$C$5:$C$44,"Paper condition",Scores!L$5:L$44,Scores!L21),"")</f>
        <v/>
      </c>
      <c r="AN21" s="1" t="str">
        <f aca="false">IF(AND(Scores!$B21=2,OR(Scores!$C21="Tool condition",Scores!$C21="Paper condition"),ISNUMBER(Scores!L21)),(COUNTIFS(Scores!$B$5:$B$44,2,Scores!$C$5:$C$44,"Tool condition",Scores!L$5:L$44,Scores!L21)+COUNTIFS(Scores!$B$5:$B$44,2,Scores!$C$5:$C$44,"Paper condition",Scores!L$5:L$44,Scores!L21))^2-1,"")</f>
        <v/>
      </c>
      <c r="AO21" s="1" t="n">
        <f aca="false">IF(ISNUMBER(Scores!L21),Scores!L21^2,"")</f>
        <v>4</v>
      </c>
      <c r="AP21" s="1" t="str">
        <f aca="false">IF(AND(Scores!$B21=1,Scores!$C21="Tool condition",ISNUMBER(Scores!M21)),COUNTIFS(Scores!$B$5:$B$44,1,Scores!$C$5:$C$44,"Paper condition",Scores!M$5:M$44,"&lt;"&amp;Scores!M21)+0.5*COUNTIFS(Scores!$B$5:$B$44,1,Scores!$C$5:$C$44,"Paper condition",Scores!M$5:M$44,Scores!M21),"")</f>
        <v/>
      </c>
      <c r="AQ21" s="1" t="n">
        <f aca="false">IF(AND(Scores!$B21=1,OR(Scores!$C21="Tool condition",Scores!$C21="Paper condition"),ISNUMBER(Scores!M21)),(COUNTIFS(Scores!$B$5:$B$44,1,Scores!$C$5:$C$44,"Tool condition",Scores!M$5:M$44,Scores!M21)+COUNTIFS(Scores!$B$5:$B$44,1,Scores!$C$5:$C$44,"Paper condition",Scores!M$5:M$44,Scores!M21))^2-1,"")</f>
        <v>8</v>
      </c>
      <c r="AR21" s="1" t="str">
        <f aca="false">IF(AND(Scores!$B21=2,Scores!$C21="Tool condition",ISNUMBER(Scores!M21)),COUNTIFS(Scores!$B$5:$B$44,2,Scores!$C$5:$C$44,"Paper condition",Scores!M$5:M$44,"&lt;"&amp;Scores!M21)+0.5*COUNTIFS(Scores!$B$5:$B$44,2,Scores!$C$5:$C$44,"Paper condition",Scores!M$5:M$44,Scores!M21),"")</f>
        <v/>
      </c>
      <c r="AS21" s="1" t="str">
        <f aca="false">IF(AND(Scores!$B21=2,OR(Scores!$C21="Tool condition",Scores!$C21="Paper condition"),ISNUMBER(Scores!M21)),(COUNTIFS(Scores!$B$5:$B$44,2,Scores!$C$5:$C$44,"Tool condition",Scores!M$5:M$44,Scores!M21)+COUNTIFS(Scores!$B$5:$B$44,2,Scores!$C$5:$C$44,"Paper condition",Scores!M$5:M$44,Scores!M21))^2-1,"")</f>
        <v/>
      </c>
      <c r="AT21" s="1" t="n">
        <f aca="false">IF(ISNUMBER(Scores!M21),Scores!M21^2,"")</f>
        <v>1</v>
      </c>
      <c r="AU21" s="1" t="str">
        <f aca="false">IF(AND(Scores!$B21=1,Scores!$C21="Tool condition",ISNUMBER(Scores!N21)),COUNTIFS(Scores!$B$5:$B$44,1,Scores!$C$5:$C$44,"Paper condition",Scores!N$5:N$44,"&lt;"&amp;Scores!N21)+0.5*COUNTIFS(Scores!$B$5:$B$44,1,Scores!$C$5:$C$44,"Paper condition",Scores!N$5:N$44,Scores!N21),"")</f>
        <v/>
      </c>
      <c r="AV21" s="1" t="n">
        <f aca="false">IF(AND(Scores!$B21=1,OR(Scores!$C21="Tool condition",Scores!$C21="Paper condition"),ISNUMBER(Scores!N21)),(COUNTIFS(Scores!$B$5:$B$44,1,Scores!$C$5:$C$44,"Tool condition",Scores!N$5:N$44,Scores!N21)+COUNTIFS(Scores!$B$5:$B$44,1,Scores!$C$5:$C$44,"Paper condition",Scores!N$5:N$44,Scores!N21))^2-1,"")</f>
        <v>3</v>
      </c>
      <c r="AW21" s="1" t="str">
        <f aca="false">IF(AND(Scores!$B21=2,Scores!$C21="Tool condition",ISNUMBER(Scores!N21)),COUNTIFS(Scores!$B$5:$B$44,2,Scores!$C$5:$C$44,"Paper condition",Scores!N$5:N$44,"&lt;"&amp;Scores!N21)+0.5*COUNTIFS(Scores!$B$5:$B$44,2,Scores!$C$5:$C$44,"Paper condition",Scores!N$5:N$44,Scores!N21),"")</f>
        <v/>
      </c>
      <c r="AX21" s="1" t="str">
        <f aca="false">IF(AND(Scores!$B21=2,OR(Scores!$C21="Tool condition",Scores!$C21="Paper condition"),ISNUMBER(Scores!N21)),(COUNTIFS(Scores!$B$5:$B$44,2,Scores!$C$5:$C$44,"Tool condition",Scores!N$5:N$44,Scores!N21)+COUNTIFS(Scores!$B$5:$B$44,2,Scores!$C$5:$C$44,"Paper condition",Scores!N$5:N$44,Scores!N21))^2-1,"")</f>
        <v/>
      </c>
      <c r="AY21" s="1" t="n">
        <f aca="false">IF(ISNUMBER(Scores!N21),Scores!N21^2,"")</f>
        <v>0</v>
      </c>
      <c r="AZ21" s="1" t="str">
        <f aca="false">IF(AND(Scores!$B21=1,Scores!$C21="Tool condition",ISNUMBER(Scores!O21)),COUNTIFS(Scores!$B$5:$B$44,1,Scores!$C$5:$C$44,"Paper condition",Scores!O$5:O$44,"&lt;"&amp;Scores!O21)+0.5*COUNTIFS(Scores!$B$5:$B$44,1,Scores!$C$5:$C$44,"Paper condition",Scores!O$5:O$44,Scores!O21),"")</f>
        <v/>
      </c>
      <c r="BA21" s="1" t="n">
        <f aca="false">IF(AND(Scores!$B21=1,OR(Scores!$C21="Tool condition",Scores!$C21="Paper condition"),ISNUMBER(Scores!O21)),(COUNTIFS(Scores!$B$5:$B$44,1,Scores!$C$5:$C$44,"Tool condition",Scores!O$5:O$44,Scores!O21)+COUNTIFS(Scores!$B$5:$B$44,1,Scores!$C$5:$C$44,"Paper condition",Scores!O$5:O$44,Scores!O21))^2-1,"")</f>
        <v>15</v>
      </c>
      <c r="BB21" s="1" t="str">
        <f aca="false">IF(AND(Scores!$B21=2,Scores!$C21="Tool condition",ISNUMBER(Scores!O21)),COUNTIFS(Scores!$B$5:$B$44,2,Scores!$C$5:$C$44,"Paper condition",Scores!O$5:O$44,"&lt;"&amp;Scores!O21)+0.5*COUNTIFS(Scores!$B$5:$B$44,2,Scores!$C$5:$C$44,"Paper condition",Scores!O$5:O$44,Scores!O21),"")</f>
        <v/>
      </c>
      <c r="BC21" s="1" t="str">
        <f aca="false">IF(AND(Scores!$B21=2,OR(Scores!$C21="Tool condition",Scores!$C21="Paper condition"),ISNUMBER(Scores!O21)),(COUNTIFS(Scores!$B$5:$B$44,2,Scores!$C$5:$C$44,"Tool condition",Scores!O$5:O$44,Scores!O21)+COUNTIFS(Scores!$B$5:$B$44,2,Scores!$C$5:$C$44,"Paper condition",Scores!O$5:O$44,Scores!O21))^2-1,"")</f>
        <v/>
      </c>
      <c r="BD21" s="1" t="n">
        <f aca="false">IF(ISNUMBER(Scores!O21),Scores!O21^2,"")</f>
        <v>1</v>
      </c>
      <c r="BE21" s="1" t="str">
        <f aca="false">IF(AND(Scores!$B21=1,Scores!$C21="Tool condition",ISNUMBER(Scores!P21)),COUNTIFS(Scores!$B$5:$B$44,1,Scores!$C$5:$C$44,"Paper condition",Scores!P$5:P$44,"&lt;"&amp;Scores!P21)+0.5*COUNTIFS(Scores!$B$5:$B$44,1,Scores!$C$5:$C$44,"Paper condition",Scores!P$5:P$44,Scores!P21),"")</f>
        <v/>
      </c>
      <c r="BF21" s="1" t="n">
        <f aca="false">IF(AND(Scores!$B21=1,OR(Scores!$C21="Tool condition",Scores!$C21="Paper condition"),ISNUMBER(Scores!P21)),(COUNTIFS(Scores!$B$5:$B$44,1,Scores!$C$5:$C$44,"Tool condition",Scores!P$5:P$44,Scores!P21)+COUNTIFS(Scores!$B$5:$B$44,1,Scores!$C$5:$C$44,"Paper condition",Scores!P$5:P$44,Scores!P21))^2-1,"")</f>
        <v>35</v>
      </c>
      <c r="BG21" s="1" t="str">
        <f aca="false">IF(AND(Scores!$B21=2,Scores!$C21="Tool condition",ISNUMBER(Scores!P21)),COUNTIFS(Scores!$B$5:$B$44,2,Scores!$C$5:$C$44,"Paper condition",Scores!P$5:P$44,"&lt;"&amp;Scores!P21)+0.5*COUNTIFS(Scores!$B$5:$B$44,2,Scores!$C$5:$C$44,"Paper condition",Scores!P$5:P$44,Scores!P21),"")</f>
        <v/>
      </c>
      <c r="BH21" s="1" t="str">
        <f aca="false">IF(AND(Scores!$B21=2,OR(Scores!$C21="Tool condition",Scores!$C21="Paper condition"),ISNUMBER(Scores!P21)),(COUNTIFS(Scores!$B$5:$B$44,2,Scores!$C$5:$C$44,"Tool condition",Scores!P$5:P$44,Scores!P21)+COUNTIFS(Scores!$B$5:$B$44,2,Scores!$C$5:$C$44,"Paper condition",Scores!P$5:P$44,Scores!P21))^2-1,"")</f>
        <v/>
      </c>
      <c r="BI21" s="1" t="n">
        <f aca="false">IF(ISNUMBER(Scores!P21),Scores!P21^2,"")</f>
        <v>1</v>
      </c>
      <c r="BJ21" s="1" t="str">
        <f aca="false">IF(AND(R_Scores!$B21=1,R_Scores!$C21="Tool condition",ISNUMBER(R_Scores!E21)),COUNTIFS(R_Scores!$B$5:$B$44,1,R_Scores!$C$5:$C$44,"Paper condition",R_Scores!E$5:E$44,"&lt;"&amp;R_Scores!E21)+0.5*COUNTIFS(R_Scores!$B$5:$B$44,1,R_Scores!$C$5:$C$44,"Paper condition",R_Scores!E$5:E$44,R_Scores!E21),"")</f>
        <v/>
      </c>
      <c r="BK21" s="1" t="n">
        <f aca="false">IF(AND(R_Scores!$B21=1,OR(R_Scores!$C21="Tool condition",R_Scores!$C21="Paper condition"),ISNUMBER(R_Scores!E21)),(COUNTIFS(R_Scores!$B$5:$B$44,1,R_Scores!$C$5:$C$44,"Tool condition",R_Scores!E$5:E$44,R_Scores!E21)+COUNTIFS(R_Scores!$B$5:$B$44,1,R_Scores!$C$5:$C$44,"Paper condition",R_Scores!E$5:E$44,R_Scores!E21))^2-1,"")</f>
        <v>24</v>
      </c>
      <c r="BL21" s="1" t="str">
        <f aca="false">IF(AND(R_Scores!$B21=2,R_Scores!$C21="Tool condition",ISNUMBER(R_Scores!E21)),COUNTIFS(R_Scores!$B$5:$B$44,2,R_Scores!$C$5:$C$44,"Paper condition",R_Scores!E$5:E$44,"&lt;"&amp;R_Scores!E21)+0.5*COUNTIFS(R_Scores!$B$5:$B$44,2,R_Scores!$C$5:$C$44,"Paper condition",R_Scores!E$5:E$44,R_Scores!E21),"")</f>
        <v/>
      </c>
      <c r="BM21" s="1" t="str">
        <f aca="false">IF(AND(R_Scores!$B21=2,OR(R_Scores!$C21="Tool condition",R_Scores!$C21="Paper condition"),ISNUMBER(R_Scores!E21)),(COUNTIFS(R_Scores!$B$5:$B$44,2,R_Scores!$C$5:$C$44,"Tool condition",R_Scores!E$5:E$44,R_Scores!E21)+COUNTIFS(R_Scores!$B$5:$B$44,2,R_Scores!$C$5:$C$44,"Paper condition",R_Scores!E$5:E$44,R_Scores!E21))^2-1,"")</f>
        <v/>
      </c>
      <c r="BN21" s="1" t="n">
        <f aca="false">IF(ISNUMBER(R_Scores!E21),R_Scores!E21^2,"")</f>
        <v>0</v>
      </c>
      <c r="BO21" s="1" t="str">
        <f aca="false">IF(AND(R_Scores!$B21=1,R_Scores!$C21="Tool condition",ISNUMBER(R_Scores!F21)),COUNTIFS(R_Scores!$B$5:$B$44,1,R_Scores!$C$5:$C$44,"Paper condition",R_Scores!F$5:F$44,"&lt;"&amp;R_Scores!F21)+0.5*COUNTIFS(R_Scores!$B$5:$B$44,1,R_Scores!$C$5:$C$44,"Paper condition",R_Scores!F$5:F$44,R_Scores!F21),"")</f>
        <v/>
      </c>
      <c r="BP21" s="1" t="n">
        <f aca="false">IF(AND(R_Scores!$B21=1,OR(R_Scores!$C21="Tool condition",R_Scores!$C21="Paper condition"),ISNUMBER(R_Scores!F21)),(COUNTIFS(R_Scores!$B$5:$B$44,1,R_Scores!$C$5:$C$44,"Tool condition",R_Scores!F$5:F$44,R_Scores!F21)+COUNTIFS(R_Scores!$B$5:$B$44,1,R_Scores!$C$5:$C$44,"Paper condition",R_Scores!F$5:F$44,R_Scores!F21))^2-1,"")</f>
        <v>35</v>
      </c>
      <c r="BQ21" s="1" t="str">
        <f aca="false">IF(AND(R_Scores!$B21=2,R_Scores!$C21="Tool condition",ISNUMBER(R_Scores!F21)),COUNTIFS(R_Scores!$B$5:$B$44,2,R_Scores!$C$5:$C$44,"Paper condition",R_Scores!F$5:F$44,"&lt;"&amp;R_Scores!F21)+0.5*COUNTIFS(R_Scores!$B$5:$B$44,2,R_Scores!$C$5:$C$44,"Paper condition",R_Scores!F$5:F$44,R_Scores!F21),"")</f>
        <v/>
      </c>
      <c r="BR21" s="1" t="str">
        <f aca="false">IF(AND(R_Scores!$B21=2,OR(R_Scores!$C21="Tool condition",R_Scores!$C21="Paper condition"),ISNUMBER(R_Scores!F21)),(COUNTIFS(R_Scores!$B$5:$B$44,2,R_Scores!$C$5:$C$44,"Tool condition",R_Scores!F$5:F$44,R_Scores!F21)+COUNTIFS(R_Scores!$B$5:$B$44,2,R_Scores!$C$5:$C$44,"Paper condition",R_Scores!F$5:F$44,R_Scores!F21))^2-1,"")</f>
        <v/>
      </c>
      <c r="BS21" s="1" t="n">
        <f aca="false">IF(ISNUMBER(R_Scores!F21),R_Scores!F21^2,"")</f>
        <v>0</v>
      </c>
      <c r="BT21" s="1" t="str">
        <f aca="false">IF(AND(R_Scores!$B21=1,R_Scores!$C21="Tool condition",ISNUMBER(R_Scores!G21)),COUNTIFS(R_Scores!$B$5:$B$44,1,R_Scores!$C$5:$C$44,"Paper condition",R_Scores!G$5:G$44,"&lt;"&amp;R_Scores!G21)+0.5*COUNTIFS(R_Scores!$B$5:$B$44,1,R_Scores!$C$5:$C$44,"Paper condition",R_Scores!G$5:G$44,R_Scores!G21),"")</f>
        <v/>
      </c>
      <c r="BU21" s="1" t="str">
        <f aca="false">IF(AND(R_Scores!$B21=1,OR(R_Scores!$C21="Tool condition",R_Scores!$C21="Paper condition"),ISNUMBER(R_Scores!G21)),(COUNTIFS(R_Scores!$B$5:$B$44,1,R_Scores!$C$5:$C$44,"Tool condition",R_Scores!G$5:G$44,R_Scores!G21)+COUNTIFS(R_Scores!$B$5:$B$44,1,R_Scores!$C$5:$C$44,"Paper condition",R_Scores!G$5:G$44,R_Scores!G21))^2-1,"")</f>
        <v/>
      </c>
      <c r="BV21" s="1" t="str">
        <f aca="false">IF(AND(R_Scores!$B21=2,R_Scores!$C21="Tool condition",ISNUMBER(R_Scores!G21)),COUNTIFS(R_Scores!$B$5:$B$44,2,R_Scores!$C$5:$C$44,"Paper condition",R_Scores!G$5:G$44,"&lt;"&amp;R_Scores!G21)+0.5*COUNTIFS(R_Scores!$B$5:$B$44,2,R_Scores!$C$5:$C$44,"Paper condition",R_Scores!G$5:G$44,R_Scores!G21),"")</f>
        <v/>
      </c>
      <c r="BW21" s="1" t="str">
        <f aca="false">IF(AND(R_Scores!$B21=2,OR(R_Scores!$C21="Tool condition",R_Scores!$C21="Paper condition"),ISNUMBER(R_Scores!G21)),(COUNTIFS(R_Scores!$B$5:$B$44,2,R_Scores!$C$5:$C$44,"Tool condition",R_Scores!G$5:G$44,R_Scores!G21)+COUNTIFS(R_Scores!$B$5:$B$44,2,R_Scores!$C$5:$C$44,"Paper condition",R_Scores!G$5:G$44,R_Scores!G21))^2-1,"")</f>
        <v/>
      </c>
      <c r="BX21" s="1" t="str">
        <f aca="false">IF(ISNUMBER(R_Scores!G21),R_Scores!G21^2,"")</f>
        <v/>
      </c>
      <c r="BY21" s="1" t="str">
        <f aca="false">IF(AND(R_Scores!$B21=1,R_Scores!$C21="Tool condition",ISNUMBER(R_Scores!H21)),COUNTIFS(R_Scores!$B$5:$B$44,1,R_Scores!$C$5:$C$44,"Paper condition",R_Scores!H$5:H$44,"&lt;"&amp;R_Scores!H21)+0.5*COUNTIFS(R_Scores!$B$5:$B$44,1,R_Scores!$C$5:$C$44,"Paper condition",R_Scores!H$5:H$44,R_Scores!H21),"")</f>
        <v/>
      </c>
      <c r="BZ21" s="1" t="str">
        <f aca="false">IF(AND(R_Scores!$B21=1,OR(R_Scores!$C21="Tool condition",R_Scores!$C21="Paper condition"),ISNUMBER(R_Scores!H21)),(COUNTIFS(R_Scores!$B$5:$B$44,1,R_Scores!$C$5:$C$44,"Tool condition",R_Scores!H$5:H$44,R_Scores!H21)+COUNTIFS(R_Scores!$B$5:$B$44,1,R_Scores!$C$5:$C$44,"Paper condition",R_Scores!H$5:H$44,R_Scores!H21))^2-1,"")</f>
        <v/>
      </c>
      <c r="CA21" s="1" t="str">
        <f aca="false">IF(AND(R_Scores!$B21=2,R_Scores!$C21="Tool condition",ISNUMBER(R_Scores!H21)),COUNTIFS(R_Scores!$B$5:$B$44,2,R_Scores!$C$5:$C$44,"Paper condition",R_Scores!H$5:H$44,"&lt;"&amp;R_Scores!H21)+0.5*COUNTIFS(R_Scores!$B$5:$B$44,2,R_Scores!$C$5:$C$44,"Paper condition",R_Scores!H$5:H$44,R_Scores!H21),"")</f>
        <v/>
      </c>
      <c r="CB21" s="1" t="str">
        <f aca="false">IF(AND(R_Scores!$B21=2,OR(R_Scores!$C21="Tool condition",R_Scores!$C21="Paper condition"),ISNUMBER(R_Scores!H21)),(COUNTIFS(R_Scores!$B$5:$B$44,2,R_Scores!$C$5:$C$44,"Tool condition",R_Scores!H$5:H$44,R_Scores!H21)+COUNTIFS(R_Scores!$B$5:$B$44,2,R_Scores!$C$5:$C$44,"Paper condition",R_Scores!H$5:H$44,R_Scores!H21))^2-1,"")</f>
        <v/>
      </c>
      <c r="CC21" s="1" t="str">
        <f aca="false">IF(ISNUMBER(R_Scores!H21),R_Scores!H21^2,"")</f>
        <v/>
      </c>
      <c r="CD21" s="1" t="str">
        <f aca="false">IF(AND(R_Scores!$B21=1,R_Scores!$C21="Tool condition",ISNUMBER(R_Scores!I21)),COUNTIFS(R_Scores!$B$5:$B$44,1,R_Scores!$C$5:$C$44,"Paper condition",R_Scores!I$5:I$44,"&lt;"&amp;R_Scores!I21)+0.5*COUNTIFS(R_Scores!$B$5:$B$44,1,R_Scores!$C$5:$C$44,"Paper condition",R_Scores!I$5:I$44,R_Scores!I21),"")</f>
        <v/>
      </c>
      <c r="CE21" s="1" t="n">
        <f aca="false">IF(AND(R_Scores!$B21=1,OR(R_Scores!$C21="Tool condition",R_Scores!$C21="Paper condition"),ISNUMBER(R_Scores!I21)),(COUNTIFS(R_Scores!$B$5:$B$44,1,R_Scores!$C$5:$C$44,"Tool condition",R_Scores!I$5:I$44,R_Scores!I21)+COUNTIFS(R_Scores!$B$5:$B$44,1,R_Scores!$C$5:$C$44,"Paper condition",R_Scores!I$5:I$44,R_Scores!I21))^2-1,"")</f>
        <v>48</v>
      </c>
      <c r="CF21" s="1" t="str">
        <f aca="false">IF(AND(R_Scores!$B21=2,R_Scores!$C21="Tool condition",ISNUMBER(R_Scores!I21)),COUNTIFS(R_Scores!$B$5:$B$44,2,R_Scores!$C$5:$C$44,"Paper condition",R_Scores!I$5:I$44,"&lt;"&amp;R_Scores!I21)+0.5*COUNTIFS(R_Scores!$B$5:$B$44,2,R_Scores!$C$5:$C$44,"Paper condition",R_Scores!I$5:I$44,R_Scores!I21),"")</f>
        <v/>
      </c>
      <c r="CG21" s="1" t="str">
        <f aca="false">IF(AND(R_Scores!$B21=2,OR(R_Scores!$C21="Tool condition",R_Scores!$C21="Paper condition"),ISNUMBER(R_Scores!I21)),(COUNTIFS(R_Scores!$B$5:$B$44,2,R_Scores!$C$5:$C$44,"Tool condition",R_Scores!I$5:I$44,R_Scores!I21)+COUNTIFS(R_Scores!$B$5:$B$44,2,R_Scores!$C$5:$C$44,"Paper condition",R_Scores!I$5:I$44,R_Scores!I21))^2-1,"")</f>
        <v/>
      </c>
      <c r="CH21" s="1" t="n">
        <f aca="false">IF(ISNUMBER(R_Scores!I21),R_Scores!I21^2,"")</f>
        <v>0</v>
      </c>
      <c r="CI21" s="1" t="str">
        <f aca="false">IF(AND(R_Scores!$B21=1,R_Scores!$C21="Tool condition",ISNUMBER(R_Scores!J21)),COUNTIFS(R_Scores!$B$5:$B$44,1,R_Scores!$C$5:$C$44,"Paper condition",R_Scores!J$5:J$44,"&lt;"&amp;R_Scores!J21)+0.5*COUNTIFS(R_Scores!$B$5:$B$44,1,R_Scores!$C$5:$C$44,"Paper condition",R_Scores!J$5:J$44,R_Scores!J21),"")</f>
        <v/>
      </c>
      <c r="CJ21" s="1" t="n">
        <f aca="false">IF(AND(R_Scores!$B21=1,OR(R_Scores!$C21="Tool condition",R_Scores!$C21="Paper condition"),ISNUMBER(R_Scores!J21)),(COUNTIFS(R_Scores!$B$5:$B$44,1,R_Scores!$C$5:$C$44,"Tool condition",R_Scores!J$5:J$44,R_Scores!J21)+COUNTIFS(R_Scores!$B$5:$B$44,1,R_Scores!$C$5:$C$44,"Paper condition",R_Scores!J$5:J$44,R_Scores!J21))^2-1,"")</f>
        <v>24</v>
      </c>
      <c r="CK21" s="1" t="str">
        <f aca="false">IF(AND(R_Scores!$B21=2,R_Scores!$C21="Tool condition",ISNUMBER(R_Scores!J21)),COUNTIFS(R_Scores!$B$5:$B$44,2,R_Scores!$C$5:$C$44,"Paper condition",R_Scores!J$5:J$44,"&lt;"&amp;R_Scores!J21)+0.5*COUNTIFS(R_Scores!$B$5:$B$44,2,R_Scores!$C$5:$C$44,"Paper condition",R_Scores!J$5:J$44,R_Scores!J21),"")</f>
        <v/>
      </c>
      <c r="CL21" s="1" t="str">
        <f aca="false">IF(AND(R_Scores!$B21=2,OR(R_Scores!$C21="Tool condition",R_Scores!$C21="Paper condition"),ISNUMBER(R_Scores!J21)),(COUNTIFS(R_Scores!$B$5:$B$44,2,R_Scores!$C$5:$C$44,"Tool condition",R_Scores!J$5:J$44,R_Scores!J21)+COUNTIFS(R_Scores!$B$5:$B$44,2,R_Scores!$C$5:$C$44,"Paper condition",R_Scores!J$5:J$44,R_Scores!J21))^2-1,"")</f>
        <v/>
      </c>
      <c r="CM21" s="1" t="n">
        <f aca="false">IF(ISNUMBER(R_Scores!J21),R_Scores!J21^2,"")</f>
        <v>0</v>
      </c>
      <c r="CN21" s="1" t="str">
        <f aca="false">IF(AND(R_Scores!$B21=1,R_Scores!$C21="Tool condition",ISNUMBER(R_Scores!K21)),COUNTIFS(R_Scores!$B$5:$B$44,1,R_Scores!$C$5:$C$44,"Paper condition",R_Scores!K$5:K$44,"&lt;"&amp;R_Scores!K21)+0.5*COUNTIFS(R_Scores!$B$5:$B$44,1,R_Scores!$C$5:$C$44,"Paper condition",R_Scores!K$5:K$44,R_Scores!K21),"")</f>
        <v/>
      </c>
      <c r="CO21" s="1" t="str">
        <f aca="false">IF(AND(R_Scores!$B21=1,OR(R_Scores!$C21="Tool condition",R_Scores!$C21="Paper condition"),ISNUMBER(R_Scores!K21)),(COUNTIFS(R_Scores!$B$5:$B$44,1,R_Scores!$C$5:$C$44,"Tool condition",R_Scores!K$5:K$44,R_Scores!K21)+COUNTIFS(R_Scores!$B$5:$B$44,1,R_Scores!$C$5:$C$44,"Paper condition",R_Scores!K$5:K$44,R_Scores!K21))^2-1,"")</f>
        <v/>
      </c>
      <c r="CP21" s="1" t="str">
        <f aca="false">IF(AND(R_Scores!$B21=2,R_Scores!$C21="Tool condition",ISNUMBER(R_Scores!K21)),COUNTIFS(R_Scores!$B$5:$B$44,2,R_Scores!$C$5:$C$44,"Paper condition",R_Scores!K$5:K$44,"&lt;"&amp;R_Scores!K21)+0.5*COUNTIFS(R_Scores!$B$5:$B$44,2,R_Scores!$C$5:$C$44,"Paper condition",R_Scores!K$5:K$44,R_Scores!K21),"")</f>
        <v/>
      </c>
      <c r="CQ21" s="1" t="str">
        <f aca="false">IF(AND(R_Scores!$B21=2,OR(R_Scores!$C21="Tool condition",R_Scores!$C21="Paper condition"),ISNUMBER(R_Scores!K21)),(COUNTIFS(R_Scores!$B$5:$B$44,2,R_Scores!$C$5:$C$44,"Tool condition",R_Scores!K$5:K$44,R_Scores!K21)+COUNTIFS(R_Scores!$B$5:$B$44,2,R_Scores!$C$5:$C$44,"Paper condition",R_Scores!K$5:K$44,R_Scores!K21))^2-1,"")</f>
        <v/>
      </c>
      <c r="CR21" s="1" t="str">
        <f aca="false">IF(ISNUMBER(R_Scores!K21),R_Scores!K21^2,"")</f>
        <v/>
      </c>
      <c r="CS21" s="1" t="str">
        <f aca="false">IF(AND(R_Scores!$B21=1,R_Scores!$C21="Tool condition",ISNUMBER(R_Scores!L21)),COUNTIFS(R_Scores!$B$5:$B$44,1,R_Scores!$C$5:$C$44,"Paper condition",R_Scores!L$5:L$44,"&lt;"&amp;R_Scores!L21)+0.5*COUNTIFS(R_Scores!$B$5:$B$44,1,R_Scores!$C$5:$C$44,"Paper condition",R_Scores!L$5:L$44,R_Scores!L21),"")</f>
        <v/>
      </c>
      <c r="CT21" s="1" t="str">
        <f aca="false">IF(AND(R_Scores!$B21=1,OR(R_Scores!$C21="Tool condition",R_Scores!$C21="Paper condition"),ISNUMBER(R_Scores!L21)),(COUNTIFS(R_Scores!$B$5:$B$44,1,R_Scores!$C$5:$C$44,"Tool condition",R_Scores!L$5:L$44,R_Scores!L21)+COUNTIFS(R_Scores!$B$5:$B$44,1,R_Scores!$C$5:$C$44,"Paper condition",R_Scores!L$5:L$44,R_Scores!L21))^2-1,"")</f>
        <v/>
      </c>
      <c r="CU21" s="1" t="str">
        <f aca="false">IF(AND(R_Scores!$B21=2,R_Scores!$C21="Tool condition",ISNUMBER(R_Scores!L21)),COUNTIFS(R_Scores!$B$5:$B$44,2,R_Scores!$C$5:$C$44,"Paper condition",R_Scores!L$5:L$44,"&lt;"&amp;R_Scores!L21)+0.5*COUNTIFS(R_Scores!$B$5:$B$44,2,R_Scores!$C$5:$C$44,"Paper condition",R_Scores!L$5:L$44,R_Scores!L21),"")</f>
        <v/>
      </c>
      <c r="CV21" s="1" t="str">
        <f aca="false">IF(AND(R_Scores!$B21=2,OR(R_Scores!$C21="Tool condition",R_Scores!$C21="Paper condition"),ISNUMBER(R_Scores!L21)),(COUNTIFS(R_Scores!$B$5:$B$44,2,R_Scores!$C$5:$C$44,"Tool condition",R_Scores!L$5:L$44,R_Scores!L21)+COUNTIFS(R_Scores!$B$5:$B$44,2,R_Scores!$C$5:$C$44,"Paper condition",R_Scores!L$5:L$44,R_Scores!L21))^2-1,"")</f>
        <v/>
      </c>
      <c r="CW21" s="1" t="str">
        <f aca="false">IF(ISNUMBER(R_Scores!L21),R_Scores!L21^2,"")</f>
        <v/>
      </c>
      <c r="CX21" s="1" t="str">
        <f aca="false">IF(AND(R_Scores!$B21=1,R_Scores!$C21="Tool condition",ISNUMBER(R_Scores!M21)),COUNTIFS(R_Scores!$B$5:$B$44,1,R_Scores!$C$5:$C$44,"Paper condition",R_Scores!M$5:M$44,"&lt;"&amp;R_Scores!M21)+0.5*COUNTIFS(R_Scores!$B$5:$B$44,1,R_Scores!$C$5:$C$44,"Paper condition",R_Scores!M$5:M$44,R_Scores!M21),"")</f>
        <v/>
      </c>
      <c r="CY21" s="1" t="str">
        <f aca="false">IF(AND(R_Scores!$B21=1,OR(R_Scores!$C21="Tool condition",R_Scores!$C21="Paper condition"),ISNUMBER(R_Scores!M21)),(COUNTIFS(R_Scores!$B$5:$B$44,1,R_Scores!$C$5:$C$44,"Tool condition",R_Scores!M$5:M$44,R_Scores!M21)+COUNTIFS(R_Scores!$B$5:$B$44,1,R_Scores!$C$5:$C$44,"Paper condition",R_Scores!M$5:M$44,R_Scores!M21))^2-1,"")</f>
        <v/>
      </c>
      <c r="CZ21" s="1" t="str">
        <f aca="false">IF(AND(R_Scores!$B21=2,R_Scores!$C21="Tool condition",ISNUMBER(R_Scores!M21)),COUNTIFS(R_Scores!$B$5:$B$44,2,R_Scores!$C$5:$C$44,"Paper condition",R_Scores!M$5:M$44,"&lt;"&amp;R_Scores!M21)+0.5*COUNTIFS(R_Scores!$B$5:$B$44,2,R_Scores!$C$5:$C$44,"Paper condition",R_Scores!M$5:M$44,R_Scores!M21),"")</f>
        <v/>
      </c>
      <c r="DA21" s="1" t="str">
        <f aca="false">IF(AND(R_Scores!$B21=2,OR(R_Scores!$C21="Tool condition",R_Scores!$C21="Paper condition"),ISNUMBER(R_Scores!M21)),(COUNTIFS(R_Scores!$B$5:$B$44,2,R_Scores!$C$5:$C$44,"Tool condition",R_Scores!M$5:M$44,R_Scores!M21)+COUNTIFS(R_Scores!$B$5:$B$44,2,R_Scores!$C$5:$C$44,"Paper condition",R_Scores!M$5:M$44,R_Scores!M21))^2-1,"")</f>
        <v/>
      </c>
      <c r="DB21" s="1" t="str">
        <f aca="false">IF(ISNUMBER(R_Scores!M21),R_Scores!M21^2,"")</f>
        <v/>
      </c>
      <c r="DC21" s="1" t="str">
        <f aca="false">IF(AND(R_Scores!$B21=1,R_Scores!$C21="Tool condition",ISNUMBER(R_Scores!N21)),COUNTIFS(R_Scores!$B$5:$B$44,1,R_Scores!$C$5:$C$44,"Paper condition",R_Scores!N$5:N$44,"&lt;"&amp;R_Scores!N21)+0.5*COUNTIFS(R_Scores!$B$5:$B$44,1,R_Scores!$C$5:$C$44,"Paper condition",R_Scores!N$5:N$44,R_Scores!N21),"")</f>
        <v/>
      </c>
      <c r="DD21" s="1" t="n">
        <f aca="false">IF(AND(R_Scores!$B21=1,OR(R_Scores!$C21="Tool condition",R_Scores!$C21="Paper condition"),ISNUMBER(R_Scores!N21)),(COUNTIFS(R_Scores!$B$5:$B$44,1,R_Scores!$C$5:$C$44,"Tool condition",R_Scores!N$5:N$44,R_Scores!N21)+COUNTIFS(R_Scores!$B$5:$B$44,1,R_Scores!$C$5:$C$44,"Paper condition",R_Scores!N$5:N$44,R_Scores!N21))^2-1,"")</f>
        <v>63</v>
      </c>
      <c r="DE21" s="1" t="str">
        <f aca="false">IF(AND(R_Scores!$B21=2,R_Scores!$C21="Tool condition",ISNUMBER(R_Scores!N21)),COUNTIFS(R_Scores!$B$5:$B$44,2,R_Scores!$C$5:$C$44,"Paper condition",R_Scores!N$5:N$44,"&lt;"&amp;R_Scores!N21)+0.5*COUNTIFS(R_Scores!$B$5:$B$44,2,R_Scores!$C$5:$C$44,"Paper condition",R_Scores!N$5:N$44,R_Scores!N21),"")</f>
        <v/>
      </c>
      <c r="DF21" s="1" t="str">
        <f aca="false">IF(AND(R_Scores!$B21=2,OR(R_Scores!$C21="Tool condition",R_Scores!$C21="Paper condition"),ISNUMBER(R_Scores!N21)),(COUNTIFS(R_Scores!$B$5:$B$44,2,R_Scores!$C$5:$C$44,"Tool condition",R_Scores!N$5:N$44,R_Scores!N21)+COUNTIFS(R_Scores!$B$5:$B$44,2,R_Scores!$C$5:$C$44,"Paper condition",R_Scores!N$5:N$44,R_Scores!N21))^2-1,"")</f>
        <v/>
      </c>
      <c r="DG21" s="1" t="n">
        <f aca="false">IF(ISNUMBER(R_Scores!N21),R_Scores!N21^2,"")</f>
        <v>0</v>
      </c>
      <c r="DH21" s="1" t="str">
        <f aca="false">IF(AND(R_Scores!$B21=1,R_Scores!$C21="Tool condition",ISNUMBER(R_Scores!O21)),COUNTIFS(R_Scores!$B$5:$B$44,1,R_Scores!$C$5:$C$44,"Paper condition",R_Scores!O$5:O$44,"&lt;"&amp;R_Scores!O21)+0.5*COUNTIFS(R_Scores!$B$5:$B$44,1,R_Scores!$C$5:$C$44,"Paper condition",R_Scores!O$5:O$44,R_Scores!O21),"")</f>
        <v/>
      </c>
      <c r="DI21" s="1" t="n">
        <f aca="false">IF(AND(R_Scores!$B21=1,OR(R_Scores!$C21="Tool condition",R_Scores!$C21="Paper condition"),ISNUMBER(R_Scores!O21)),(COUNTIFS(R_Scores!$B$5:$B$44,1,R_Scores!$C$5:$C$44,"Tool condition",R_Scores!O$5:O$44,R_Scores!O21)+COUNTIFS(R_Scores!$B$5:$B$44,1,R_Scores!$C$5:$C$44,"Paper condition",R_Scores!O$5:O$44,R_Scores!O21))^2-1,"")</f>
        <v>48</v>
      </c>
      <c r="DJ21" s="1" t="str">
        <f aca="false">IF(AND(R_Scores!$B21=2,R_Scores!$C21="Tool condition",ISNUMBER(R_Scores!O21)),COUNTIFS(R_Scores!$B$5:$B$44,2,R_Scores!$C$5:$C$44,"Paper condition",R_Scores!O$5:O$44,"&lt;"&amp;R_Scores!O21)+0.5*COUNTIFS(R_Scores!$B$5:$B$44,2,R_Scores!$C$5:$C$44,"Paper condition",R_Scores!O$5:O$44,R_Scores!O21),"")</f>
        <v/>
      </c>
      <c r="DK21" s="1" t="str">
        <f aca="false">IF(AND(R_Scores!$B21=2,OR(R_Scores!$C21="Tool condition",R_Scores!$C21="Paper condition"),ISNUMBER(R_Scores!O21)),(COUNTIFS(R_Scores!$B$5:$B$44,2,R_Scores!$C$5:$C$44,"Tool condition",R_Scores!O$5:O$44,R_Scores!O21)+COUNTIFS(R_Scores!$B$5:$B$44,2,R_Scores!$C$5:$C$44,"Paper condition",R_Scores!O$5:O$44,R_Scores!O21))^2-1,"")</f>
        <v/>
      </c>
      <c r="DL21" s="1" t="n">
        <f aca="false">IF(ISNUMBER(R_Scores!O21),R_Scores!O21^2,"")</f>
        <v>0</v>
      </c>
      <c r="DM21" s="1" t="str">
        <f aca="false">IF(AND(R_Scores!$B21=1,R_Scores!$C21="Tool condition",ISNUMBER(R_Scores!P21)),COUNTIFS(R_Scores!$B$5:$B$44,1,R_Scores!$C$5:$C$44,"Paper condition",R_Scores!P$5:P$44,"&lt;"&amp;R_Scores!P21)+0.5*COUNTIFS(R_Scores!$B$5:$B$44,1,R_Scores!$C$5:$C$44,"Paper condition",R_Scores!P$5:P$44,R_Scores!P21),"")</f>
        <v/>
      </c>
      <c r="DN21" s="1" t="n">
        <f aca="false">IF(AND(R_Scores!$B21=1,OR(R_Scores!$C21="Tool condition",R_Scores!$C21="Paper condition"),ISNUMBER(R_Scores!P21)),(COUNTIFS(R_Scores!$B$5:$B$44,1,R_Scores!$C$5:$C$44,"Tool condition",R_Scores!P$5:P$44,R_Scores!P21)+COUNTIFS(R_Scores!$B$5:$B$44,1,R_Scores!$C$5:$C$44,"Paper condition",R_Scores!P$5:P$44,R_Scores!P21))^2-1,"")</f>
        <v>80</v>
      </c>
      <c r="DO21" s="1" t="str">
        <f aca="false">IF(AND(R_Scores!$B21=2,R_Scores!$C21="Tool condition",ISNUMBER(R_Scores!P21)),COUNTIFS(R_Scores!$B$5:$B$44,2,R_Scores!$C$5:$C$44,"Paper condition",R_Scores!P$5:P$44,"&lt;"&amp;R_Scores!P21)+0.5*COUNTIFS(R_Scores!$B$5:$B$44,2,R_Scores!$C$5:$C$44,"Paper condition",R_Scores!P$5:P$44,R_Scores!P21),"")</f>
        <v/>
      </c>
      <c r="DP21" s="1" t="str">
        <f aca="false">IF(AND(R_Scores!$B21=2,OR(R_Scores!$C21="Tool condition",R_Scores!$C21="Paper condition"),ISNUMBER(R_Scores!P21)),(COUNTIFS(R_Scores!$B$5:$B$44,2,R_Scores!$C$5:$C$44,"Tool condition",R_Scores!P$5:P$44,R_Scores!P21)+COUNTIFS(R_Scores!$B$5:$B$44,2,R_Scores!$C$5:$C$44,"Paper condition",R_Scores!P$5:P$44,R_Scores!P21))^2-1,"")</f>
        <v/>
      </c>
      <c r="DQ21" s="1" t="n">
        <f aca="false">IF(ISNUMBER(R_Scores!P21),R_Scores!P21^2,"")</f>
        <v>0</v>
      </c>
      <c r="DR21" s="1" t="str">
        <f aca="false">IF(AND(Scores!$B21=1,Scores!$C21="Tool condition",ISNUMBER(Scores!Q21)),COUNTIFS(Scores!$B$5:$B$44,1,Scores!$C$5:$C$44,"Paper condition",Scores!Q$5:Q$44,"&lt;"&amp;Scores!Q21)+0.5*COUNTIFS(Scores!$B$5:$B$44,1,Scores!$C$5:$C$44,"Paper condition",Scores!Q$5:Q$44,Scores!Q21),"")</f>
        <v/>
      </c>
      <c r="DS21" s="1" t="n">
        <f aca="false">IF(AND(Scores!$B21=1,OR(Scores!$C21="Tool condition",Scores!$C21="Paper condition"),ISNUMBER(Scores!Q21)),(COUNTIFS(Scores!$B$5:$B$44,1,Scores!$C$5:$C$44,"Tool condition",Scores!Q$5:Q$44,Scores!Q21)+COUNTIFS(Scores!$B$5:$B$44,1,Scores!$C$5:$C$44,"Paper condition",Scores!Q$5:Q$44,Scores!Q21))^2-1,"")</f>
        <v>0</v>
      </c>
      <c r="DT21" s="1" t="str">
        <f aca="false">IF(AND(Scores!$B21=2,Scores!$C21="Tool condition",ISNUMBER(Scores!Q21)),COUNTIFS(Scores!$B$5:$B$44,2,Scores!$C$5:$C$44,"Paper condition",Scores!Q$5:Q$44,"&lt;"&amp;Scores!Q21)+0.5*COUNTIFS(Scores!$B$5:$B$44,2,Scores!$C$5:$C$44,"Paper condition",Scores!Q$5:Q$44,Scores!Q21),"")</f>
        <v/>
      </c>
      <c r="DU21" s="1" t="str">
        <f aca="false">IF(AND(Scores!$B21=2,OR(Scores!$C21="Tool condition",Scores!$C21="Paper condition"),ISNUMBER(Scores!Q21)),(COUNTIFS(Scores!$B$5:$B$44,2,Scores!$C$5:$C$44,"Tool condition",Scores!Q$5:Q$44,Scores!Q21)+COUNTIFS(Scores!$B$5:$B$44,2,Scores!$C$5:$C$44,"Paper condition",Scores!Q$5:Q$44,Scores!Q21))^2-1,"")</f>
        <v/>
      </c>
      <c r="DV21" s="1" t="n">
        <f aca="false">IF(ISNUMBER(Scores!Q21),Scores!Q21^2,"")</f>
        <v>100</v>
      </c>
      <c r="DW21" s="1" t="str">
        <f aca="false">IF(AND(Scores!$B21=1,Scores!$C21="Tool condition",ISNUMBER(Scores!R21)),COUNTIFS(Scores!$B$5:$B$44,1,Scores!$C$5:$C$44,"Paper condition",Scores!R$5:R$44,"&lt;"&amp;Scores!R21)+0.5*COUNTIFS(Scores!$B$5:$B$44,1,Scores!$C$5:$C$44,"Paper condition",Scores!R$5:R$44,Scores!R21),"")</f>
        <v/>
      </c>
      <c r="DX21" s="1" t="n">
        <f aca="false">IF(AND(Scores!$B21=1,OR(Scores!$C21="Tool condition",Scores!$C21="Paper condition"),ISNUMBER(Scores!R21)),(COUNTIFS(Scores!$B$5:$B$44,1,Scores!$C$5:$C$44,"Tool condition",Scores!R$5:R$44,Scores!R21)+COUNTIFS(Scores!$B$5:$B$44,1,Scores!$C$5:$C$44,"Paper condition",Scores!R$5:R$44,Scores!R21))^2-1,"")</f>
        <v>3</v>
      </c>
      <c r="DY21" s="1" t="str">
        <f aca="false">IF(AND(Scores!$B21=2,Scores!$C21="Tool condition",ISNUMBER(Scores!R21)),COUNTIFS(Scores!$B$5:$B$44,2,Scores!$C$5:$C$44,"Paper condition",Scores!R$5:R$44,"&lt;"&amp;Scores!R21)+0.5*COUNTIFS(Scores!$B$5:$B$44,2,Scores!$C$5:$C$44,"Paper condition",Scores!R$5:R$44,Scores!R21),"")</f>
        <v/>
      </c>
      <c r="DZ21" s="1" t="str">
        <f aca="false">IF(AND(Scores!$B21=2,OR(Scores!$C21="Tool condition",Scores!$C21="Paper condition"),ISNUMBER(Scores!R21)),(COUNTIFS(Scores!$B$5:$B$44,2,Scores!$C$5:$C$44,"Tool condition",Scores!R$5:R$44,Scores!R21)+COUNTIFS(Scores!$B$5:$B$44,2,Scores!$C$5:$C$44,"Paper condition",Scores!R$5:R$44,Scores!R21))^2-1,"")</f>
        <v/>
      </c>
      <c r="EA21" s="1" t="n">
        <f aca="false">IF(ISNUMBER(Scores!R21),Scores!R21^2,"")</f>
        <v>25</v>
      </c>
      <c r="EB21" s="1" t="str">
        <f aca="false">IF(AND(Scores!$B21=1,Scores!$C21="Tool condition",ISNUMBER(Scores!S21)),COUNTIFS(Scores!$B$5:$B$44,1,Scores!$C$5:$C$44,"Paper condition",Scores!S$5:S$44,"&lt;"&amp;Scores!S21)+0.5*COUNTIFS(Scores!$B$5:$B$44,1,Scores!$C$5:$C$44,"Paper condition",Scores!S$5:S$44,Scores!S21),"")</f>
        <v/>
      </c>
      <c r="EC21" s="1" t="n">
        <f aca="false">IF(AND(Scores!$B21=1,OR(Scores!$C21="Tool condition",Scores!$C21="Paper condition"),ISNUMBER(Scores!S21)),(COUNTIFS(Scores!$B$5:$B$44,1,Scores!$C$5:$C$44,"Tool condition",Scores!S$5:S$44,Scores!S21)+COUNTIFS(Scores!$B$5:$B$44,1,Scores!$C$5:$C$44,"Paper condition",Scores!S$5:S$44,Scores!S21))^2-1,"")</f>
        <v>0</v>
      </c>
      <c r="ED21" s="1" t="str">
        <f aca="false">IF(AND(Scores!$B21=2,Scores!$C21="Tool condition",ISNUMBER(Scores!S21)),COUNTIFS(Scores!$B$5:$B$44,2,Scores!$C$5:$C$44,"Paper condition",Scores!S$5:S$44,"&lt;"&amp;Scores!S21)+0.5*COUNTIFS(Scores!$B$5:$B$44,2,Scores!$C$5:$C$44,"Paper condition",Scores!S$5:S$44,Scores!S21),"")</f>
        <v/>
      </c>
      <c r="EE21" s="1" t="str">
        <f aca="false">IF(AND(Scores!$B21=2,OR(Scores!$C21="Tool condition",Scores!$C21="Paper condition"),ISNUMBER(Scores!S21)),(COUNTIFS(Scores!$B$5:$B$44,2,Scores!$C$5:$C$44,"Tool condition",Scores!S$5:S$44,Scores!S21)+COUNTIFS(Scores!$B$5:$B$44,2,Scores!$C$5:$C$44,"Paper condition",Scores!S$5:S$44,Scores!S21))^2-1,"")</f>
        <v/>
      </c>
      <c r="EF21" s="1" t="n">
        <f aca="false">IF(ISNUMBER(Scores!S21),Scores!S21^2,"")</f>
        <v>25</v>
      </c>
      <c r="EG21" s="1" t="str">
        <f aca="false">IF(AND(Scores!$B21=1,Scores!$C21="Tool condition",ISNUMBER(Scores!T21)),COUNTIFS(Scores!$B$5:$B$44,1,Scores!$C$5:$C$44,"Paper condition",Scores!T$5:T$44,"&lt;"&amp;Scores!T21)+0.5*COUNTIFS(Scores!$B$5:$B$44,1,Scores!$C$5:$C$44,"Paper condition",Scores!T$5:T$44,Scores!T21),"")</f>
        <v/>
      </c>
      <c r="EH21" s="1" t="n">
        <f aca="false">IF(AND(Scores!$B21=1,OR(Scores!$C21="Tool condition",Scores!$C21="Paper condition"),ISNUMBER(Scores!T21)),(COUNTIFS(Scores!$B$5:$B$44,1,Scores!$C$5:$C$44,"Tool condition",Scores!T$5:T$44,Scores!T21)+COUNTIFS(Scores!$B$5:$B$44,1,Scores!$C$5:$C$44,"Paper condition",Scores!T$5:T$44,Scores!T21))^2-1,"")</f>
        <v>0</v>
      </c>
      <c r="EI21" s="1" t="str">
        <f aca="false">IF(AND(Scores!$B21=2,Scores!$C21="Tool condition",ISNUMBER(Scores!T21)),COUNTIFS(Scores!$B$5:$B$44,2,Scores!$C$5:$C$44,"Paper condition",Scores!T$5:T$44,"&lt;"&amp;Scores!T21)+0.5*COUNTIFS(Scores!$B$5:$B$44,2,Scores!$C$5:$C$44,"Paper condition",Scores!T$5:T$44,Scores!T21),"")</f>
        <v/>
      </c>
      <c r="EJ21" s="1" t="str">
        <f aca="false">IF(AND(Scores!$B21=2,OR(Scores!$C21="Tool condition",Scores!$C21="Paper condition"),ISNUMBER(Scores!T21)),(COUNTIFS(Scores!$B$5:$B$44,2,Scores!$C$5:$C$44,"Tool condition",Scores!T$5:T$44,Scores!T21)+COUNTIFS(Scores!$B$5:$B$44,2,Scores!$C$5:$C$44,"Paper condition",Scores!T$5:T$44,Scores!T21))^2-1,"")</f>
        <v/>
      </c>
      <c r="EK21" s="1" t="n">
        <f aca="false">IF(ISNUMBER(Scores!T21),Scores!T21^2,"")</f>
        <v>9</v>
      </c>
      <c r="EL21" s="1" t="str">
        <f aca="false">IF(AND(Scores!$B21=1,Scores!$C21="Tool condition",ISNUMBER(Scores!U21)),COUNTIFS(Scores!$B$5:$B$44,1,Scores!$C$5:$C$44,"Paper condition",Scores!U$5:U$44,"&lt;"&amp;Scores!U21)+0.5*COUNTIFS(Scores!$B$5:$B$44,1,Scores!$C$5:$C$44,"Paper condition",Scores!U$5:U$44,Scores!U21),"")</f>
        <v/>
      </c>
      <c r="EM21" s="1" t="n">
        <f aca="false">IF(AND(Scores!$B21=1,OR(Scores!$C21="Tool condition",Scores!$C21="Paper condition"),ISNUMBER(Scores!U21)),(COUNTIFS(Scores!$B$5:$B$44,1,Scores!$C$5:$C$44,"Tool condition",Scores!U$5:U$44,Scores!U21)+COUNTIFS(Scores!$B$5:$B$44,1,Scores!$C$5:$C$44,"Paper condition",Scores!U$5:U$44,Scores!U21))^2-1,"")</f>
        <v>0</v>
      </c>
      <c r="EN21" s="1" t="str">
        <f aca="false">IF(AND(Scores!$B21=2,Scores!$C21="Tool condition",ISNUMBER(Scores!U21)),COUNTIFS(Scores!$B$5:$B$44,2,Scores!$C$5:$C$44,"Paper condition",Scores!U$5:U$44,"&lt;"&amp;Scores!U21)+0.5*COUNTIFS(Scores!$B$5:$B$44,2,Scores!$C$5:$C$44,"Paper condition",Scores!U$5:U$44,Scores!U21),"")</f>
        <v/>
      </c>
      <c r="EO21" s="1" t="str">
        <f aca="false">IF(AND(Scores!$B21=2,OR(Scores!$C21="Tool condition",Scores!$C21="Paper condition"),ISNUMBER(Scores!U21)),(COUNTIFS(Scores!$B$5:$B$44,2,Scores!$C$5:$C$44,"Tool condition",Scores!U$5:U$44,Scores!U21)+COUNTIFS(Scores!$B$5:$B$44,2,Scores!$C$5:$C$44,"Paper condition",Scores!U$5:U$44,Scores!U21))^2-1,"")</f>
        <v/>
      </c>
      <c r="EP21" s="1" t="n">
        <f aca="false">IF(ISNUMBER(Scores!U21),Scores!U21^2,"")</f>
        <v>9</v>
      </c>
      <c r="EQ21" s="1" t="str">
        <f aca="false">IF(AND(Scores!$B21=1,Scores!$C21="Tool condition",ISNUMBER(Scores!V21)),COUNTIFS(Scores!$B$5:$B$44,1,Scores!$C$5:$C$44,"Paper condition",Scores!V$5:V$44,"&lt;"&amp;Scores!V21)+0.5*COUNTIFS(Scores!$B$5:$B$44,1,Scores!$C$5:$C$44,"Paper condition",Scores!V$5:V$44,Scores!V21),"")</f>
        <v/>
      </c>
      <c r="ER21" s="1" t="n">
        <f aca="false">IF(AND(Scores!$B21=1,OR(Scores!$C21="Tool condition",Scores!$C21="Paper condition"),ISNUMBER(Scores!V21)),(COUNTIFS(Scores!$B$5:$B$44,1,Scores!$C$5:$C$44,"Tool condition",Scores!V$5:V$44,Scores!V21)+COUNTIFS(Scores!$B$5:$B$44,1,Scores!$C$5:$C$44,"Paper condition",Scores!V$5:V$44,Scores!V21))^2-1,"")</f>
        <v>8</v>
      </c>
      <c r="ES21" s="1" t="str">
        <f aca="false">IF(AND(Scores!$B21=2,Scores!$C21="Tool condition",ISNUMBER(Scores!V21)),COUNTIFS(Scores!$B$5:$B$44,2,Scores!$C$5:$C$44,"Paper condition",Scores!V$5:V$44,"&lt;"&amp;Scores!V21)+0.5*COUNTIFS(Scores!$B$5:$B$44,2,Scores!$C$5:$C$44,"Paper condition",Scores!V$5:V$44,Scores!V21),"")</f>
        <v/>
      </c>
      <c r="ET21" s="1" t="str">
        <f aca="false">IF(AND(Scores!$B21=2,OR(Scores!$C21="Tool condition",Scores!$C21="Paper condition"),ISNUMBER(Scores!V21)),(COUNTIFS(Scores!$B$5:$B$44,2,Scores!$C$5:$C$44,"Tool condition",Scores!V$5:V$44,Scores!V21)+COUNTIFS(Scores!$B$5:$B$44,2,Scores!$C$5:$C$44,"Paper condition",Scores!V$5:V$44,Scores!V21))^2-1,"")</f>
        <v/>
      </c>
      <c r="EU21" s="1" t="n">
        <f aca="false">IF(ISNUMBER(Scores!V21),Scores!V21^2,"")</f>
        <v>16</v>
      </c>
      <c r="EV21" s="1" t="str">
        <f aca="false">IF(AND(R_Scores!$B21=1,R_Scores!$C21="Tool condition",ISNUMBER(R_Scores!Q21)),COUNTIFS(R_Scores!$B$5:$B$44,1,R_Scores!$C$5:$C$44,"Paper condition",R_Scores!Q$5:Q$44,"&lt;"&amp;R_Scores!Q21)+0.5*COUNTIFS(R_Scores!$B$5:$B$44,1,R_Scores!$C$5:$C$44,"Paper condition",R_Scores!Q$5:Q$44,R_Scores!Q21),"")</f>
        <v/>
      </c>
      <c r="EW21" s="1" t="n">
        <f aca="false">IF(AND(R_Scores!$B21=1,OR(R_Scores!$C21="Tool condition",R_Scores!$C21="Paper condition"),ISNUMBER(R_Scores!Q21)),(COUNTIFS(R_Scores!$B$5:$B$44,1,R_Scores!$C$5:$C$44,"Tool condition",R_Scores!Q$5:Q$44,R_Scores!Q21)+COUNTIFS(R_Scores!$B$5:$B$44,1,R_Scores!$C$5:$C$44,"Paper condition",R_Scores!Q$5:Q$44,R_Scores!Q21))^2-1,"")</f>
        <v>3</v>
      </c>
      <c r="EX21" s="1" t="str">
        <f aca="false">IF(AND(R_Scores!$B21=2,R_Scores!$C21="Tool condition",ISNUMBER(R_Scores!Q21)),COUNTIFS(R_Scores!$B$5:$B$44,2,R_Scores!$C$5:$C$44,"Paper condition",R_Scores!Q$5:Q$44,"&lt;"&amp;R_Scores!Q21)+0.5*COUNTIFS(R_Scores!$B$5:$B$44,2,R_Scores!$C$5:$C$44,"Paper condition",R_Scores!Q$5:Q$44,R_Scores!Q21),"")</f>
        <v/>
      </c>
      <c r="EY21" s="1" t="str">
        <f aca="false">IF(AND(R_Scores!$B21=2,OR(R_Scores!$C21="Tool condition",R_Scores!$C21="Paper condition"),ISNUMBER(R_Scores!Q21)),(COUNTIFS(R_Scores!$B$5:$B$44,2,R_Scores!$C$5:$C$44,"Tool condition",R_Scores!Q$5:Q$44,R_Scores!Q21)+COUNTIFS(R_Scores!$B$5:$B$44,2,R_Scores!$C$5:$C$44,"Paper condition",R_Scores!Q$5:Q$44,R_Scores!Q21))^2-1,"")</f>
        <v/>
      </c>
      <c r="EZ21" s="1" t="n">
        <f aca="false">IF(ISNUMBER(R_Scores!Q21),R_Scores!Q21^2,"")</f>
        <v>0</v>
      </c>
      <c r="FA21" s="1" t="str">
        <f aca="false">IF(AND(R_Scores!$B21=1,R_Scores!$C21="Tool condition",ISNUMBER(R_Scores!R21)),COUNTIFS(R_Scores!$B$5:$B$44,1,R_Scores!$C$5:$C$44,"Paper condition",R_Scores!R$5:R$44,"&lt;"&amp;R_Scores!R21)+0.5*COUNTIFS(R_Scores!$B$5:$B$44,1,R_Scores!$C$5:$C$44,"Paper condition",R_Scores!R$5:R$44,R_Scores!R21),"")</f>
        <v/>
      </c>
      <c r="FB21" s="1" t="n">
        <f aca="false">IF(AND(R_Scores!$B21=1,OR(R_Scores!$C21="Tool condition",R_Scores!$C21="Paper condition"),ISNUMBER(R_Scores!R21)),(COUNTIFS(R_Scores!$B$5:$B$44,1,R_Scores!$C$5:$C$44,"Tool condition",R_Scores!R$5:R$44,R_Scores!R21)+COUNTIFS(R_Scores!$B$5:$B$44,1,R_Scores!$C$5:$C$44,"Paper condition",R_Scores!R$5:R$44,R_Scores!R21))^2-1,"")</f>
        <v>0</v>
      </c>
      <c r="FC21" s="1" t="str">
        <f aca="false">IF(AND(R_Scores!$B21=2,R_Scores!$C21="Tool condition",ISNUMBER(R_Scores!R21)),COUNTIFS(R_Scores!$B$5:$B$44,2,R_Scores!$C$5:$C$44,"Paper condition",R_Scores!R$5:R$44,"&lt;"&amp;R_Scores!R21)+0.5*COUNTIFS(R_Scores!$B$5:$B$44,2,R_Scores!$C$5:$C$44,"Paper condition",R_Scores!R$5:R$44,R_Scores!R21),"")</f>
        <v/>
      </c>
      <c r="FD21" s="1" t="str">
        <f aca="false">IF(AND(R_Scores!$B21=2,OR(R_Scores!$C21="Tool condition",R_Scores!$C21="Paper condition"),ISNUMBER(R_Scores!R21)),(COUNTIFS(R_Scores!$B$5:$B$44,2,R_Scores!$C$5:$C$44,"Tool condition",R_Scores!R$5:R$44,R_Scores!R21)+COUNTIFS(R_Scores!$B$5:$B$44,2,R_Scores!$C$5:$C$44,"Paper condition",R_Scores!R$5:R$44,R_Scores!R21))^2-1,"")</f>
        <v/>
      </c>
      <c r="FE21" s="1" t="n">
        <f aca="false">IF(ISNUMBER(R_Scores!R21),R_Scores!R21^2,"")</f>
        <v>100</v>
      </c>
    </row>
    <row r="22" customFormat="false" ht="14.25" hidden="false" customHeight="true" outlineLevel="0" collapsed="false">
      <c r="B22" s="1" t="str">
        <f aca="false">IF(AND(Scores!$B22=1,Scores!$C22="Tool condition",ISNUMBER(Scores!E22)),COUNTIFS(Scores!$B$5:$B$44,1,Scores!$C$5:$C$44,"Paper condition",Scores!E$5:E$44,"&lt;"&amp;Scores!E22)+0.5*COUNTIFS(Scores!$B$5:$B$44,1,Scores!$C$5:$C$44,"Paper condition",Scores!E$5:E$44,Scores!E22),"")</f>
        <v/>
      </c>
      <c r="C22" s="1" t="n">
        <f aca="false">IF(AND(Scores!$B22=1,OR(Scores!$C22="Tool condition",Scores!$C22="Paper condition"),ISNUMBER(Scores!E22)),(COUNTIFS(Scores!$B$5:$B$44,1,Scores!$C$5:$C$44,"Tool condition",Scores!E$5:E$44,Scores!E22)+COUNTIFS(Scores!$B$5:$B$44,1,Scores!$C$5:$C$44,"Paper condition",Scores!E$5:E$44,Scores!E22))^2-1,"")</f>
        <v>255</v>
      </c>
      <c r="D22" s="1" t="str">
        <f aca="false">IF(AND(Scores!$B22=2,Scores!$C22="Tool condition",ISNUMBER(Scores!E22)),COUNTIFS(Scores!$B$5:$B$44,2,Scores!$C$5:$C$44,"Paper condition",Scores!E$5:E$44,"&lt;"&amp;Scores!E22)+0.5*COUNTIFS(Scores!$B$5:$B$44,2,Scores!$C$5:$C$44,"Paper condition",Scores!E$5:E$44,Scores!E22),"")</f>
        <v/>
      </c>
      <c r="E22" s="1" t="str">
        <f aca="false">IF(AND(Scores!$B22=2,OR(Scores!$C22="Tool condition",Scores!$C22="Paper condition"),ISNUMBER(Scores!E22)),(COUNTIFS(Scores!$B$5:$B$44,2,Scores!$C$5:$C$44,"Tool condition",Scores!E$5:E$44,Scores!E22)+COUNTIFS(Scores!$B$5:$B$44,2,Scores!$C$5:$C$44,"Paper condition",Scores!E$5:E$44,Scores!E22))^2-1,"")</f>
        <v/>
      </c>
      <c r="F22" s="1" t="n">
        <f aca="false">IF(ISNUMBER(Scores!E22),Scores!E22^2,"")</f>
        <v>4</v>
      </c>
      <c r="G22" s="1" t="str">
        <f aca="false">IF(AND(Scores!$B22=1,Scores!$C22="Tool condition",ISNUMBER(Scores!F22)),COUNTIFS(Scores!$B$5:$B$44,1,Scores!$C$5:$C$44,"Paper condition",Scores!F$5:F$44,"&lt;"&amp;Scores!F22)+0.5*COUNTIFS(Scores!$B$5:$B$44,1,Scores!$C$5:$C$44,"Paper condition",Scores!F$5:F$44,Scores!F22),"")</f>
        <v/>
      </c>
      <c r="H22" s="1" t="n">
        <f aca="false">IF(AND(Scores!$B22=1,OR(Scores!$C22="Tool condition",Scores!$C22="Paper condition"),ISNUMBER(Scores!F22)),(COUNTIFS(Scores!$B$5:$B$44,1,Scores!$C$5:$C$44,"Tool condition",Scores!F$5:F$44,Scores!F22)+COUNTIFS(Scores!$B$5:$B$44,1,Scores!$C$5:$C$44,"Paper condition",Scores!F$5:F$44,Scores!F22))^2-1,"")</f>
        <v>195</v>
      </c>
      <c r="I22" s="1" t="str">
        <f aca="false">IF(AND(Scores!$B22=2,Scores!$C22="Tool condition",ISNUMBER(Scores!F22)),COUNTIFS(Scores!$B$5:$B$44,2,Scores!$C$5:$C$44,"Paper condition",Scores!F$5:F$44,"&lt;"&amp;Scores!F22)+0.5*COUNTIFS(Scores!$B$5:$B$44,2,Scores!$C$5:$C$44,"Paper condition",Scores!F$5:F$44,Scores!F22),"")</f>
        <v/>
      </c>
      <c r="J22" s="1" t="str">
        <f aca="false">IF(AND(Scores!$B22=2,OR(Scores!$C22="Tool condition",Scores!$C22="Paper condition"),ISNUMBER(Scores!F22)),(COUNTIFS(Scores!$B$5:$B$44,2,Scores!$C$5:$C$44,"Tool condition",Scores!F$5:F$44,Scores!F22)+COUNTIFS(Scores!$B$5:$B$44,2,Scores!$C$5:$C$44,"Paper condition",Scores!F$5:F$44,Scores!F22))^2-1,"")</f>
        <v/>
      </c>
      <c r="K22" s="1" t="n">
        <f aca="false">IF(ISNUMBER(Scores!F22),Scores!F22^2,"")</f>
        <v>4</v>
      </c>
      <c r="L22" s="1" t="str">
        <f aca="false">IF(AND(Scores!$B22=1,Scores!$C22="Tool condition",ISNUMBER(Scores!G22)),COUNTIFS(Scores!$B$5:$B$44,1,Scores!$C$5:$C$44,"Paper condition",Scores!G$5:G$44,"&lt;"&amp;Scores!G22)+0.5*COUNTIFS(Scores!$B$5:$B$44,1,Scores!$C$5:$C$44,"Paper condition",Scores!G$5:G$44,Scores!G22),"")</f>
        <v/>
      </c>
      <c r="M22" s="1" t="n">
        <f aca="false">IF(AND(Scores!$B22=1,OR(Scores!$C22="Tool condition",Scores!$C22="Paper condition"),ISNUMBER(Scores!G22)),(COUNTIFS(Scores!$B$5:$B$44,1,Scores!$C$5:$C$44,"Tool condition",Scores!G$5:G$44,Scores!G22)+COUNTIFS(Scores!$B$5:$B$44,1,Scores!$C$5:$C$44,"Paper condition",Scores!G$5:G$44,Scores!G22))^2-1,"")</f>
        <v>288</v>
      </c>
      <c r="N22" s="1" t="str">
        <f aca="false">IF(AND(Scores!$B22=2,Scores!$C22="Tool condition",ISNUMBER(Scores!G22)),COUNTIFS(Scores!$B$5:$B$44,2,Scores!$C$5:$C$44,"Paper condition",Scores!G$5:G$44,"&lt;"&amp;Scores!G22)+0.5*COUNTIFS(Scores!$B$5:$B$44,2,Scores!$C$5:$C$44,"Paper condition",Scores!G$5:G$44,Scores!G22),"")</f>
        <v/>
      </c>
      <c r="O22" s="1" t="str">
        <f aca="false">IF(AND(Scores!$B22=2,OR(Scores!$C22="Tool condition",Scores!$C22="Paper condition"),ISNUMBER(Scores!G22)),(COUNTIFS(Scores!$B$5:$B$44,2,Scores!$C$5:$C$44,"Tool condition",Scores!G$5:G$44,Scores!G22)+COUNTIFS(Scores!$B$5:$B$44,2,Scores!$C$5:$C$44,"Paper condition",Scores!G$5:G$44,Scores!G22))^2-1,"")</f>
        <v/>
      </c>
      <c r="P22" s="1" t="n">
        <f aca="false">IF(ISNUMBER(Scores!G22),Scores!G22^2,"")</f>
        <v>4</v>
      </c>
      <c r="Q22" s="1" t="str">
        <f aca="false">IF(AND(Scores!$B22=1,Scores!$C22="Tool condition",ISNUMBER(Scores!H22)),COUNTIFS(Scores!$B$5:$B$44,1,Scores!$C$5:$C$44,"Paper condition",Scores!H$5:H$44,"&lt;"&amp;Scores!H22)+0.5*COUNTIFS(Scores!$B$5:$B$44,1,Scores!$C$5:$C$44,"Paper condition",Scores!H$5:H$44,Scores!H22),"")</f>
        <v/>
      </c>
      <c r="R22" s="1" t="n">
        <f aca="false">IF(AND(Scores!$B22=1,OR(Scores!$C22="Tool condition",Scores!$C22="Paper condition"),ISNUMBER(Scores!H22)),(COUNTIFS(Scores!$B$5:$B$44,1,Scores!$C$5:$C$44,"Tool condition",Scores!H$5:H$44,Scores!H22)+COUNTIFS(Scores!$B$5:$B$44,1,Scores!$C$5:$C$44,"Paper condition",Scores!H$5:H$44,Scores!H22))^2-1,"")</f>
        <v>255</v>
      </c>
      <c r="S22" s="1" t="str">
        <f aca="false">IF(AND(Scores!$B22=2,Scores!$C22="Tool condition",ISNUMBER(Scores!H22)),COUNTIFS(Scores!$B$5:$B$44,2,Scores!$C$5:$C$44,"Paper condition",Scores!H$5:H$44,"&lt;"&amp;Scores!H22)+0.5*COUNTIFS(Scores!$B$5:$B$44,2,Scores!$C$5:$C$44,"Paper condition",Scores!H$5:H$44,Scores!H22),"")</f>
        <v/>
      </c>
      <c r="T22" s="1" t="str">
        <f aca="false">IF(AND(Scores!$B22=2,OR(Scores!$C22="Tool condition",Scores!$C22="Paper condition"),ISNUMBER(Scores!H22)),(COUNTIFS(Scores!$B$5:$B$44,2,Scores!$C$5:$C$44,"Tool condition",Scores!H$5:H$44,Scores!H22)+COUNTIFS(Scores!$B$5:$B$44,2,Scores!$C$5:$C$44,"Paper condition",Scores!H$5:H$44,Scores!H22))^2-1,"")</f>
        <v/>
      </c>
      <c r="U22" s="1" t="n">
        <f aca="false">IF(ISNUMBER(Scores!H22),Scores!H22^2,"")</f>
        <v>4</v>
      </c>
      <c r="V22" s="1" t="str">
        <f aca="false">IF(AND(Scores!$B22=1,Scores!$C22="Tool condition",ISNUMBER(Scores!I22)),COUNTIFS(Scores!$B$5:$B$44,1,Scores!$C$5:$C$44,"Paper condition",Scores!I$5:I$44,"&lt;"&amp;Scores!I22)+0.5*COUNTIFS(Scores!$B$5:$B$44,1,Scores!$C$5:$C$44,"Paper condition",Scores!I$5:I$44,Scores!I22),"")</f>
        <v/>
      </c>
      <c r="W22" s="1" t="n">
        <f aca="false">IF(AND(Scores!$B22=1,OR(Scores!$C22="Tool condition",Scores!$C22="Paper condition"),ISNUMBER(Scores!I22)),(COUNTIFS(Scores!$B$5:$B$44,1,Scores!$C$5:$C$44,"Tool condition",Scores!I$5:I$44,Scores!I22)+COUNTIFS(Scores!$B$5:$B$44,1,Scores!$C$5:$C$44,"Paper condition",Scores!I$5:I$44,Scores!I22))^2-1,"")</f>
        <v>195</v>
      </c>
      <c r="X22" s="1" t="str">
        <f aca="false">IF(AND(Scores!$B22=2,Scores!$C22="Tool condition",ISNUMBER(Scores!I22)),COUNTIFS(Scores!$B$5:$B$44,2,Scores!$C$5:$C$44,"Paper condition",Scores!I$5:I$44,"&lt;"&amp;Scores!I22)+0.5*COUNTIFS(Scores!$B$5:$B$44,2,Scores!$C$5:$C$44,"Paper condition",Scores!I$5:I$44,Scores!I22),"")</f>
        <v/>
      </c>
      <c r="Y22" s="1" t="str">
        <f aca="false">IF(AND(Scores!$B22=2,OR(Scores!$C22="Tool condition",Scores!$C22="Paper condition"),ISNUMBER(Scores!I22)),(COUNTIFS(Scores!$B$5:$B$44,2,Scores!$C$5:$C$44,"Tool condition",Scores!I$5:I$44,Scores!I22)+COUNTIFS(Scores!$B$5:$B$44,2,Scores!$C$5:$C$44,"Paper condition",Scores!I$5:I$44,Scores!I22))^2-1,"")</f>
        <v/>
      </c>
      <c r="Z22" s="1" t="n">
        <f aca="false">IF(ISNUMBER(Scores!I22),Scores!I22^2,"")</f>
        <v>4</v>
      </c>
      <c r="AA22" s="1" t="str">
        <f aca="false">IF(AND(Scores!$B22=1,Scores!$C22="Tool condition",ISNUMBER(Scores!J22)),COUNTIFS(Scores!$B$5:$B$44,1,Scores!$C$5:$C$44,"Paper condition",Scores!J$5:J$44,"&lt;"&amp;Scores!J22)+0.5*COUNTIFS(Scores!$B$5:$B$44,1,Scores!$C$5:$C$44,"Paper condition",Scores!J$5:J$44,Scores!J22),"")</f>
        <v/>
      </c>
      <c r="AB22" s="1" t="n">
        <f aca="false">IF(AND(Scores!$B22=1,OR(Scores!$C22="Tool condition",Scores!$C22="Paper condition"),ISNUMBER(Scores!J22)),(COUNTIFS(Scores!$B$5:$B$44,1,Scores!$C$5:$C$44,"Tool condition",Scores!J$5:J$44,Scores!J22)+COUNTIFS(Scores!$B$5:$B$44,1,Scores!$C$5:$C$44,"Paper condition",Scores!J$5:J$44,Scores!J22))^2-1,"")</f>
        <v>224</v>
      </c>
      <c r="AC22" s="1" t="str">
        <f aca="false">IF(AND(Scores!$B22=2,Scores!$C22="Tool condition",ISNUMBER(Scores!J22)),COUNTIFS(Scores!$B$5:$B$44,2,Scores!$C$5:$C$44,"Paper condition",Scores!J$5:J$44,"&lt;"&amp;Scores!J22)+0.5*COUNTIFS(Scores!$B$5:$B$44,2,Scores!$C$5:$C$44,"Paper condition",Scores!J$5:J$44,Scores!J22),"")</f>
        <v/>
      </c>
      <c r="AD22" s="1" t="str">
        <f aca="false">IF(AND(Scores!$B22=2,OR(Scores!$C22="Tool condition",Scores!$C22="Paper condition"),ISNUMBER(Scores!J22)),(COUNTIFS(Scores!$B$5:$B$44,2,Scores!$C$5:$C$44,"Tool condition",Scores!J$5:J$44,Scores!J22)+COUNTIFS(Scores!$B$5:$B$44,2,Scores!$C$5:$C$44,"Paper condition",Scores!J$5:J$44,Scores!J22))^2-1,"")</f>
        <v/>
      </c>
      <c r="AE22" s="1" t="n">
        <f aca="false">IF(ISNUMBER(Scores!J22),Scores!J22^2,"")</f>
        <v>4</v>
      </c>
      <c r="AF22" s="1" t="str">
        <f aca="false">IF(AND(Scores!$B22=1,Scores!$C22="Tool condition",ISNUMBER(Scores!K22)),COUNTIFS(Scores!$B$5:$B$44,1,Scores!$C$5:$C$44,"Paper condition",Scores!K$5:K$44,"&lt;"&amp;Scores!K22)+0.5*COUNTIFS(Scores!$B$5:$B$44,1,Scores!$C$5:$C$44,"Paper condition",Scores!K$5:K$44,Scores!K22),"")</f>
        <v/>
      </c>
      <c r="AG22" s="1" t="n">
        <f aca="false">IF(AND(Scores!$B22=1,OR(Scores!$C22="Tool condition",Scores!$C22="Paper condition"),ISNUMBER(Scores!K22)),(COUNTIFS(Scores!$B$5:$B$44,1,Scores!$C$5:$C$44,"Tool condition",Scores!K$5:K$44,Scores!K22)+COUNTIFS(Scores!$B$5:$B$44,1,Scores!$C$5:$C$44,"Paper condition",Scores!K$5:K$44,Scores!K22))^2-1,"")</f>
        <v>255</v>
      </c>
      <c r="AH22" s="1" t="str">
        <f aca="false">IF(AND(Scores!$B22=2,Scores!$C22="Tool condition",ISNUMBER(Scores!K22)),COUNTIFS(Scores!$B$5:$B$44,2,Scores!$C$5:$C$44,"Paper condition",Scores!K$5:K$44,"&lt;"&amp;Scores!K22)+0.5*COUNTIFS(Scores!$B$5:$B$44,2,Scores!$C$5:$C$44,"Paper condition",Scores!K$5:K$44,Scores!K22),"")</f>
        <v/>
      </c>
      <c r="AI22" s="1" t="str">
        <f aca="false">IF(AND(Scores!$B22=2,OR(Scores!$C22="Tool condition",Scores!$C22="Paper condition"),ISNUMBER(Scores!K22)),(COUNTIFS(Scores!$B$5:$B$44,2,Scores!$C$5:$C$44,"Tool condition",Scores!K$5:K$44,Scores!K22)+COUNTIFS(Scores!$B$5:$B$44,2,Scores!$C$5:$C$44,"Paper condition",Scores!K$5:K$44,Scores!K22))^2-1,"")</f>
        <v/>
      </c>
      <c r="AJ22" s="1" t="n">
        <f aca="false">IF(ISNUMBER(Scores!K22),Scores!K22^2,"")</f>
        <v>4</v>
      </c>
      <c r="AK22" s="1" t="str">
        <f aca="false">IF(AND(Scores!$B22=1,Scores!$C22="Tool condition",ISNUMBER(Scores!L22)),COUNTIFS(Scores!$B$5:$B$44,1,Scores!$C$5:$C$44,"Paper condition",Scores!L$5:L$44,"&lt;"&amp;Scores!L22)+0.5*COUNTIFS(Scores!$B$5:$B$44,1,Scores!$C$5:$C$44,"Paper condition",Scores!L$5:L$44,Scores!L22),"")</f>
        <v/>
      </c>
      <c r="AL22" s="1" t="n">
        <f aca="false">IF(AND(Scores!$B22=1,OR(Scores!$C22="Tool condition",Scores!$C22="Paper condition"),ISNUMBER(Scores!L22)),(COUNTIFS(Scores!$B$5:$B$44,1,Scores!$C$5:$C$44,"Tool condition",Scores!L$5:L$44,Scores!L22)+COUNTIFS(Scores!$B$5:$B$44,1,Scores!$C$5:$C$44,"Paper condition",Scores!L$5:L$44,Scores!L22))^2-1,"")</f>
        <v>288</v>
      </c>
      <c r="AM22" s="1" t="str">
        <f aca="false">IF(AND(Scores!$B22=2,Scores!$C22="Tool condition",ISNUMBER(Scores!L22)),COUNTIFS(Scores!$B$5:$B$44,2,Scores!$C$5:$C$44,"Paper condition",Scores!L$5:L$44,"&lt;"&amp;Scores!L22)+0.5*COUNTIFS(Scores!$B$5:$B$44,2,Scores!$C$5:$C$44,"Paper condition",Scores!L$5:L$44,Scores!L22),"")</f>
        <v/>
      </c>
      <c r="AN22" s="1" t="str">
        <f aca="false">IF(AND(Scores!$B22=2,OR(Scores!$C22="Tool condition",Scores!$C22="Paper condition"),ISNUMBER(Scores!L22)),(COUNTIFS(Scores!$B$5:$B$44,2,Scores!$C$5:$C$44,"Tool condition",Scores!L$5:L$44,Scores!L22)+COUNTIFS(Scores!$B$5:$B$44,2,Scores!$C$5:$C$44,"Paper condition",Scores!L$5:L$44,Scores!L22))^2-1,"")</f>
        <v/>
      </c>
      <c r="AO22" s="1" t="n">
        <f aca="false">IF(ISNUMBER(Scores!L22),Scores!L22^2,"")</f>
        <v>4</v>
      </c>
      <c r="AP22" s="1" t="str">
        <f aca="false">IF(AND(Scores!$B22=1,Scores!$C22="Tool condition",ISNUMBER(Scores!M22)),COUNTIFS(Scores!$B$5:$B$44,1,Scores!$C$5:$C$44,"Paper condition",Scores!M$5:M$44,"&lt;"&amp;Scores!M22)+0.5*COUNTIFS(Scores!$B$5:$B$44,1,Scores!$C$5:$C$44,"Paper condition",Scores!M$5:M$44,Scores!M22),"")</f>
        <v/>
      </c>
      <c r="AQ22" s="1" t="n">
        <f aca="false">IF(AND(Scores!$B22=1,OR(Scores!$C22="Tool condition",Scores!$C22="Paper condition"),ISNUMBER(Scores!M22)),(COUNTIFS(Scores!$B$5:$B$44,1,Scores!$C$5:$C$44,"Tool condition",Scores!M$5:M$44,Scores!M22)+COUNTIFS(Scores!$B$5:$B$44,1,Scores!$C$5:$C$44,"Paper condition",Scores!M$5:M$44,Scores!M22))^2-1,"")</f>
        <v>288</v>
      </c>
      <c r="AR22" s="1" t="str">
        <f aca="false">IF(AND(Scores!$B22=2,Scores!$C22="Tool condition",ISNUMBER(Scores!M22)),COUNTIFS(Scores!$B$5:$B$44,2,Scores!$C$5:$C$44,"Paper condition",Scores!M$5:M$44,"&lt;"&amp;Scores!M22)+0.5*COUNTIFS(Scores!$B$5:$B$44,2,Scores!$C$5:$C$44,"Paper condition",Scores!M$5:M$44,Scores!M22),"")</f>
        <v/>
      </c>
      <c r="AS22" s="1" t="str">
        <f aca="false">IF(AND(Scores!$B22=2,OR(Scores!$C22="Tool condition",Scores!$C22="Paper condition"),ISNUMBER(Scores!M22)),(COUNTIFS(Scores!$B$5:$B$44,2,Scores!$C$5:$C$44,"Tool condition",Scores!M$5:M$44,Scores!M22)+COUNTIFS(Scores!$B$5:$B$44,2,Scores!$C$5:$C$44,"Paper condition",Scores!M$5:M$44,Scores!M22))^2-1,"")</f>
        <v/>
      </c>
      <c r="AT22" s="1" t="n">
        <f aca="false">IF(ISNUMBER(Scores!M22),Scores!M22^2,"")</f>
        <v>4</v>
      </c>
      <c r="AU22" s="1" t="str">
        <f aca="false">IF(AND(Scores!$B22=1,Scores!$C22="Tool condition",ISNUMBER(Scores!N22)),COUNTIFS(Scores!$B$5:$B$44,1,Scores!$C$5:$C$44,"Paper condition",Scores!N$5:N$44,"&lt;"&amp;Scores!N22)+0.5*COUNTIFS(Scores!$B$5:$B$44,1,Scores!$C$5:$C$44,"Paper condition",Scores!N$5:N$44,Scores!N22),"")</f>
        <v/>
      </c>
      <c r="AV22" s="1" t="n">
        <f aca="false">IF(AND(Scores!$B22=1,OR(Scores!$C22="Tool condition",Scores!$C22="Paper condition"),ISNUMBER(Scores!N22)),(COUNTIFS(Scores!$B$5:$B$44,1,Scores!$C$5:$C$44,"Tool condition",Scores!N$5:N$44,Scores!N22)+COUNTIFS(Scores!$B$5:$B$44,1,Scores!$C$5:$C$44,"Paper condition",Scores!N$5:N$44,Scores!N22))^2-1,"")</f>
        <v>195</v>
      </c>
      <c r="AW22" s="1" t="str">
        <f aca="false">IF(AND(Scores!$B22=2,Scores!$C22="Tool condition",ISNUMBER(Scores!N22)),COUNTIFS(Scores!$B$5:$B$44,2,Scores!$C$5:$C$44,"Paper condition",Scores!N$5:N$44,"&lt;"&amp;Scores!N22)+0.5*COUNTIFS(Scores!$B$5:$B$44,2,Scores!$C$5:$C$44,"Paper condition",Scores!N$5:N$44,Scores!N22),"")</f>
        <v/>
      </c>
      <c r="AX22" s="1" t="str">
        <f aca="false">IF(AND(Scores!$B22=2,OR(Scores!$C22="Tool condition",Scores!$C22="Paper condition"),ISNUMBER(Scores!N22)),(COUNTIFS(Scores!$B$5:$B$44,2,Scores!$C$5:$C$44,"Tool condition",Scores!N$5:N$44,Scores!N22)+COUNTIFS(Scores!$B$5:$B$44,2,Scores!$C$5:$C$44,"Paper condition",Scores!N$5:N$44,Scores!N22))^2-1,"")</f>
        <v/>
      </c>
      <c r="AY22" s="1" t="n">
        <f aca="false">IF(ISNUMBER(Scores!N22),Scores!N22^2,"")</f>
        <v>4</v>
      </c>
      <c r="AZ22" s="1" t="str">
        <f aca="false">IF(AND(Scores!$B22=1,Scores!$C22="Tool condition",ISNUMBER(Scores!O22)),COUNTIFS(Scores!$B$5:$B$44,1,Scores!$C$5:$C$44,"Paper condition",Scores!O$5:O$44,"&lt;"&amp;Scores!O22)+0.5*COUNTIFS(Scores!$B$5:$B$44,1,Scores!$C$5:$C$44,"Paper condition",Scores!O$5:O$44,Scores!O22),"")</f>
        <v/>
      </c>
      <c r="BA22" s="1" t="n">
        <f aca="false">IF(AND(Scores!$B22=1,OR(Scores!$C22="Tool condition",Scores!$C22="Paper condition"),ISNUMBER(Scores!O22)),(COUNTIFS(Scores!$B$5:$B$44,1,Scores!$C$5:$C$44,"Tool condition",Scores!O$5:O$44,Scores!O22)+COUNTIFS(Scores!$B$5:$B$44,1,Scores!$C$5:$C$44,"Paper condition",Scores!O$5:O$44,Scores!O22))^2-1,"")</f>
        <v>224</v>
      </c>
      <c r="BB22" s="1" t="str">
        <f aca="false">IF(AND(Scores!$B22=2,Scores!$C22="Tool condition",ISNUMBER(Scores!O22)),COUNTIFS(Scores!$B$5:$B$44,2,Scores!$C$5:$C$44,"Paper condition",Scores!O$5:O$44,"&lt;"&amp;Scores!O22)+0.5*COUNTIFS(Scores!$B$5:$B$44,2,Scores!$C$5:$C$44,"Paper condition",Scores!O$5:O$44,Scores!O22),"")</f>
        <v/>
      </c>
      <c r="BC22" s="1" t="str">
        <f aca="false">IF(AND(Scores!$B22=2,OR(Scores!$C22="Tool condition",Scores!$C22="Paper condition"),ISNUMBER(Scores!O22)),(COUNTIFS(Scores!$B$5:$B$44,2,Scores!$C$5:$C$44,"Tool condition",Scores!O$5:O$44,Scores!O22)+COUNTIFS(Scores!$B$5:$B$44,2,Scores!$C$5:$C$44,"Paper condition",Scores!O$5:O$44,Scores!O22))^2-1,"")</f>
        <v/>
      </c>
      <c r="BD22" s="1" t="n">
        <f aca="false">IF(ISNUMBER(Scores!O22),Scores!O22^2,"")</f>
        <v>4</v>
      </c>
      <c r="BE22" s="1" t="str">
        <f aca="false">IF(AND(Scores!$B22=1,Scores!$C22="Tool condition",ISNUMBER(Scores!P22)),COUNTIFS(Scores!$B$5:$B$44,1,Scores!$C$5:$C$44,"Paper condition",Scores!P$5:P$44,"&lt;"&amp;Scores!P22)+0.5*COUNTIFS(Scores!$B$5:$B$44,1,Scores!$C$5:$C$44,"Paper condition",Scores!P$5:P$44,Scores!P22),"")</f>
        <v/>
      </c>
      <c r="BF22" s="1" t="n">
        <f aca="false">IF(AND(Scores!$B22=1,OR(Scores!$C22="Tool condition",Scores!$C22="Paper condition"),ISNUMBER(Scores!P22)),(COUNTIFS(Scores!$B$5:$B$44,1,Scores!$C$5:$C$44,"Tool condition",Scores!P$5:P$44,Scores!P22)+COUNTIFS(Scores!$B$5:$B$44,1,Scores!$C$5:$C$44,"Paper condition",Scores!P$5:P$44,Scores!P22))^2-1,"")</f>
        <v>35</v>
      </c>
      <c r="BG22" s="1" t="str">
        <f aca="false">IF(AND(Scores!$B22=2,Scores!$C22="Tool condition",ISNUMBER(Scores!P22)),COUNTIFS(Scores!$B$5:$B$44,2,Scores!$C$5:$C$44,"Paper condition",Scores!P$5:P$44,"&lt;"&amp;Scores!P22)+0.5*COUNTIFS(Scores!$B$5:$B$44,2,Scores!$C$5:$C$44,"Paper condition",Scores!P$5:P$44,Scores!P22),"")</f>
        <v/>
      </c>
      <c r="BH22" s="1" t="str">
        <f aca="false">IF(AND(Scores!$B22=2,OR(Scores!$C22="Tool condition",Scores!$C22="Paper condition"),ISNUMBER(Scores!P22)),(COUNTIFS(Scores!$B$5:$B$44,2,Scores!$C$5:$C$44,"Tool condition",Scores!P$5:P$44,Scores!P22)+COUNTIFS(Scores!$B$5:$B$44,2,Scores!$C$5:$C$44,"Paper condition",Scores!P$5:P$44,Scores!P22))^2-1,"")</f>
        <v/>
      </c>
      <c r="BI22" s="1" t="n">
        <f aca="false">IF(ISNUMBER(Scores!P22),Scores!P22^2,"")</f>
        <v>1</v>
      </c>
      <c r="BJ22" s="1" t="str">
        <f aca="false">IF(AND(R_Scores!$B22=1,R_Scores!$C22="Tool condition",ISNUMBER(R_Scores!E22)),COUNTIFS(R_Scores!$B$5:$B$44,1,R_Scores!$C$5:$C$44,"Paper condition",R_Scores!E$5:E$44,"&lt;"&amp;R_Scores!E22)+0.5*COUNTIFS(R_Scores!$B$5:$B$44,1,R_Scores!$C$5:$C$44,"Paper condition",R_Scores!E$5:E$44,R_Scores!E22),"")</f>
        <v/>
      </c>
      <c r="BK22" s="1" t="n">
        <f aca="false">IF(AND(R_Scores!$B22=1,OR(R_Scores!$C22="Tool condition",R_Scores!$C22="Paper condition"),ISNUMBER(R_Scores!E22)),(COUNTIFS(R_Scores!$B$5:$B$44,1,R_Scores!$C$5:$C$44,"Tool condition",R_Scores!E$5:E$44,R_Scores!E22)+COUNTIFS(R_Scores!$B$5:$B$44,1,R_Scores!$C$5:$C$44,"Paper condition",R_Scores!E$5:E$44,R_Scores!E22))^2-1,"")</f>
        <v>224</v>
      </c>
      <c r="BL22" s="1" t="str">
        <f aca="false">IF(AND(R_Scores!$B22=2,R_Scores!$C22="Tool condition",ISNUMBER(R_Scores!E22)),COUNTIFS(R_Scores!$B$5:$B$44,2,R_Scores!$C$5:$C$44,"Paper condition",R_Scores!E$5:E$44,"&lt;"&amp;R_Scores!E22)+0.5*COUNTIFS(R_Scores!$B$5:$B$44,2,R_Scores!$C$5:$C$44,"Paper condition",R_Scores!E$5:E$44,R_Scores!E22),"")</f>
        <v/>
      </c>
      <c r="BM22" s="1" t="str">
        <f aca="false">IF(AND(R_Scores!$B22=2,OR(R_Scores!$C22="Tool condition",R_Scores!$C22="Paper condition"),ISNUMBER(R_Scores!E22)),(COUNTIFS(R_Scores!$B$5:$B$44,2,R_Scores!$C$5:$C$44,"Tool condition",R_Scores!E$5:E$44,R_Scores!E22)+COUNTIFS(R_Scores!$B$5:$B$44,2,R_Scores!$C$5:$C$44,"Paper condition",R_Scores!E$5:E$44,R_Scores!E22))^2-1,"")</f>
        <v/>
      </c>
      <c r="BN22" s="1" t="n">
        <f aca="false">IF(ISNUMBER(R_Scores!E22),R_Scores!E22^2,"")</f>
        <v>1</v>
      </c>
      <c r="BO22" s="1" t="str">
        <f aca="false">IF(AND(R_Scores!$B22=1,R_Scores!$C22="Tool condition",ISNUMBER(R_Scores!F22)),COUNTIFS(R_Scores!$B$5:$B$44,1,R_Scores!$C$5:$C$44,"Paper condition",R_Scores!F$5:F$44,"&lt;"&amp;R_Scores!F22)+0.5*COUNTIFS(R_Scores!$B$5:$B$44,1,R_Scores!$C$5:$C$44,"Paper condition",R_Scores!F$5:F$44,R_Scores!F22),"")</f>
        <v/>
      </c>
      <c r="BP22" s="1" t="n">
        <f aca="false">IF(AND(R_Scores!$B22=1,OR(R_Scores!$C22="Tool condition",R_Scores!$C22="Paper condition"),ISNUMBER(R_Scores!F22)),(COUNTIFS(R_Scores!$B$5:$B$44,1,R_Scores!$C$5:$C$44,"Tool condition",R_Scores!F$5:F$44,R_Scores!F22)+COUNTIFS(R_Scores!$B$5:$B$44,1,R_Scores!$C$5:$C$44,"Paper condition",R_Scores!F$5:F$44,R_Scores!F22))^2-1,"")</f>
        <v>195</v>
      </c>
      <c r="BQ22" s="1" t="str">
        <f aca="false">IF(AND(R_Scores!$B22=2,R_Scores!$C22="Tool condition",ISNUMBER(R_Scores!F22)),COUNTIFS(R_Scores!$B$5:$B$44,2,R_Scores!$C$5:$C$44,"Paper condition",R_Scores!F$5:F$44,"&lt;"&amp;R_Scores!F22)+0.5*COUNTIFS(R_Scores!$B$5:$B$44,2,R_Scores!$C$5:$C$44,"Paper condition",R_Scores!F$5:F$44,R_Scores!F22),"")</f>
        <v/>
      </c>
      <c r="BR22" s="1" t="str">
        <f aca="false">IF(AND(R_Scores!$B22=2,OR(R_Scores!$C22="Tool condition",R_Scores!$C22="Paper condition"),ISNUMBER(R_Scores!F22)),(COUNTIFS(R_Scores!$B$5:$B$44,2,R_Scores!$C$5:$C$44,"Tool condition",R_Scores!F$5:F$44,R_Scores!F22)+COUNTIFS(R_Scores!$B$5:$B$44,2,R_Scores!$C$5:$C$44,"Paper condition",R_Scores!F$5:F$44,R_Scores!F22))^2-1,"")</f>
        <v/>
      </c>
      <c r="BS22" s="1" t="n">
        <f aca="false">IF(ISNUMBER(R_Scores!F22),R_Scores!F22^2,"")</f>
        <v>1</v>
      </c>
      <c r="BT22" s="1" t="str">
        <f aca="false">IF(AND(R_Scores!$B22=1,R_Scores!$C22="Tool condition",ISNUMBER(R_Scores!G22)),COUNTIFS(R_Scores!$B$5:$B$44,1,R_Scores!$C$5:$C$44,"Paper condition",R_Scores!G$5:G$44,"&lt;"&amp;R_Scores!G22)+0.5*COUNTIFS(R_Scores!$B$5:$B$44,1,R_Scores!$C$5:$C$44,"Paper condition",R_Scores!G$5:G$44,R_Scores!G22),"")</f>
        <v/>
      </c>
      <c r="BU22" s="1" t="str">
        <f aca="false">IF(AND(R_Scores!$B22=1,OR(R_Scores!$C22="Tool condition",R_Scores!$C22="Paper condition"),ISNUMBER(R_Scores!G22)),(COUNTIFS(R_Scores!$B$5:$B$44,1,R_Scores!$C$5:$C$44,"Tool condition",R_Scores!G$5:G$44,R_Scores!G22)+COUNTIFS(R_Scores!$B$5:$B$44,1,R_Scores!$C$5:$C$44,"Paper condition",R_Scores!G$5:G$44,R_Scores!G22))^2-1,"")</f>
        <v/>
      </c>
      <c r="BV22" s="1" t="str">
        <f aca="false">IF(AND(R_Scores!$B22=2,R_Scores!$C22="Tool condition",ISNUMBER(R_Scores!G22)),COUNTIFS(R_Scores!$B$5:$B$44,2,R_Scores!$C$5:$C$44,"Paper condition",R_Scores!G$5:G$44,"&lt;"&amp;R_Scores!G22)+0.5*COUNTIFS(R_Scores!$B$5:$B$44,2,R_Scores!$C$5:$C$44,"Paper condition",R_Scores!G$5:G$44,R_Scores!G22),"")</f>
        <v/>
      </c>
      <c r="BW22" s="1" t="str">
        <f aca="false">IF(AND(R_Scores!$B22=2,OR(R_Scores!$C22="Tool condition",R_Scores!$C22="Paper condition"),ISNUMBER(R_Scores!G22)),(COUNTIFS(R_Scores!$B$5:$B$44,2,R_Scores!$C$5:$C$44,"Tool condition",R_Scores!G$5:G$44,R_Scores!G22)+COUNTIFS(R_Scores!$B$5:$B$44,2,R_Scores!$C$5:$C$44,"Paper condition",R_Scores!G$5:G$44,R_Scores!G22))^2-1,"")</f>
        <v/>
      </c>
      <c r="BX22" s="1" t="str">
        <f aca="false">IF(ISNUMBER(R_Scores!G22),R_Scores!G22^2,"")</f>
        <v/>
      </c>
      <c r="BY22" s="1" t="str">
        <f aca="false">IF(AND(R_Scores!$B22=1,R_Scores!$C22="Tool condition",ISNUMBER(R_Scores!H22)),COUNTIFS(R_Scores!$B$5:$B$44,1,R_Scores!$C$5:$C$44,"Paper condition",R_Scores!H$5:H$44,"&lt;"&amp;R_Scores!H22)+0.5*COUNTIFS(R_Scores!$B$5:$B$44,1,R_Scores!$C$5:$C$44,"Paper condition",R_Scores!H$5:H$44,R_Scores!H22),"")</f>
        <v/>
      </c>
      <c r="BZ22" s="1" t="str">
        <f aca="false">IF(AND(R_Scores!$B22=1,OR(R_Scores!$C22="Tool condition",R_Scores!$C22="Paper condition"),ISNUMBER(R_Scores!H22)),(COUNTIFS(R_Scores!$B$5:$B$44,1,R_Scores!$C$5:$C$44,"Tool condition",R_Scores!H$5:H$44,R_Scores!H22)+COUNTIFS(R_Scores!$B$5:$B$44,1,R_Scores!$C$5:$C$44,"Paper condition",R_Scores!H$5:H$44,R_Scores!H22))^2-1,"")</f>
        <v/>
      </c>
      <c r="CA22" s="1" t="str">
        <f aca="false">IF(AND(R_Scores!$B22=2,R_Scores!$C22="Tool condition",ISNUMBER(R_Scores!H22)),COUNTIFS(R_Scores!$B$5:$B$44,2,R_Scores!$C$5:$C$44,"Paper condition",R_Scores!H$5:H$44,"&lt;"&amp;R_Scores!H22)+0.5*COUNTIFS(R_Scores!$B$5:$B$44,2,R_Scores!$C$5:$C$44,"Paper condition",R_Scores!H$5:H$44,R_Scores!H22),"")</f>
        <v/>
      </c>
      <c r="CB22" s="1" t="str">
        <f aca="false">IF(AND(R_Scores!$B22=2,OR(R_Scores!$C22="Tool condition",R_Scores!$C22="Paper condition"),ISNUMBER(R_Scores!H22)),(COUNTIFS(R_Scores!$B$5:$B$44,2,R_Scores!$C$5:$C$44,"Tool condition",R_Scores!H$5:H$44,R_Scores!H22)+COUNTIFS(R_Scores!$B$5:$B$44,2,R_Scores!$C$5:$C$44,"Paper condition",R_Scores!H$5:H$44,R_Scores!H22))^2-1,"")</f>
        <v/>
      </c>
      <c r="CC22" s="1" t="str">
        <f aca="false">IF(ISNUMBER(R_Scores!H22),R_Scores!H22^2,"")</f>
        <v/>
      </c>
      <c r="CD22" s="1" t="str">
        <f aca="false">IF(AND(R_Scores!$B22=1,R_Scores!$C22="Tool condition",ISNUMBER(R_Scores!I22)),COUNTIFS(R_Scores!$B$5:$B$44,1,R_Scores!$C$5:$C$44,"Paper condition",R_Scores!I$5:I$44,"&lt;"&amp;R_Scores!I22)+0.5*COUNTIFS(R_Scores!$B$5:$B$44,1,R_Scores!$C$5:$C$44,"Paper condition",R_Scores!I$5:I$44,R_Scores!I22),"")</f>
        <v/>
      </c>
      <c r="CE22" s="1" t="n">
        <f aca="false">IF(AND(R_Scores!$B22=1,OR(R_Scores!$C22="Tool condition",R_Scores!$C22="Paper condition"),ISNUMBER(R_Scores!I22)),(COUNTIFS(R_Scores!$B$5:$B$44,1,R_Scores!$C$5:$C$44,"Tool condition",R_Scores!I$5:I$44,R_Scores!I22)+COUNTIFS(R_Scores!$B$5:$B$44,1,R_Scores!$C$5:$C$44,"Paper condition",R_Scores!I$5:I$44,R_Scores!I22))^2-1,"")</f>
        <v>168</v>
      </c>
      <c r="CF22" s="1" t="str">
        <f aca="false">IF(AND(R_Scores!$B22=2,R_Scores!$C22="Tool condition",ISNUMBER(R_Scores!I22)),COUNTIFS(R_Scores!$B$5:$B$44,2,R_Scores!$C$5:$C$44,"Paper condition",R_Scores!I$5:I$44,"&lt;"&amp;R_Scores!I22)+0.5*COUNTIFS(R_Scores!$B$5:$B$44,2,R_Scores!$C$5:$C$44,"Paper condition",R_Scores!I$5:I$44,R_Scores!I22),"")</f>
        <v/>
      </c>
      <c r="CG22" s="1" t="str">
        <f aca="false">IF(AND(R_Scores!$B22=2,OR(R_Scores!$C22="Tool condition",R_Scores!$C22="Paper condition"),ISNUMBER(R_Scores!I22)),(COUNTIFS(R_Scores!$B$5:$B$44,2,R_Scores!$C$5:$C$44,"Tool condition",R_Scores!I$5:I$44,R_Scores!I22)+COUNTIFS(R_Scores!$B$5:$B$44,2,R_Scores!$C$5:$C$44,"Paper condition",R_Scores!I$5:I$44,R_Scores!I22))^2-1,"")</f>
        <v/>
      </c>
      <c r="CH22" s="1" t="n">
        <f aca="false">IF(ISNUMBER(R_Scores!I22),R_Scores!I22^2,"")</f>
        <v>1</v>
      </c>
      <c r="CI22" s="1" t="str">
        <f aca="false">IF(AND(R_Scores!$B22=1,R_Scores!$C22="Tool condition",ISNUMBER(R_Scores!J22)),COUNTIFS(R_Scores!$B$5:$B$44,1,R_Scores!$C$5:$C$44,"Paper condition",R_Scores!J$5:J$44,"&lt;"&amp;R_Scores!J22)+0.5*COUNTIFS(R_Scores!$B$5:$B$44,1,R_Scores!$C$5:$C$44,"Paper condition",R_Scores!J$5:J$44,R_Scores!J22),"")</f>
        <v/>
      </c>
      <c r="CJ22" s="1" t="n">
        <f aca="false">IF(AND(R_Scores!$B22=1,OR(R_Scores!$C22="Tool condition",R_Scores!$C22="Paper condition"),ISNUMBER(R_Scores!J22)),(COUNTIFS(R_Scores!$B$5:$B$44,1,R_Scores!$C$5:$C$44,"Tool condition",R_Scores!J$5:J$44,R_Scores!J22)+COUNTIFS(R_Scores!$B$5:$B$44,1,R_Scores!$C$5:$C$44,"Paper condition",R_Scores!J$5:J$44,R_Scores!J22))^2-1,"")</f>
        <v>224</v>
      </c>
      <c r="CK22" s="1" t="str">
        <f aca="false">IF(AND(R_Scores!$B22=2,R_Scores!$C22="Tool condition",ISNUMBER(R_Scores!J22)),COUNTIFS(R_Scores!$B$5:$B$44,2,R_Scores!$C$5:$C$44,"Paper condition",R_Scores!J$5:J$44,"&lt;"&amp;R_Scores!J22)+0.5*COUNTIFS(R_Scores!$B$5:$B$44,2,R_Scores!$C$5:$C$44,"Paper condition",R_Scores!J$5:J$44,R_Scores!J22),"")</f>
        <v/>
      </c>
      <c r="CL22" s="1" t="str">
        <f aca="false">IF(AND(R_Scores!$B22=2,OR(R_Scores!$C22="Tool condition",R_Scores!$C22="Paper condition"),ISNUMBER(R_Scores!J22)),(COUNTIFS(R_Scores!$B$5:$B$44,2,R_Scores!$C$5:$C$44,"Tool condition",R_Scores!J$5:J$44,R_Scores!J22)+COUNTIFS(R_Scores!$B$5:$B$44,2,R_Scores!$C$5:$C$44,"Paper condition",R_Scores!J$5:J$44,R_Scores!J22))^2-1,"")</f>
        <v/>
      </c>
      <c r="CM22" s="1" t="n">
        <f aca="false">IF(ISNUMBER(R_Scores!J22),R_Scores!J22^2,"")</f>
        <v>1</v>
      </c>
      <c r="CN22" s="1" t="str">
        <f aca="false">IF(AND(R_Scores!$B22=1,R_Scores!$C22="Tool condition",ISNUMBER(R_Scores!K22)),COUNTIFS(R_Scores!$B$5:$B$44,1,R_Scores!$C$5:$C$44,"Paper condition",R_Scores!K$5:K$44,"&lt;"&amp;R_Scores!K22)+0.5*COUNTIFS(R_Scores!$B$5:$B$44,1,R_Scores!$C$5:$C$44,"Paper condition",R_Scores!K$5:K$44,R_Scores!K22),"")</f>
        <v/>
      </c>
      <c r="CO22" s="1" t="str">
        <f aca="false">IF(AND(R_Scores!$B22=1,OR(R_Scores!$C22="Tool condition",R_Scores!$C22="Paper condition"),ISNUMBER(R_Scores!K22)),(COUNTIFS(R_Scores!$B$5:$B$44,1,R_Scores!$C$5:$C$44,"Tool condition",R_Scores!K$5:K$44,R_Scores!K22)+COUNTIFS(R_Scores!$B$5:$B$44,1,R_Scores!$C$5:$C$44,"Paper condition",R_Scores!K$5:K$44,R_Scores!K22))^2-1,"")</f>
        <v/>
      </c>
      <c r="CP22" s="1" t="str">
        <f aca="false">IF(AND(R_Scores!$B22=2,R_Scores!$C22="Tool condition",ISNUMBER(R_Scores!K22)),COUNTIFS(R_Scores!$B$5:$B$44,2,R_Scores!$C$5:$C$44,"Paper condition",R_Scores!K$5:K$44,"&lt;"&amp;R_Scores!K22)+0.5*COUNTIFS(R_Scores!$B$5:$B$44,2,R_Scores!$C$5:$C$44,"Paper condition",R_Scores!K$5:K$44,R_Scores!K22),"")</f>
        <v/>
      </c>
      <c r="CQ22" s="1" t="str">
        <f aca="false">IF(AND(R_Scores!$B22=2,OR(R_Scores!$C22="Tool condition",R_Scores!$C22="Paper condition"),ISNUMBER(R_Scores!K22)),(COUNTIFS(R_Scores!$B$5:$B$44,2,R_Scores!$C$5:$C$44,"Tool condition",R_Scores!K$5:K$44,R_Scores!K22)+COUNTIFS(R_Scores!$B$5:$B$44,2,R_Scores!$C$5:$C$44,"Paper condition",R_Scores!K$5:K$44,R_Scores!K22))^2-1,"")</f>
        <v/>
      </c>
      <c r="CR22" s="1" t="str">
        <f aca="false">IF(ISNUMBER(R_Scores!K22),R_Scores!K22^2,"")</f>
        <v/>
      </c>
      <c r="CS22" s="1" t="str">
        <f aca="false">IF(AND(R_Scores!$B22=1,R_Scores!$C22="Tool condition",ISNUMBER(R_Scores!L22)),COUNTIFS(R_Scores!$B$5:$B$44,1,R_Scores!$C$5:$C$44,"Paper condition",R_Scores!L$5:L$44,"&lt;"&amp;R_Scores!L22)+0.5*COUNTIFS(R_Scores!$B$5:$B$44,1,R_Scores!$C$5:$C$44,"Paper condition",R_Scores!L$5:L$44,R_Scores!L22),"")</f>
        <v/>
      </c>
      <c r="CT22" s="1" t="str">
        <f aca="false">IF(AND(R_Scores!$B22=1,OR(R_Scores!$C22="Tool condition",R_Scores!$C22="Paper condition"),ISNUMBER(R_Scores!L22)),(COUNTIFS(R_Scores!$B$5:$B$44,1,R_Scores!$C$5:$C$44,"Tool condition",R_Scores!L$5:L$44,R_Scores!L22)+COUNTIFS(R_Scores!$B$5:$B$44,1,R_Scores!$C$5:$C$44,"Paper condition",R_Scores!L$5:L$44,R_Scores!L22))^2-1,"")</f>
        <v/>
      </c>
      <c r="CU22" s="1" t="str">
        <f aca="false">IF(AND(R_Scores!$B22=2,R_Scores!$C22="Tool condition",ISNUMBER(R_Scores!L22)),COUNTIFS(R_Scores!$B$5:$B$44,2,R_Scores!$C$5:$C$44,"Paper condition",R_Scores!L$5:L$44,"&lt;"&amp;R_Scores!L22)+0.5*COUNTIFS(R_Scores!$B$5:$B$44,2,R_Scores!$C$5:$C$44,"Paper condition",R_Scores!L$5:L$44,R_Scores!L22),"")</f>
        <v/>
      </c>
      <c r="CV22" s="1" t="str">
        <f aca="false">IF(AND(R_Scores!$B22=2,OR(R_Scores!$C22="Tool condition",R_Scores!$C22="Paper condition"),ISNUMBER(R_Scores!L22)),(COUNTIFS(R_Scores!$B$5:$B$44,2,R_Scores!$C$5:$C$44,"Tool condition",R_Scores!L$5:L$44,R_Scores!L22)+COUNTIFS(R_Scores!$B$5:$B$44,2,R_Scores!$C$5:$C$44,"Paper condition",R_Scores!L$5:L$44,R_Scores!L22))^2-1,"")</f>
        <v/>
      </c>
      <c r="CW22" s="1" t="str">
        <f aca="false">IF(ISNUMBER(R_Scores!L22),R_Scores!L22^2,"")</f>
        <v/>
      </c>
      <c r="CX22" s="1" t="str">
        <f aca="false">IF(AND(R_Scores!$B22=1,R_Scores!$C22="Tool condition",ISNUMBER(R_Scores!M22)),COUNTIFS(R_Scores!$B$5:$B$44,1,R_Scores!$C$5:$C$44,"Paper condition",R_Scores!M$5:M$44,"&lt;"&amp;R_Scores!M22)+0.5*COUNTIFS(R_Scores!$B$5:$B$44,1,R_Scores!$C$5:$C$44,"Paper condition",R_Scores!M$5:M$44,R_Scores!M22),"")</f>
        <v/>
      </c>
      <c r="CY22" s="1" t="str">
        <f aca="false">IF(AND(R_Scores!$B22=1,OR(R_Scores!$C22="Tool condition",R_Scores!$C22="Paper condition"),ISNUMBER(R_Scores!M22)),(COUNTIFS(R_Scores!$B$5:$B$44,1,R_Scores!$C$5:$C$44,"Tool condition",R_Scores!M$5:M$44,R_Scores!M22)+COUNTIFS(R_Scores!$B$5:$B$44,1,R_Scores!$C$5:$C$44,"Paper condition",R_Scores!M$5:M$44,R_Scores!M22))^2-1,"")</f>
        <v/>
      </c>
      <c r="CZ22" s="1" t="str">
        <f aca="false">IF(AND(R_Scores!$B22=2,R_Scores!$C22="Tool condition",ISNUMBER(R_Scores!M22)),COUNTIFS(R_Scores!$B$5:$B$44,2,R_Scores!$C$5:$C$44,"Paper condition",R_Scores!M$5:M$44,"&lt;"&amp;R_Scores!M22)+0.5*COUNTIFS(R_Scores!$B$5:$B$44,2,R_Scores!$C$5:$C$44,"Paper condition",R_Scores!M$5:M$44,R_Scores!M22),"")</f>
        <v/>
      </c>
      <c r="DA22" s="1" t="str">
        <f aca="false">IF(AND(R_Scores!$B22=2,OR(R_Scores!$C22="Tool condition",R_Scores!$C22="Paper condition"),ISNUMBER(R_Scores!M22)),(COUNTIFS(R_Scores!$B$5:$B$44,2,R_Scores!$C$5:$C$44,"Tool condition",R_Scores!M$5:M$44,R_Scores!M22)+COUNTIFS(R_Scores!$B$5:$B$44,2,R_Scores!$C$5:$C$44,"Paper condition",R_Scores!M$5:M$44,R_Scores!M22))^2-1,"")</f>
        <v/>
      </c>
      <c r="DB22" s="1" t="str">
        <f aca="false">IF(ISNUMBER(R_Scores!M22),R_Scores!M22^2,"")</f>
        <v/>
      </c>
      <c r="DC22" s="1" t="str">
        <f aca="false">IF(AND(R_Scores!$B22=1,R_Scores!$C22="Tool condition",ISNUMBER(R_Scores!N22)),COUNTIFS(R_Scores!$B$5:$B$44,1,R_Scores!$C$5:$C$44,"Paper condition",R_Scores!N$5:N$44,"&lt;"&amp;R_Scores!N22)+0.5*COUNTIFS(R_Scores!$B$5:$B$44,1,R_Scores!$C$5:$C$44,"Paper condition",R_Scores!N$5:N$44,R_Scores!N22),"")</f>
        <v/>
      </c>
      <c r="DD22" s="1" t="n">
        <f aca="false">IF(AND(R_Scores!$B22=1,OR(R_Scores!$C22="Tool condition",R_Scores!$C22="Paper condition"),ISNUMBER(R_Scores!N22)),(COUNTIFS(R_Scores!$B$5:$B$44,1,R_Scores!$C$5:$C$44,"Tool condition",R_Scores!N$5:N$44,R_Scores!N22)+COUNTIFS(R_Scores!$B$5:$B$44,1,R_Scores!$C$5:$C$44,"Paper condition",R_Scores!N$5:N$44,R_Scores!N22))^2-1,"")</f>
        <v>143</v>
      </c>
      <c r="DE22" s="1" t="str">
        <f aca="false">IF(AND(R_Scores!$B22=2,R_Scores!$C22="Tool condition",ISNUMBER(R_Scores!N22)),COUNTIFS(R_Scores!$B$5:$B$44,2,R_Scores!$C$5:$C$44,"Paper condition",R_Scores!N$5:N$44,"&lt;"&amp;R_Scores!N22)+0.5*COUNTIFS(R_Scores!$B$5:$B$44,2,R_Scores!$C$5:$C$44,"Paper condition",R_Scores!N$5:N$44,R_Scores!N22),"")</f>
        <v/>
      </c>
      <c r="DF22" s="1" t="str">
        <f aca="false">IF(AND(R_Scores!$B22=2,OR(R_Scores!$C22="Tool condition",R_Scores!$C22="Paper condition"),ISNUMBER(R_Scores!N22)),(COUNTIFS(R_Scores!$B$5:$B$44,2,R_Scores!$C$5:$C$44,"Tool condition",R_Scores!N$5:N$44,R_Scores!N22)+COUNTIFS(R_Scores!$B$5:$B$44,2,R_Scores!$C$5:$C$44,"Paper condition",R_Scores!N$5:N$44,R_Scores!N22))^2-1,"")</f>
        <v/>
      </c>
      <c r="DG22" s="1" t="n">
        <f aca="false">IF(ISNUMBER(R_Scores!N22),R_Scores!N22^2,"")</f>
        <v>1</v>
      </c>
      <c r="DH22" s="1" t="str">
        <f aca="false">IF(AND(R_Scores!$B22=1,R_Scores!$C22="Tool condition",ISNUMBER(R_Scores!O22)),COUNTIFS(R_Scores!$B$5:$B$44,1,R_Scores!$C$5:$C$44,"Paper condition",R_Scores!O$5:O$44,"&lt;"&amp;R_Scores!O22)+0.5*COUNTIFS(R_Scores!$B$5:$B$44,1,R_Scores!$C$5:$C$44,"Paper condition",R_Scores!O$5:O$44,R_Scores!O22),"")</f>
        <v/>
      </c>
      <c r="DI22" s="1" t="n">
        <f aca="false">IF(AND(R_Scores!$B22=1,OR(R_Scores!$C22="Tool condition",R_Scores!$C22="Paper condition"),ISNUMBER(R_Scores!O22)),(COUNTIFS(R_Scores!$B$5:$B$44,1,R_Scores!$C$5:$C$44,"Tool condition",R_Scores!O$5:O$44,R_Scores!O22)+COUNTIFS(R_Scores!$B$5:$B$44,1,R_Scores!$C$5:$C$44,"Paper condition",R_Scores!O$5:O$44,R_Scores!O22))^2-1,"")</f>
        <v>168</v>
      </c>
      <c r="DJ22" s="1" t="str">
        <f aca="false">IF(AND(R_Scores!$B22=2,R_Scores!$C22="Tool condition",ISNUMBER(R_Scores!O22)),COUNTIFS(R_Scores!$B$5:$B$44,2,R_Scores!$C$5:$C$44,"Paper condition",R_Scores!O$5:O$44,"&lt;"&amp;R_Scores!O22)+0.5*COUNTIFS(R_Scores!$B$5:$B$44,2,R_Scores!$C$5:$C$44,"Paper condition",R_Scores!O$5:O$44,R_Scores!O22),"")</f>
        <v/>
      </c>
      <c r="DK22" s="1" t="str">
        <f aca="false">IF(AND(R_Scores!$B22=2,OR(R_Scores!$C22="Tool condition",R_Scores!$C22="Paper condition"),ISNUMBER(R_Scores!O22)),(COUNTIFS(R_Scores!$B$5:$B$44,2,R_Scores!$C$5:$C$44,"Tool condition",R_Scores!O$5:O$44,R_Scores!O22)+COUNTIFS(R_Scores!$B$5:$B$44,2,R_Scores!$C$5:$C$44,"Paper condition",R_Scores!O$5:O$44,R_Scores!O22))^2-1,"")</f>
        <v/>
      </c>
      <c r="DL22" s="1" t="n">
        <f aca="false">IF(ISNUMBER(R_Scores!O22),R_Scores!O22^2,"")</f>
        <v>1</v>
      </c>
      <c r="DM22" s="1" t="str">
        <f aca="false">IF(AND(R_Scores!$B22=1,R_Scores!$C22="Tool condition",ISNUMBER(R_Scores!P22)),COUNTIFS(R_Scores!$B$5:$B$44,1,R_Scores!$C$5:$C$44,"Paper condition",R_Scores!P$5:P$44,"&lt;"&amp;R_Scores!P22)+0.5*COUNTIFS(R_Scores!$B$5:$B$44,1,R_Scores!$C$5:$C$44,"Paper condition",R_Scores!P$5:P$44,R_Scores!P22),"")</f>
        <v/>
      </c>
      <c r="DN22" s="1" t="n">
        <f aca="false">IF(AND(R_Scores!$B22=1,OR(R_Scores!$C22="Tool condition",R_Scores!$C22="Paper condition"),ISNUMBER(R_Scores!P22)),(COUNTIFS(R_Scores!$B$5:$B$44,1,R_Scores!$C$5:$C$44,"Tool condition",R_Scores!P$5:P$44,R_Scores!P22)+COUNTIFS(R_Scores!$B$5:$B$44,1,R_Scores!$C$5:$C$44,"Paper condition",R_Scores!P$5:P$44,R_Scores!P22))^2-1,"")</f>
        <v>80</v>
      </c>
      <c r="DO22" s="1" t="str">
        <f aca="false">IF(AND(R_Scores!$B22=2,R_Scores!$C22="Tool condition",ISNUMBER(R_Scores!P22)),COUNTIFS(R_Scores!$B$5:$B$44,2,R_Scores!$C$5:$C$44,"Paper condition",R_Scores!P$5:P$44,"&lt;"&amp;R_Scores!P22)+0.5*COUNTIFS(R_Scores!$B$5:$B$44,2,R_Scores!$C$5:$C$44,"Paper condition",R_Scores!P$5:P$44,R_Scores!P22),"")</f>
        <v/>
      </c>
      <c r="DP22" s="1" t="str">
        <f aca="false">IF(AND(R_Scores!$B22=2,OR(R_Scores!$C22="Tool condition",R_Scores!$C22="Paper condition"),ISNUMBER(R_Scores!P22)),(COUNTIFS(R_Scores!$B$5:$B$44,2,R_Scores!$C$5:$C$44,"Tool condition",R_Scores!P$5:P$44,R_Scores!P22)+COUNTIFS(R_Scores!$B$5:$B$44,2,R_Scores!$C$5:$C$44,"Paper condition",R_Scores!P$5:P$44,R_Scores!P22))^2-1,"")</f>
        <v/>
      </c>
      <c r="DQ22" s="1" t="n">
        <f aca="false">IF(ISNUMBER(R_Scores!P22),R_Scores!P22^2,"")</f>
        <v>0</v>
      </c>
      <c r="DR22" s="1" t="str">
        <f aca="false">IF(AND(Scores!$B22=1,Scores!$C22="Tool condition",ISNUMBER(Scores!Q22)),COUNTIFS(Scores!$B$5:$B$44,1,Scores!$C$5:$C$44,"Paper condition",Scores!Q$5:Q$44,"&lt;"&amp;Scores!Q22)+0.5*COUNTIFS(Scores!$B$5:$B$44,1,Scores!$C$5:$C$44,"Paper condition",Scores!Q$5:Q$44,Scores!Q22),"")</f>
        <v/>
      </c>
      <c r="DS22" s="1" t="n">
        <f aca="false">IF(AND(Scores!$B22=1,OR(Scores!$C22="Tool condition",Scores!$C22="Paper condition"),ISNUMBER(Scores!Q22)),(COUNTIFS(Scores!$B$5:$B$44,1,Scores!$C$5:$C$44,"Tool condition",Scores!Q$5:Q$44,Scores!Q22)+COUNTIFS(Scores!$B$5:$B$44,1,Scores!$C$5:$C$44,"Paper condition",Scores!Q$5:Q$44,Scores!Q22))^2-1,"")</f>
        <v>0</v>
      </c>
      <c r="DT22" s="1" t="str">
        <f aca="false">IF(AND(Scores!$B22=2,Scores!$C22="Tool condition",ISNUMBER(Scores!Q22)),COUNTIFS(Scores!$B$5:$B$44,2,Scores!$C$5:$C$44,"Paper condition",Scores!Q$5:Q$44,"&lt;"&amp;Scores!Q22)+0.5*COUNTIFS(Scores!$B$5:$B$44,2,Scores!$C$5:$C$44,"Paper condition",Scores!Q$5:Q$44,Scores!Q22),"")</f>
        <v/>
      </c>
      <c r="DU22" s="1" t="str">
        <f aca="false">IF(AND(Scores!$B22=2,OR(Scores!$C22="Tool condition",Scores!$C22="Paper condition"),ISNUMBER(Scores!Q22)),(COUNTIFS(Scores!$B$5:$B$44,2,Scores!$C$5:$C$44,"Tool condition",Scores!Q$5:Q$44,Scores!Q22)+COUNTIFS(Scores!$B$5:$B$44,2,Scores!$C$5:$C$44,"Paper condition",Scores!Q$5:Q$44,Scores!Q22))^2-1,"")</f>
        <v/>
      </c>
      <c r="DV22" s="1" t="n">
        <f aca="false">IF(ISNUMBER(Scores!Q22),Scores!Q22^2,"")</f>
        <v>529</v>
      </c>
      <c r="DW22" s="1" t="str">
        <f aca="false">IF(AND(Scores!$B22=1,Scores!$C22="Tool condition",ISNUMBER(Scores!R22)),COUNTIFS(Scores!$B$5:$B$44,1,Scores!$C$5:$C$44,"Paper condition",Scores!R$5:R$44,"&lt;"&amp;Scores!R22)+0.5*COUNTIFS(Scores!$B$5:$B$44,1,Scores!$C$5:$C$44,"Paper condition",Scores!R$5:R$44,Scores!R22),"")</f>
        <v/>
      </c>
      <c r="DX22" s="1" t="n">
        <f aca="false">IF(AND(Scores!$B22=1,OR(Scores!$C22="Tool condition",Scores!$C22="Paper condition"),ISNUMBER(Scores!R22)),(COUNTIFS(Scores!$B$5:$B$44,1,Scores!$C$5:$C$44,"Tool condition",Scores!R$5:R$44,Scores!R22)+COUNTIFS(Scores!$B$5:$B$44,1,Scores!$C$5:$C$44,"Paper condition",Scores!R$5:R$44,Scores!R22))^2-1,"")</f>
        <v>3</v>
      </c>
      <c r="DY22" s="1" t="str">
        <f aca="false">IF(AND(Scores!$B22=2,Scores!$C22="Tool condition",ISNUMBER(Scores!R22)),COUNTIFS(Scores!$B$5:$B$44,2,Scores!$C$5:$C$44,"Paper condition",Scores!R$5:R$44,"&lt;"&amp;Scores!R22)+0.5*COUNTIFS(Scores!$B$5:$B$44,2,Scores!$C$5:$C$44,"Paper condition",Scores!R$5:R$44,Scores!R22),"")</f>
        <v/>
      </c>
      <c r="DZ22" s="1" t="str">
        <f aca="false">IF(AND(Scores!$B22=2,OR(Scores!$C22="Tool condition",Scores!$C22="Paper condition"),ISNUMBER(Scores!R22)),(COUNTIFS(Scores!$B$5:$B$44,2,Scores!$C$5:$C$44,"Tool condition",Scores!R$5:R$44,Scores!R22)+COUNTIFS(Scores!$B$5:$B$44,2,Scores!$C$5:$C$44,"Paper condition",Scores!R$5:R$44,Scores!R22))^2-1,"")</f>
        <v/>
      </c>
      <c r="EA22" s="1" t="n">
        <f aca="false">IF(ISNUMBER(Scores!R22),Scores!R22^2,"")</f>
        <v>169</v>
      </c>
      <c r="EB22" s="1" t="str">
        <f aca="false">IF(AND(Scores!$B22=1,Scores!$C22="Tool condition",ISNUMBER(Scores!S22)),COUNTIFS(Scores!$B$5:$B$44,1,Scores!$C$5:$C$44,"Paper condition",Scores!S$5:S$44,"&lt;"&amp;Scores!S22)+0.5*COUNTIFS(Scores!$B$5:$B$44,1,Scores!$C$5:$C$44,"Paper condition",Scores!S$5:S$44,Scores!S22),"")</f>
        <v/>
      </c>
      <c r="EC22" s="1" t="n">
        <f aca="false">IF(AND(Scores!$B22=1,OR(Scores!$C22="Tool condition",Scores!$C22="Paper condition"),ISNUMBER(Scores!S22)),(COUNTIFS(Scores!$B$5:$B$44,1,Scores!$C$5:$C$44,"Tool condition",Scores!S$5:S$44,Scores!S22)+COUNTIFS(Scores!$B$5:$B$44,1,Scores!$C$5:$C$44,"Paper condition",Scores!S$5:S$44,Scores!S22))^2-1,"")</f>
        <v>143</v>
      </c>
      <c r="ED22" s="1" t="str">
        <f aca="false">IF(AND(Scores!$B22=2,Scores!$C22="Tool condition",ISNUMBER(Scores!S22)),COUNTIFS(Scores!$B$5:$B$44,2,Scores!$C$5:$C$44,"Paper condition",Scores!S$5:S$44,"&lt;"&amp;Scores!S22)+0.5*COUNTIFS(Scores!$B$5:$B$44,2,Scores!$C$5:$C$44,"Paper condition",Scores!S$5:S$44,Scores!S22),"")</f>
        <v/>
      </c>
      <c r="EE22" s="1" t="str">
        <f aca="false">IF(AND(Scores!$B22=2,OR(Scores!$C22="Tool condition",Scores!$C22="Paper condition"),ISNUMBER(Scores!S22)),(COUNTIFS(Scores!$B$5:$B$44,2,Scores!$C$5:$C$44,"Tool condition",Scores!S$5:S$44,Scores!S22)+COUNTIFS(Scores!$B$5:$B$44,2,Scores!$C$5:$C$44,"Paper condition",Scores!S$5:S$44,Scores!S22))^2-1,"")</f>
        <v/>
      </c>
      <c r="EF22" s="1" t="n">
        <f aca="false">IF(ISNUMBER(Scores!S22),Scores!S22^2,"")</f>
        <v>100</v>
      </c>
      <c r="EG22" s="1" t="str">
        <f aca="false">IF(AND(Scores!$B22=1,Scores!$C22="Tool condition",ISNUMBER(Scores!T22)),COUNTIFS(Scores!$B$5:$B$44,1,Scores!$C$5:$C$44,"Paper condition",Scores!T$5:T$44,"&lt;"&amp;Scores!T22)+0.5*COUNTIFS(Scores!$B$5:$B$44,1,Scores!$C$5:$C$44,"Paper condition",Scores!T$5:T$44,Scores!T22),"")</f>
        <v/>
      </c>
      <c r="EH22" s="1" t="n">
        <f aca="false">IF(AND(Scores!$B22=1,OR(Scores!$C22="Tool condition",Scores!$C22="Paper condition"),ISNUMBER(Scores!T22)),(COUNTIFS(Scores!$B$5:$B$44,1,Scores!$C$5:$C$44,"Tool condition",Scores!T$5:T$44,Scores!T22)+COUNTIFS(Scores!$B$5:$B$44,1,Scores!$C$5:$C$44,"Paper condition",Scores!T$5:T$44,Scores!T22))^2-1,"")</f>
        <v>168</v>
      </c>
      <c r="EI22" s="1" t="str">
        <f aca="false">IF(AND(Scores!$B22=2,Scores!$C22="Tool condition",ISNUMBER(Scores!T22)),COUNTIFS(Scores!$B$5:$B$44,2,Scores!$C$5:$C$44,"Paper condition",Scores!T$5:T$44,"&lt;"&amp;Scores!T22)+0.5*COUNTIFS(Scores!$B$5:$B$44,2,Scores!$C$5:$C$44,"Paper condition",Scores!T$5:T$44,Scores!T22),"")</f>
        <v/>
      </c>
      <c r="EJ22" s="1" t="str">
        <f aca="false">IF(AND(Scores!$B22=2,OR(Scores!$C22="Tool condition",Scores!$C22="Paper condition"),ISNUMBER(Scores!T22)),(COUNTIFS(Scores!$B$5:$B$44,2,Scores!$C$5:$C$44,"Tool condition",Scores!T$5:T$44,Scores!T22)+COUNTIFS(Scores!$B$5:$B$44,2,Scores!$C$5:$C$44,"Paper condition",Scores!T$5:T$44,Scores!T22))^2-1,"")</f>
        <v/>
      </c>
      <c r="EK22" s="1" t="n">
        <f aca="false">IF(ISNUMBER(Scores!T22),Scores!T22^2,"")</f>
        <v>64</v>
      </c>
      <c r="EL22" s="1" t="str">
        <f aca="false">IF(AND(Scores!$B22=1,Scores!$C22="Tool condition",ISNUMBER(Scores!U22)),COUNTIFS(Scores!$B$5:$B$44,1,Scores!$C$5:$C$44,"Paper condition",Scores!U$5:U$44,"&lt;"&amp;Scores!U22)+0.5*COUNTIFS(Scores!$B$5:$B$44,1,Scores!$C$5:$C$44,"Paper condition",Scores!U$5:U$44,Scores!U22),"")</f>
        <v/>
      </c>
      <c r="EM22" s="1" t="n">
        <f aca="false">IF(AND(Scores!$B22=1,OR(Scores!$C22="Tool condition",Scores!$C22="Paper condition"),ISNUMBER(Scores!U22)),(COUNTIFS(Scores!$B$5:$B$44,1,Scores!$C$5:$C$44,"Tool condition",Scores!U$5:U$44,Scores!U22)+COUNTIFS(Scores!$B$5:$B$44,1,Scores!$C$5:$C$44,"Paper condition",Scores!U$5:U$44,Scores!U22))^2-1,"")</f>
        <v>168</v>
      </c>
      <c r="EN22" s="1" t="str">
        <f aca="false">IF(AND(Scores!$B22=2,Scores!$C22="Tool condition",ISNUMBER(Scores!U22)),COUNTIFS(Scores!$B$5:$B$44,2,Scores!$C$5:$C$44,"Paper condition",Scores!U$5:U$44,"&lt;"&amp;Scores!U22)+0.5*COUNTIFS(Scores!$B$5:$B$44,2,Scores!$C$5:$C$44,"Paper condition",Scores!U$5:U$44,Scores!U22),"")</f>
        <v/>
      </c>
      <c r="EO22" s="1" t="str">
        <f aca="false">IF(AND(Scores!$B22=2,OR(Scores!$C22="Tool condition",Scores!$C22="Paper condition"),ISNUMBER(Scores!U22)),(COUNTIFS(Scores!$B$5:$B$44,2,Scores!$C$5:$C$44,"Tool condition",Scores!U$5:U$44,Scores!U22)+COUNTIFS(Scores!$B$5:$B$44,2,Scores!$C$5:$C$44,"Paper condition",Scores!U$5:U$44,Scores!U22))^2-1,"")</f>
        <v/>
      </c>
      <c r="EP22" s="1" t="n">
        <f aca="false">IF(ISNUMBER(Scores!U22),Scores!U22^2,"")</f>
        <v>36</v>
      </c>
      <c r="EQ22" s="1" t="str">
        <f aca="false">IF(AND(Scores!$B22=1,Scores!$C22="Tool condition",ISNUMBER(Scores!V22)),COUNTIFS(Scores!$B$5:$B$44,1,Scores!$C$5:$C$44,"Paper condition",Scores!V$5:V$44,"&lt;"&amp;Scores!V22)+0.5*COUNTIFS(Scores!$B$5:$B$44,1,Scores!$C$5:$C$44,"Paper condition",Scores!V$5:V$44,Scores!V22),"")</f>
        <v/>
      </c>
      <c r="ER22" s="1" t="n">
        <f aca="false">IF(AND(Scores!$B22=1,OR(Scores!$C22="Tool condition",Scores!$C22="Paper condition"),ISNUMBER(Scores!V22)),(COUNTIFS(Scores!$B$5:$B$44,1,Scores!$C$5:$C$44,"Tool condition",Scores!V$5:V$44,Scores!V22)+COUNTIFS(Scores!$B$5:$B$44,1,Scores!$C$5:$C$44,"Paper condition",Scores!V$5:V$44,Scores!V22))^2-1,"")</f>
        <v>15</v>
      </c>
      <c r="ES22" s="1" t="str">
        <f aca="false">IF(AND(Scores!$B22=2,Scores!$C22="Tool condition",ISNUMBER(Scores!V22)),COUNTIFS(Scores!$B$5:$B$44,2,Scores!$C$5:$C$44,"Paper condition",Scores!V$5:V$44,"&lt;"&amp;Scores!V22)+0.5*COUNTIFS(Scores!$B$5:$B$44,2,Scores!$C$5:$C$44,"Paper condition",Scores!V$5:V$44,Scores!V22),"")</f>
        <v/>
      </c>
      <c r="ET22" s="1" t="str">
        <f aca="false">IF(AND(Scores!$B22=2,OR(Scores!$C22="Tool condition",Scores!$C22="Paper condition"),ISNUMBER(Scores!V22)),(COUNTIFS(Scores!$B$5:$B$44,2,Scores!$C$5:$C$44,"Tool condition",Scores!V$5:V$44,Scores!V22)+COUNTIFS(Scores!$B$5:$B$44,2,Scores!$C$5:$C$44,"Paper condition",Scores!V$5:V$44,Scores!V22))^2-1,"")</f>
        <v/>
      </c>
      <c r="EU22" s="1" t="n">
        <f aca="false">IF(ISNUMBER(Scores!V22),Scores!V22^2,"")</f>
        <v>81</v>
      </c>
      <c r="EV22" s="1" t="str">
        <f aca="false">IF(AND(R_Scores!$B22=1,R_Scores!$C22="Tool condition",ISNUMBER(R_Scores!Q22)),COUNTIFS(R_Scores!$B$5:$B$44,1,R_Scores!$C$5:$C$44,"Paper condition",R_Scores!Q$5:Q$44,"&lt;"&amp;R_Scores!Q22)+0.5*COUNTIFS(R_Scores!$B$5:$B$44,1,R_Scores!$C$5:$C$44,"Paper condition",R_Scores!Q$5:Q$44,R_Scores!Q22),"")</f>
        <v/>
      </c>
      <c r="EW22" s="1" t="n">
        <f aca="false">IF(AND(R_Scores!$B22=1,OR(R_Scores!$C22="Tool condition",R_Scores!$C22="Paper condition"),ISNUMBER(R_Scores!Q22)),(COUNTIFS(R_Scores!$B$5:$B$44,1,R_Scores!$C$5:$C$44,"Tool condition",R_Scores!Q$5:Q$44,R_Scores!Q22)+COUNTIFS(R_Scores!$B$5:$B$44,1,R_Scores!$C$5:$C$44,"Paper condition",R_Scores!Q$5:Q$44,R_Scores!Q22))^2-1,"")</f>
        <v>80</v>
      </c>
      <c r="EX22" s="1" t="str">
        <f aca="false">IF(AND(R_Scores!$B22=2,R_Scores!$C22="Tool condition",ISNUMBER(R_Scores!Q22)),COUNTIFS(R_Scores!$B$5:$B$44,2,R_Scores!$C$5:$C$44,"Paper condition",R_Scores!Q$5:Q$44,"&lt;"&amp;R_Scores!Q22)+0.5*COUNTIFS(R_Scores!$B$5:$B$44,2,R_Scores!$C$5:$C$44,"Paper condition",R_Scores!Q$5:Q$44,R_Scores!Q22),"")</f>
        <v/>
      </c>
      <c r="EY22" s="1" t="str">
        <f aca="false">IF(AND(R_Scores!$B22=2,OR(R_Scores!$C22="Tool condition",R_Scores!$C22="Paper condition"),ISNUMBER(R_Scores!Q22)),(COUNTIFS(R_Scores!$B$5:$B$44,2,R_Scores!$C$5:$C$44,"Tool condition",R_Scores!Q$5:Q$44,R_Scores!Q22)+COUNTIFS(R_Scores!$B$5:$B$44,2,R_Scores!$C$5:$C$44,"Paper condition",R_Scores!Q$5:Q$44,R_Scores!Q22))^2-1,"")</f>
        <v/>
      </c>
      <c r="EZ22" s="1" t="n">
        <f aca="false">IF(ISNUMBER(R_Scores!Q22),R_Scores!Q22^2,"")</f>
        <v>36</v>
      </c>
      <c r="FA22" s="1" t="str">
        <f aca="false">IF(AND(R_Scores!$B22=1,R_Scores!$C22="Tool condition",ISNUMBER(R_Scores!R22)),COUNTIFS(R_Scores!$B$5:$B$44,1,R_Scores!$C$5:$C$44,"Paper condition",R_Scores!R$5:R$44,"&lt;"&amp;R_Scores!R22)+0.5*COUNTIFS(R_Scores!$B$5:$B$44,1,R_Scores!$C$5:$C$44,"Paper condition",R_Scores!R$5:R$44,R_Scores!R22),"")</f>
        <v/>
      </c>
      <c r="FB22" s="1" t="n">
        <f aca="false">IF(AND(R_Scores!$B22=1,OR(R_Scores!$C22="Tool condition",R_Scores!$C22="Paper condition"),ISNUMBER(R_Scores!R22)),(COUNTIFS(R_Scores!$B$5:$B$44,1,R_Scores!$C$5:$C$44,"Tool condition",R_Scores!R$5:R$44,R_Scores!R22)+COUNTIFS(R_Scores!$B$5:$B$44,1,R_Scores!$C$5:$C$44,"Paper condition",R_Scores!R$5:R$44,R_Scores!R22))^2-1,"")</f>
        <v>24</v>
      </c>
      <c r="FC22" s="1" t="str">
        <f aca="false">IF(AND(R_Scores!$B22=2,R_Scores!$C22="Tool condition",ISNUMBER(R_Scores!R22)),COUNTIFS(R_Scores!$B$5:$B$44,2,R_Scores!$C$5:$C$44,"Paper condition",R_Scores!R$5:R$44,"&lt;"&amp;R_Scores!R22)+0.5*COUNTIFS(R_Scores!$B$5:$B$44,2,R_Scores!$C$5:$C$44,"Paper condition",R_Scores!R$5:R$44,R_Scores!R22),"")</f>
        <v/>
      </c>
      <c r="FD22" s="1" t="str">
        <f aca="false">IF(AND(R_Scores!$B22=2,OR(R_Scores!$C22="Tool condition",R_Scores!$C22="Paper condition"),ISNUMBER(R_Scores!R22)),(COUNTIFS(R_Scores!$B$5:$B$44,2,R_Scores!$C$5:$C$44,"Tool condition",R_Scores!R$5:R$44,R_Scores!R22)+COUNTIFS(R_Scores!$B$5:$B$44,2,R_Scores!$C$5:$C$44,"Paper condition",R_Scores!R$5:R$44,R_Scores!R22))^2-1,"")</f>
        <v/>
      </c>
      <c r="FE22" s="1" t="n">
        <f aca="false">IF(ISNUMBER(R_Scores!R22),R_Scores!R22^2,"")</f>
        <v>841</v>
      </c>
    </row>
    <row r="23" customFormat="false" ht="14.25" hidden="false" customHeight="true" outlineLevel="0" collapsed="false">
      <c r="B23" s="1" t="str">
        <f aca="false">IF(AND(Scores!$B23=1,Scores!$C23="Tool condition",ISNUMBER(Scores!E23)),COUNTIFS(Scores!$B$5:$B$44,1,Scores!$C$5:$C$44,"Paper condition",Scores!E$5:E$44,"&lt;"&amp;Scores!E23)+0.5*COUNTIFS(Scores!$B$5:$B$44,1,Scores!$C$5:$C$44,"Paper condition",Scores!E$5:E$44,Scores!E23),"")</f>
        <v/>
      </c>
      <c r="C23" s="1" t="n">
        <f aca="false">IF(AND(Scores!$B23=1,OR(Scores!$C23="Tool condition",Scores!$C23="Paper condition"),ISNUMBER(Scores!E23)),(COUNTIFS(Scores!$B$5:$B$44,1,Scores!$C$5:$C$44,"Tool condition",Scores!E$5:E$44,Scores!E23)+COUNTIFS(Scores!$B$5:$B$44,1,Scores!$C$5:$C$44,"Paper condition",Scores!E$5:E$44,Scores!E23))^2-1,"")</f>
        <v>8</v>
      </c>
      <c r="D23" s="1" t="str">
        <f aca="false">IF(AND(Scores!$B23=2,Scores!$C23="Tool condition",ISNUMBER(Scores!E23)),COUNTIFS(Scores!$B$5:$B$44,2,Scores!$C$5:$C$44,"Paper condition",Scores!E$5:E$44,"&lt;"&amp;Scores!E23)+0.5*COUNTIFS(Scores!$B$5:$B$44,2,Scores!$C$5:$C$44,"Paper condition",Scores!E$5:E$44,Scores!E23),"")</f>
        <v/>
      </c>
      <c r="E23" s="1" t="str">
        <f aca="false">IF(AND(Scores!$B23=2,OR(Scores!$C23="Tool condition",Scores!$C23="Paper condition"),ISNUMBER(Scores!E23)),(COUNTIFS(Scores!$B$5:$B$44,2,Scores!$C$5:$C$44,"Tool condition",Scores!E$5:E$44,Scores!E23)+COUNTIFS(Scores!$B$5:$B$44,2,Scores!$C$5:$C$44,"Paper condition",Scores!E$5:E$44,Scores!E23))^2-1,"")</f>
        <v/>
      </c>
      <c r="F23" s="1" t="n">
        <f aca="false">IF(ISNUMBER(Scores!E23),Scores!E23^2,"")</f>
        <v>1</v>
      </c>
      <c r="G23" s="1" t="str">
        <f aca="false">IF(AND(Scores!$B23=1,Scores!$C23="Tool condition",ISNUMBER(Scores!F23)),COUNTIFS(Scores!$B$5:$B$44,1,Scores!$C$5:$C$44,"Paper condition",Scores!F$5:F$44,"&lt;"&amp;Scores!F23)+0.5*COUNTIFS(Scores!$B$5:$B$44,1,Scores!$C$5:$C$44,"Paper condition",Scores!F$5:F$44,Scores!F23),"")</f>
        <v/>
      </c>
      <c r="H23" s="1" t="n">
        <f aca="false">IF(AND(Scores!$B23=1,OR(Scores!$C23="Tool condition",Scores!$C23="Paper condition"),ISNUMBER(Scores!F23)),(COUNTIFS(Scores!$B$5:$B$44,1,Scores!$C$5:$C$44,"Tool condition",Scores!F$5:F$44,Scores!F23)+COUNTIFS(Scores!$B$5:$B$44,1,Scores!$C$5:$C$44,"Paper condition",Scores!F$5:F$44,Scores!F23))^2-1,"")</f>
        <v>24</v>
      </c>
      <c r="I23" s="1" t="str">
        <f aca="false">IF(AND(Scores!$B23=2,Scores!$C23="Tool condition",ISNUMBER(Scores!F23)),COUNTIFS(Scores!$B$5:$B$44,2,Scores!$C$5:$C$44,"Paper condition",Scores!F$5:F$44,"&lt;"&amp;Scores!F23)+0.5*COUNTIFS(Scores!$B$5:$B$44,2,Scores!$C$5:$C$44,"Paper condition",Scores!F$5:F$44,Scores!F23),"")</f>
        <v/>
      </c>
      <c r="J23" s="1" t="str">
        <f aca="false">IF(AND(Scores!$B23=2,OR(Scores!$C23="Tool condition",Scores!$C23="Paper condition"),ISNUMBER(Scores!F23)),(COUNTIFS(Scores!$B$5:$B$44,2,Scores!$C$5:$C$44,"Tool condition",Scores!F$5:F$44,Scores!F23)+COUNTIFS(Scores!$B$5:$B$44,2,Scores!$C$5:$C$44,"Paper condition",Scores!F$5:F$44,Scores!F23))^2-1,"")</f>
        <v/>
      </c>
      <c r="K23" s="1" t="n">
        <f aca="false">IF(ISNUMBER(Scores!F23),Scores!F23^2,"")</f>
        <v>1</v>
      </c>
      <c r="L23" s="1" t="str">
        <f aca="false">IF(AND(Scores!$B23=1,Scores!$C23="Tool condition",ISNUMBER(Scores!G23)),COUNTIFS(Scores!$B$5:$B$44,1,Scores!$C$5:$C$44,"Paper condition",Scores!G$5:G$44,"&lt;"&amp;Scores!G23)+0.5*COUNTIFS(Scores!$B$5:$B$44,1,Scores!$C$5:$C$44,"Paper condition",Scores!G$5:G$44,Scores!G23),"")</f>
        <v/>
      </c>
      <c r="M23" s="1" t="n">
        <f aca="false">IF(AND(Scores!$B23=1,OR(Scores!$C23="Tool condition",Scores!$C23="Paper condition"),ISNUMBER(Scores!G23)),(COUNTIFS(Scores!$B$5:$B$44,1,Scores!$C$5:$C$44,"Tool condition",Scores!G$5:G$44,Scores!G23)+COUNTIFS(Scores!$B$5:$B$44,1,Scores!$C$5:$C$44,"Paper condition",Scores!G$5:G$44,Scores!G23))^2-1,"")</f>
        <v>8</v>
      </c>
      <c r="N23" s="1" t="str">
        <f aca="false">IF(AND(Scores!$B23=2,Scores!$C23="Tool condition",ISNUMBER(Scores!G23)),COUNTIFS(Scores!$B$5:$B$44,2,Scores!$C$5:$C$44,"Paper condition",Scores!G$5:G$44,"&lt;"&amp;Scores!G23)+0.5*COUNTIFS(Scores!$B$5:$B$44,2,Scores!$C$5:$C$44,"Paper condition",Scores!G$5:G$44,Scores!G23),"")</f>
        <v/>
      </c>
      <c r="O23" s="1" t="str">
        <f aca="false">IF(AND(Scores!$B23=2,OR(Scores!$C23="Tool condition",Scores!$C23="Paper condition"),ISNUMBER(Scores!G23)),(COUNTIFS(Scores!$B$5:$B$44,2,Scores!$C$5:$C$44,"Tool condition",Scores!G$5:G$44,Scores!G23)+COUNTIFS(Scores!$B$5:$B$44,2,Scores!$C$5:$C$44,"Paper condition",Scores!G$5:G$44,Scores!G23))^2-1,"")</f>
        <v/>
      </c>
      <c r="P23" s="1" t="n">
        <f aca="false">IF(ISNUMBER(Scores!G23),Scores!G23^2,"")</f>
        <v>1</v>
      </c>
      <c r="Q23" s="1" t="str">
        <f aca="false">IF(AND(Scores!$B23=1,Scores!$C23="Tool condition",ISNUMBER(Scores!H23)),COUNTIFS(Scores!$B$5:$B$44,1,Scores!$C$5:$C$44,"Paper condition",Scores!H$5:H$44,"&lt;"&amp;Scores!H23)+0.5*COUNTIFS(Scores!$B$5:$B$44,1,Scores!$C$5:$C$44,"Paper condition",Scores!H$5:H$44,Scores!H23),"")</f>
        <v/>
      </c>
      <c r="R23" s="1" t="n">
        <f aca="false">IF(AND(Scores!$B23=1,OR(Scores!$C23="Tool condition",Scores!$C23="Paper condition"),ISNUMBER(Scores!H23)),(COUNTIFS(Scores!$B$5:$B$44,1,Scores!$C$5:$C$44,"Tool condition",Scores!H$5:H$44,Scores!H23)+COUNTIFS(Scores!$B$5:$B$44,1,Scores!$C$5:$C$44,"Paper condition",Scores!H$5:H$44,Scores!H23))^2-1,"")</f>
        <v>255</v>
      </c>
      <c r="S23" s="1" t="str">
        <f aca="false">IF(AND(Scores!$B23=2,Scores!$C23="Tool condition",ISNUMBER(Scores!H23)),COUNTIFS(Scores!$B$5:$B$44,2,Scores!$C$5:$C$44,"Paper condition",Scores!H$5:H$44,"&lt;"&amp;Scores!H23)+0.5*COUNTIFS(Scores!$B$5:$B$44,2,Scores!$C$5:$C$44,"Paper condition",Scores!H$5:H$44,Scores!H23),"")</f>
        <v/>
      </c>
      <c r="T23" s="1" t="str">
        <f aca="false">IF(AND(Scores!$B23=2,OR(Scores!$C23="Tool condition",Scores!$C23="Paper condition"),ISNUMBER(Scores!H23)),(COUNTIFS(Scores!$B$5:$B$44,2,Scores!$C$5:$C$44,"Tool condition",Scores!H$5:H$44,Scores!H23)+COUNTIFS(Scores!$B$5:$B$44,2,Scores!$C$5:$C$44,"Paper condition",Scores!H$5:H$44,Scores!H23))^2-1,"")</f>
        <v/>
      </c>
      <c r="U23" s="1" t="n">
        <f aca="false">IF(ISNUMBER(Scores!H23),Scores!H23^2,"")</f>
        <v>4</v>
      </c>
      <c r="V23" s="1" t="str">
        <f aca="false">IF(AND(Scores!$B23=1,Scores!$C23="Tool condition",ISNUMBER(Scores!I23)),COUNTIFS(Scores!$B$5:$B$44,1,Scores!$C$5:$C$44,"Paper condition",Scores!I$5:I$44,"&lt;"&amp;Scores!I23)+0.5*COUNTIFS(Scores!$B$5:$B$44,1,Scores!$C$5:$C$44,"Paper condition",Scores!I$5:I$44,Scores!I23),"")</f>
        <v/>
      </c>
      <c r="W23" s="1" t="n">
        <f aca="false">IF(AND(Scores!$B23=1,OR(Scores!$C23="Tool condition",Scores!$C23="Paper condition"),ISNUMBER(Scores!I23)),(COUNTIFS(Scores!$B$5:$B$44,1,Scores!$C$5:$C$44,"Tool condition",Scores!I$5:I$44,Scores!I23)+COUNTIFS(Scores!$B$5:$B$44,1,Scores!$C$5:$C$44,"Paper condition",Scores!I$5:I$44,Scores!I23))^2-1,"")</f>
        <v>15</v>
      </c>
      <c r="X23" s="1" t="str">
        <f aca="false">IF(AND(Scores!$B23=2,Scores!$C23="Tool condition",ISNUMBER(Scores!I23)),COUNTIFS(Scores!$B$5:$B$44,2,Scores!$C$5:$C$44,"Paper condition",Scores!I$5:I$44,"&lt;"&amp;Scores!I23)+0.5*COUNTIFS(Scores!$B$5:$B$44,2,Scores!$C$5:$C$44,"Paper condition",Scores!I$5:I$44,Scores!I23),"")</f>
        <v/>
      </c>
      <c r="Y23" s="1" t="str">
        <f aca="false">IF(AND(Scores!$B23=2,OR(Scores!$C23="Tool condition",Scores!$C23="Paper condition"),ISNUMBER(Scores!I23)),(COUNTIFS(Scores!$B$5:$B$44,2,Scores!$C$5:$C$44,"Tool condition",Scores!I$5:I$44,Scores!I23)+COUNTIFS(Scores!$B$5:$B$44,2,Scores!$C$5:$C$44,"Paper condition",Scores!I$5:I$44,Scores!I23))^2-1,"")</f>
        <v/>
      </c>
      <c r="Z23" s="1" t="n">
        <f aca="false">IF(ISNUMBER(Scores!I23),Scores!I23^2,"")</f>
        <v>1</v>
      </c>
      <c r="AA23" s="1" t="str">
        <f aca="false">IF(AND(Scores!$B23=1,Scores!$C23="Tool condition",ISNUMBER(Scores!J23)),COUNTIFS(Scores!$B$5:$B$44,1,Scores!$C$5:$C$44,"Paper condition",Scores!J$5:J$44,"&lt;"&amp;Scores!J23)+0.5*COUNTIFS(Scores!$B$5:$B$44,1,Scores!$C$5:$C$44,"Paper condition",Scores!J$5:J$44,Scores!J23),"")</f>
        <v/>
      </c>
      <c r="AB23" s="1" t="n">
        <f aca="false">IF(AND(Scores!$B23=1,OR(Scores!$C23="Tool condition",Scores!$C23="Paper condition"),ISNUMBER(Scores!J23)),(COUNTIFS(Scores!$B$5:$B$44,1,Scores!$C$5:$C$44,"Tool condition",Scores!J$5:J$44,Scores!J23)+COUNTIFS(Scores!$B$5:$B$44,1,Scores!$C$5:$C$44,"Paper condition",Scores!J$5:J$44,Scores!J23))^2-1,"")</f>
        <v>0</v>
      </c>
      <c r="AC23" s="1" t="str">
        <f aca="false">IF(AND(Scores!$B23=2,Scores!$C23="Tool condition",ISNUMBER(Scores!J23)),COUNTIFS(Scores!$B$5:$B$44,2,Scores!$C$5:$C$44,"Paper condition",Scores!J$5:J$44,"&lt;"&amp;Scores!J23)+0.5*COUNTIFS(Scores!$B$5:$B$44,2,Scores!$C$5:$C$44,"Paper condition",Scores!J$5:J$44,Scores!J23),"")</f>
        <v/>
      </c>
      <c r="AD23" s="1" t="str">
        <f aca="false">IF(AND(Scores!$B23=2,OR(Scores!$C23="Tool condition",Scores!$C23="Paper condition"),ISNUMBER(Scores!J23)),(COUNTIFS(Scores!$B$5:$B$44,2,Scores!$C$5:$C$44,"Tool condition",Scores!J$5:J$44,Scores!J23)+COUNTIFS(Scores!$B$5:$B$44,2,Scores!$C$5:$C$44,"Paper condition",Scores!J$5:J$44,Scores!J23))^2-1,"")</f>
        <v/>
      </c>
      <c r="AE23" s="1" t="n">
        <f aca="false">IF(ISNUMBER(Scores!J23),Scores!J23^2,"")</f>
        <v>0</v>
      </c>
      <c r="AF23" s="1" t="str">
        <f aca="false">IF(AND(Scores!$B23=1,Scores!$C23="Tool condition",ISNUMBER(Scores!K23)),COUNTIFS(Scores!$B$5:$B$44,1,Scores!$C$5:$C$44,"Paper condition",Scores!K$5:K$44,"&lt;"&amp;Scores!K23)+0.5*COUNTIFS(Scores!$B$5:$B$44,1,Scores!$C$5:$C$44,"Paper condition",Scores!K$5:K$44,Scores!K23),"")</f>
        <v/>
      </c>
      <c r="AG23" s="1" t="n">
        <f aca="false">IF(AND(Scores!$B23=1,OR(Scores!$C23="Tool condition",Scores!$C23="Paper condition"),ISNUMBER(Scores!K23)),(COUNTIFS(Scores!$B$5:$B$44,1,Scores!$C$5:$C$44,"Tool condition",Scores!K$5:K$44,Scores!K23)+COUNTIFS(Scores!$B$5:$B$44,1,Scores!$C$5:$C$44,"Paper condition",Scores!K$5:K$44,Scores!K23))^2-1,"")</f>
        <v>255</v>
      </c>
      <c r="AH23" s="1" t="str">
        <f aca="false">IF(AND(Scores!$B23=2,Scores!$C23="Tool condition",ISNUMBER(Scores!K23)),COUNTIFS(Scores!$B$5:$B$44,2,Scores!$C$5:$C$44,"Paper condition",Scores!K$5:K$44,"&lt;"&amp;Scores!K23)+0.5*COUNTIFS(Scores!$B$5:$B$44,2,Scores!$C$5:$C$44,"Paper condition",Scores!K$5:K$44,Scores!K23),"")</f>
        <v/>
      </c>
      <c r="AI23" s="1" t="str">
        <f aca="false">IF(AND(Scores!$B23=2,OR(Scores!$C23="Tool condition",Scores!$C23="Paper condition"),ISNUMBER(Scores!K23)),(COUNTIFS(Scores!$B$5:$B$44,2,Scores!$C$5:$C$44,"Tool condition",Scores!K$5:K$44,Scores!K23)+COUNTIFS(Scores!$B$5:$B$44,2,Scores!$C$5:$C$44,"Paper condition",Scores!K$5:K$44,Scores!K23))^2-1,"")</f>
        <v/>
      </c>
      <c r="AJ23" s="1" t="n">
        <f aca="false">IF(ISNUMBER(Scores!K23),Scores!K23^2,"")</f>
        <v>4</v>
      </c>
      <c r="AK23" s="1" t="str">
        <f aca="false">IF(AND(Scores!$B23=1,Scores!$C23="Tool condition",ISNUMBER(Scores!L23)),COUNTIFS(Scores!$B$5:$B$44,1,Scores!$C$5:$C$44,"Paper condition",Scores!L$5:L$44,"&lt;"&amp;Scores!L23)+0.5*COUNTIFS(Scores!$B$5:$B$44,1,Scores!$C$5:$C$44,"Paper condition",Scores!L$5:L$44,Scores!L23),"")</f>
        <v/>
      </c>
      <c r="AL23" s="1" t="n">
        <f aca="false">IF(AND(Scores!$B23=1,OR(Scores!$C23="Tool condition",Scores!$C23="Paper condition"),ISNUMBER(Scores!L23)),(COUNTIFS(Scores!$B$5:$B$44,1,Scores!$C$5:$C$44,"Tool condition",Scores!L$5:L$44,Scores!L23)+COUNTIFS(Scores!$B$5:$B$44,1,Scores!$C$5:$C$44,"Paper condition",Scores!L$5:L$44,Scores!L23))^2-1,"")</f>
        <v>8</v>
      </c>
      <c r="AM23" s="1" t="str">
        <f aca="false">IF(AND(Scores!$B23=2,Scores!$C23="Tool condition",ISNUMBER(Scores!L23)),COUNTIFS(Scores!$B$5:$B$44,2,Scores!$C$5:$C$44,"Paper condition",Scores!L$5:L$44,"&lt;"&amp;Scores!L23)+0.5*COUNTIFS(Scores!$B$5:$B$44,2,Scores!$C$5:$C$44,"Paper condition",Scores!L$5:L$44,Scores!L23),"")</f>
        <v/>
      </c>
      <c r="AN23" s="1" t="str">
        <f aca="false">IF(AND(Scores!$B23=2,OR(Scores!$C23="Tool condition",Scores!$C23="Paper condition"),ISNUMBER(Scores!L23)),(COUNTIFS(Scores!$B$5:$B$44,2,Scores!$C$5:$C$44,"Tool condition",Scores!L$5:L$44,Scores!L23)+COUNTIFS(Scores!$B$5:$B$44,2,Scores!$C$5:$C$44,"Paper condition",Scores!L$5:L$44,Scores!L23))^2-1,"")</f>
        <v/>
      </c>
      <c r="AO23" s="1" t="n">
        <f aca="false">IF(ISNUMBER(Scores!L23),Scores!L23^2,"")</f>
        <v>1</v>
      </c>
      <c r="AP23" s="1" t="str">
        <f aca="false">IF(AND(Scores!$B23=1,Scores!$C23="Tool condition",ISNUMBER(Scores!M23)),COUNTIFS(Scores!$B$5:$B$44,1,Scores!$C$5:$C$44,"Paper condition",Scores!M$5:M$44,"&lt;"&amp;Scores!M23)+0.5*COUNTIFS(Scores!$B$5:$B$44,1,Scores!$C$5:$C$44,"Paper condition",Scores!M$5:M$44,Scores!M23),"")</f>
        <v/>
      </c>
      <c r="AQ23" s="1" t="n">
        <f aca="false">IF(AND(Scores!$B23=1,OR(Scores!$C23="Tool condition",Scores!$C23="Paper condition"),ISNUMBER(Scores!M23)),(COUNTIFS(Scores!$B$5:$B$44,1,Scores!$C$5:$C$44,"Tool condition",Scores!M$5:M$44,Scores!M23)+COUNTIFS(Scores!$B$5:$B$44,1,Scores!$C$5:$C$44,"Paper condition",Scores!M$5:M$44,Scores!M23))^2-1,"")</f>
        <v>8</v>
      </c>
      <c r="AR23" s="1" t="str">
        <f aca="false">IF(AND(Scores!$B23=2,Scores!$C23="Tool condition",ISNUMBER(Scores!M23)),COUNTIFS(Scores!$B$5:$B$44,2,Scores!$C$5:$C$44,"Paper condition",Scores!M$5:M$44,"&lt;"&amp;Scores!M23)+0.5*COUNTIFS(Scores!$B$5:$B$44,2,Scores!$C$5:$C$44,"Paper condition",Scores!M$5:M$44,Scores!M23),"")</f>
        <v/>
      </c>
      <c r="AS23" s="1" t="str">
        <f aca="false">IF(AND(Scores!$B23=2,OR(Scores!$C23="Tool condition",Scores!$C23="Paper condition"),ISNUMBER(Scores!M23)),(COUNTIFS(Scores!$B$5:$B$44,2,Scores!$C$5:$C$44,"Tool condition",Scores!M$5:M$44,Scores!M23)+COUNTIFS(Scores!$B$5:$B$44,2,Scores!$C$5:$C$44,"Paper condition",Scores!M$5:M$44,Scores!M23))^2-1,"")</f>
        <v/>
      </c>
      <c r="AT23" s="1" t="n">
        <f aca="false">IF(ISNUMBER(Scores!M23),Scores!M23^2,"")</f>
        <v>1</v>
      </c>
      <c r="AU23" s="1" t="str">
        <f aca="false">IF(AND(Scores!$B23=1,Scores!$C23="Tool condition",ISNUMBER(Scores!N23)),COUNTIFS(Scores!$B$5:$B$44,1,Scores!$C$5:$C$44,"Paper condition",Scores!N$5:N$44,"&lt;"&amp;Scores!N23)+0.5*COUNTIFS(Scores!$B$5:$B$44,1,Scores!$C$5:$C$44,"Paper condition",Scores!N$5:N$44,Scores!N23),"")</f>
        <v/>
      </c>
      <c r="AV23" s="1" t="n">
        <f aca="false">IF(AND(Scores!$B23=1,OR(Scores!$C23="Tool condition",Scores!$C23="Paper condition"),ISNUMBER(Scores!N23)),(COUNTIFS(Scores!$B$5:$B$44,1,Scores!$C$5:$C$44,"Tool condition",Scores!N$5:N$44,Scores!N23)+COUNTIFS(Scores!$B$5:$B$44,1,Scores!$C$5:$C$44,"Paper condition",Scores!N$5:N$44,Scores!N23))^2-1,"")</f>
        <v>15</v>
      </c>
      <c r="AW23" s="1" t="str">
        <f aca="false">IF(AND(Scores!$B23=2,Scores!$C23="Tool condition",ISNUMBER(Scores!N23)),COUNTIFS(Scores!$B$5:$B$44,2,Scores!$C$5:$C$44,"Paper condition",Scores!N$5:N$44,"&lt;"&amp;Scores!N23)+0.5*COUNTIFS(Scores!$B$5:$B$44,2,Scores!$C$5:$C$44,"Paper condition",Scores!N$5:N$44,Scores!N23),"")</f>
        <v/>
      </c>
      <c r="AX23" s="1" t="str">
        <f aca="false">IF(AND(Scores!$B23=2,OR(Scores!$C23="Tool condition",Scores!$C23="Paper condition"),ISNUMBER(Scores!N23)),(COUNTIFS(Scores!$B$5:$B$44,2,Scores!$C$5:$C$44,"Tool condition",Scores!N$5:N$44,Scores!N23)+COUNTIFS(Scores!$B$5:$B$44,2,Scores!$C$5:$C$44,"Paper condition",Scores!N$5:N$44,Scores!N23))^2-1,"")</f>
        <v/>
      </c>
      <c r="AY23" s="1" t="n">
        <f aca="false">IF(ISNUMBER(Scores!N23),Scores!N23^2,"")</f>
        <v>1</v>
      </c>
      <c r="AZ23" s="1" t="str">
        <f aca="false">IF(AND(Scores!$B23=1,Scores!$C23="Tool condition",ISNUMBER(Scores!O23)),COUNTIFS(Scores!$B$5:$B$44,1,Scores!$C$5:$C$44,"Paper condition",Scores!O$5:O$44,"&lt;"&amp;Scores!O23)+0.5*COUNTIFS(Scores!$B$5:$B$44,1,Scores!$C$5:$C$44,"Paper condition",Scores!O$5:O$44,Scores!O23),"")</f>
        <v/>
      </c>
      <c r="BA23" s="1" t="n">
        <f aca="false">IF(AND(Scores!$B23=1,OR(Scores!$C23="Tool condition",Scores!$C23="Paper condition"),ISNUMBER(Scores!O23)),(COUNTIFS(Scores!$B$5:$B$44,1,Scores!$C$5:$C$44,"Tool condition",Scores!O$5:O$44,Scores!O23)+COUNTIFS(Scores!$B$5:$B$44,1,Scores!$C$5:$C$44,"Paper condition",Scores!O$5:O$44,Scores!O23))^2-1,"")</f>
        <v>0</v>
      </c>
      <c r="BB23" s="1" t="str">
        <f aca="false">IF(AND(Scores!$B23=2,Scores!$C23="Tool condition",ISNUMBER(Scores!O23)),COUNTIFS(Scores!$B$5:$B$44,2,Scores!$C$5:$C$44,"Paper condition",Scores!O$5:O$44,"&lt;"&amp;Scores!O23)+0.5*COUNTIFS(Scores!$B$5:$B$44,2,Scores!$C$5:$C$44,"Paper condition",Scores!O$5:O$44,Scores!O23),"")</f>
        <v/>
      </c>
      <c r="BC23" s="1" t="str">
        <f aca="false">IF(AND(Scores!$B23=2,OR(Scores!$C23="Tool condition",Scores!$C23="Paper condition"),ISNUMBER(Scores!O23)),(COUNTIFS(Scores!$B$5:$B$44,2,Scores!$C$5:$C$44,"Tool condition",Scores!O$5:O$44,Scores!O23)+COUNTIFS(Scores!$B$5:$B$44,2,Scores!$C$5:$C$44,"Paper condition",Scores!O$5:O$44,Scores!O23))^2-1,"")</f>
        <v/>
      </c>
      <c r="BD23" s="1" t="n">
        <f aca="false">IF(ISNUMBER(Scores!O23),Scores!O23^2,"")</f>
        <v>0</v>
      </c>
      <c r="BE23" s="1" t="str">
        <f aca="false">IF(AND(Scores!$B23=1,Scores!$C23="Tool condition",ISNUMBER(Scores!P23)),COUNTIFS(Scores!$B$5:$B$44,1,Scores!$C$5:$C$44,"Paper condition",Scores!P$5:P$44,"&lt;"&amp;Scores!P23)+0.5*COUNTIFS(Scores!$B$5:$B$44,1,Scores!$C$5:$C$44,"Paper condition",Scores!P$5:P$44,Scores!P23),"")</f>
        <v/>
      </c>
      <c r="BF23" s="1" t="n">
        <f aca="false">IF(AND(Scores!$B23=1,OR(Scores!$C23="Tool condition",Scores!$C23="Paper condition"),ISNUMBER(Scores!P23)),(COUNTIFS(Scores!$B$5:$B$44,1,Scores!$C$5:$C$44,"Tool condition",Scores!P$5:P$44,Scores!P23)+COUNTIFS(Scores!$B$5:$B$44,1,Scores!$C$5:$C$44,"Paper condition",Scores!P$5:P$44,Scores!P23))^2-1,"")</f>
        <v>35</v>
      </c>
      <c r="BG23" s="1" t="str">
        <f aca="false">IF(AND(Scores!$B23=2,Scores!$C23="Tool condition",ISNUMBER(Scores!P23)),COUNTIFS(Scores!$B$5:$B$44,2,Scores!$C$5:$C$44,"Paper condition",Scores!P$5:P$44,"&lt;"&amp;Scores!P23)+0.5*COUNTIFS(Scores!$B$5:$B$44,2,Scores!$C$5:$C$44,"Paper condition",Scores!P$5:P$44,Scores!P23),"")</f>
        <v/>
      </c>
      <c r="BH23" s="1" t="str">
        <f aca="false">IF(AND(Scores!$B23=2,OR(Scores!$C23="Tool condition",Scores!$C23="Paper condition"),ISNUMBER(Scores!P23)),(COUNTIFS(Scores!$B$5:$B$44,2,Scores!$C$5:$C$44,"Tool condition",Scores!P$5:P$44,Scores!P23)+COUNTIFS(Scores!$B$5:$B$44,2,Scores!$C$5:$C$44,"Paper condition",Scores!P$5:P$44,Scores!P23))^2-1,"")</f>
        <v/>
      </c>
      <c r="BI23" s="1" t="n">
        <f aca="false">IF(ISNUMBER(Scores!P23),Scores!P23^2,"")</f>
        <v>1</v>
      </c>
      <c r="BJ23" s="1" t="str">
        <f aca="false">IF(AND(R_Scores!$B23=1,R_Scores!$C23="Tool condition",ISNUMBER(R_Scores!E23)),COUNTIFS(R_Scores!$B$5:$B$44,1,R_Scores!$C$5:$C$44,"Paper condition",R_Scores!E$5:E$44,"&lt;"&amp;R_Scores!E23)+0.5*COUNTIFS(R_Scores!$B$5:$B$44,1,R_Scores!$C$5:$C$44,"Paper condition",R_Scores!E$5:E$44,R_Scores!E23),"")</f>
        <v/>
      </c>
      <c r="BK23" s="1" t="n">
        <f aca="false">IF(AND(R_Scores!$B23=1,OR(R_Scores!$C23="Tool condition",R_Scores!$C23="Paper condition"),ISNUMBER(R_Scores!E23)),(COUNTIFS(R_Scores!$B$5:$B$44,1,R_Scores!$C$5:$C$44,"Tool condition",R_Scores!E$5:E$44,R_Scores!E23)+COUNTIFS(R_Scores!$B$5:$B$44,1,R_Scores!$C$5:$C$44,"Paper condition",R_Scores!E$5:E$44,R_Scores!E23))^2-1,"")</f>
        <v>24</v>
      </c>
      <c r="BL23" s="1" t="str">
        <f aca="false">IF(AND(R_Scores!$B23=2,R_Scores!$C23="Tool condition",ISNUMBER(R_Scores!E23)),COUNTIFS(R_Scores!$B$5:$B$44,2,R_Scores!$C$5:$C$44,"Paper condition",R_Scores!E$5:E$44,"&lt;"&amp;R_Scores!E23)+0.5*COUNTIFS(R_Scores!$B$5:$B$44,2,R_Scores!$C$5:$C$44,"Paper condition",R_Scores!E$5:E$44,R_Scores!E23),"")</f>
        <v/>
      </c>
      <c r="BM23" s="1" t="str">
        <f aca="false">IF(AND(R_Scores!$B23=2,OR(R_Scores!$C23="Tool condition",R_Scores!$C23="Paper condition"),ISNUMBER(R_Scores!E23)),(COUNTIFS(R_Scores!$B$5:$B$44,2,R_Scores!$C$5:$C$44,"Tool condition",R_Scores!E$5:E$44,R_Scores!E23)+COUNTIFS(R_Scores!$B$5:$B$44,2,R_Scores!$C$5:$C$44,"Paper condition",R_Scores!E$5:E$44,R_Scores!E23))^2-1,"")</f>
        <v/>
      </c>
      <c r="BN23" s="1" t="n">
        <f aca="false">IF(ISNUMBER(R_Scores!E23),R_Scores!E23^2,"")</f>
        <v>0</v>
      </c>
      <c r="BO23" s="1" t="str">
        <f aca="false">IF(AND(R_Scores!$B23=1,R_Scores!$C23="Tool condition",ISNUMBER(R_Scores!F23)),COUNTIFS(R_Scores!$B$5:$B$44,1,R_Scores!$C$5:$C$44,"Paper condition",R_Scores!F$5:F$44,"&lt;"&amp;R_Scores!F23)+0.5*COUNTIFS(R_Scores!$B$5:$B$44,1,R_Scores!$C$5:$C$44,"Paper condition",R_Scores!F$5:F$44,R_Scores!F23),"")</f>
        <v/>
      </c>
      <c r="BP23" s="1" t="n">
        <f aca="false">IF(AND(R_Scores!$B23=1,OR(R_Scores!$C23="Tool condition",R_Scores!$C23="Paper condition"),ISNUMBER(R_Scores!F23)),(COUNTIFS(R_Scores!$B$5:$B$44,1,R_Scores!$C$5:$C$44,"Tool condition",R_Scores!F$5:F$44,R_Scores!F23)+COUNTIFS(R_Scores!$B$5:$B$44,1,R_Scores!$C$5:$C$44,"Paper condition",R_Scores!F$5:F$44,R_Scores!F23))^2-1,"")</f>
        <v>195</v>
      </c>
      <c r="BQ23" s="1" t="str">
        <f aca="false">IF(AND(R_Scores!$B23=2,R_Scores!$C23="Tool condition",ISNUMBER(R_Scores!F23)),COUNTIFS(R_Scores!$B$5:$B$44,2,R_Scores!$C$5:$C$44,"Paper condition",R_Scores!F$5:F$44,"&lt;"&amp;R_Scores!F23)+0.5*COUNTIFS(R_Scores!$B$5:$B$44,2,R_Scores!$C$5:$C$44,"Paper condition",R_Scores!F$5:F$44,R_Scores!F23),"")</f>
        <v/>
      </c>
      <c r="BR23" s="1" t="str">
        <f aca="false">IF(AND(R_Scores!$B23=2,OR(R_Scores!$C23="Tool condition",R_Scores!$C23="Paper condition"),ISNUMBER(R_Scores!F23)),(COUNTIFS(R_Scores!$B$5:$B$44,2,R_Scores!$C$5:$C$44,"Tool condition",R_Scores!F$5:F$44,R_Scores!F23)+COUNTIFS(R_Scores!$B$5:$B$44,2,R_Scores!$C$5:$C$44,"Paper condition",R_Scores!F$5:F$44,R_Scores!F23))^2-1,"")</f>
        <v/>
      </c>
      <c r="BS23" s="1" t="n">
        <f aca="false">IF(ISNUMBER(R_Scores!F23),R_Scores!F23^2,"")</f>
        <v>1</v>
      </c>
      <c r="BT23" s="1" t="str">
        <f aca="false">IF(AND(R_Scores!$B23=1,R_Scores!$C23="Tool condition",ISNUMBER(R_Scores!G23)),COUNTIFS(R_Scores!$B$5:$B$44,1,R_Scores!$C$5:$C$44,"Paper condition",R_Scores!G$5:G$44,"&lt;"&amp;R_Scores!G23)+0.5*COUNTIFS(R_Scores!$B$5:$B$44,1,R_Scores!$C$5:$C$44,"Paper condition",R_Scores!G$5:G$44,R_Scores!G23),"")</f>
        <v/>
      </c>
      <c r="BU23" s="1" t="str">
        <f aca="false">IF(AND(R_Scores!$B23=1,OR(R_Scores!$C23="Tool condition",R_Scores!$C23="Paper condition"),ISNUMBER(R_Scores!G23)),(COUNTIFS(R_Scores!$B$5:$B$44,1,R_Scores!$C$5:$C$44,"Tool condition",R_Scores!G$5:G$44,R_Scores!G23)+COUNTIFS(R_Scores!$B$5:$B$44,1,R_Scores!$C$5:$C$44,"Paper condition",R_Scores!G$5:G$44,R_Scores!G23))^2-1,"")</f>
        <v/>
      </c>
      <c r="BV23" s="1" t="str">
        <f aca="false">IF(AND(R_Scores!$B23=2,R_Scores!$C23="Tool condition",ISNUMBER(R_Scores!G23)),COUNTIFS(R_Scores!$B$5:$B$44,2,R_Scores!$C$5:$C$44,"Paper condition",R_Scores!G$5:G$44,"&lt;"&amp;R_Scores!G23)+0.5*COUNTIFS(R_Scores!$B$5:$B$44,2,R_Scores!$C$5:$C$44,"Paper condition",R_Scores!G$5:G$44,R_Scores!G23),"")</f>
        <v/>
      </c>
      <c r="BW23" s="1" t="str">
        <f aca="false">IF(AND(R_Scores!$B23=2,OR(R_Scores!$C23="Tool condition",R_Scores!$C23="Paper condition"),ISNUMBER(R_Scores!G23)),(COUNTIFS(R_Scores!$B$5:$B$44,2,R_Scores!$C$5:$C$44,"Tool condition",R_Scores!G$5:G$44,R_Scores!G23)+COUNTIFS(R_Scores!$B$5:$B$44,2,R_Scores!$C$5:$C$44,"Paper condition",R_Scores!G$5:G$44,R_Scores!G23))^2-1,"")</f>
        <v/>
      </c>
      <c r="BX23" s="1" t="str">
        <f aca="false">IF(ISNUMBER(R_Scores!G23),R_Scores!G23^2,"")</f>
        <v/>
      </c>
      <c r="BY23" s="1" t="str">
        <f aca="false">IF(AND(R_Scores!$B23=1,R_Scores!$C23="Tool condition",ISNUMBER(R_Scores!H23)),COUNTIFS(R_Scores!$B$5:$B$44,1,R_Scores!$C$5:$C$44,"Paper condition",R_Scores!H$5:H$44,"&lt;"&amp;R_Scores!H23)+0.5*COUNTIFS(R_Scores!$B$5:$B$44,1,R_Scores!$C$5:$C$44,"Paper condition",R_Scores!H$5:H$44,R_Scores!H23),"")</f>
        <v/>
      </c>
      <c r="BZ23" s="1" t="str">
        <f aca="false">IF(AND(R_Scores!$B23=1,OR(R_Scores!$C23="Tool condition",R_Scores!$C23="Paper condition"),ISNUMBER(R_Scores!H23)),(COUNTIFS(R_Scores!$B$5:$B$44,1,R_Scores!$C$5:$C$44,"Tool condition",R_Scores!H$5:H$44,R_Scores!H23)+COUNTIFS(R_Scores!$B$5:$B$44,1,R_Scores!$C$5:$C$44,"Paper condition",R_Scores!H$5:H$44,R_Scores!H23))^2-1,"")</f>
        <v/>
      </c>
      <c r="CA23" s="1" t="str">
        <f aca="false">IF(AND(R_Scores!$B23=2,R_Scores!$C23="Tool condition",ISNUMBER(R_Scores!H23)),COUNTIFS(R_Scores!$B$5:$B$44,2,R_Scores!$C$5:$C$44,"Paper condition",R_Scores!H$5:H$44,"&lt;"&amp;R_Scores!H23)+0.5*COUNTIFS(R_Scores!$B$5:$B$44,2,R_Scores!$C$5:$C$44,"Paper condition",R_Scores!H$5:H$44,R_Scores!H23),"")</f>
        <v/>
      </c>
      <c r="CB23" s="1" t="str">
        <f aca="false">IF(AND(R_Scores!$B23=2,OR(R_Scores!$C23="Tool condition",R_Scores!$C23="Paper condition"),ISNUMBER(R_Scores!H23)),(COUNTIFS(R_Scores!$B$5:$B$44,2,R_Scores!$C$5:$C$44,"Tool condition",R_Scores!H$5:H$44,R_Scores!H23)+COUNTIFS(R_Scores!$B$5:$B$44,2,R_Scores!$C$5:$C$44,"Paper condition",R_Scores!H$5:H$44,R_Scores!H23))^2-1,"")</f>
        <v/>
      </c>
      <c r="CC23" s="1" t="str">
        <f aca="false">IF(ISNUMBER(R_Scores!H23),R_Scores!H23^2,"")</f>
        <v/>
      </c>
      <c r="CD23" s="1" t="str">
        <f aca="false">IF(AND(R_Scores!$B23=1,R_Scores!$C23="Tool condition",ISNUMBER(R_Scores!I23)),COUNTIFS(R_Scores!$B$5:$B$44,1,R_Scores!$C$5:$C$44,"Paper condition",R_Scores!I$5:I$44,"&lt;"&amp;R_Scores!I23)+0.5*COUNTIFS(R_Scores!$B$5:$B$44,1,R_Scores!$C$5:$C$44,"Paper condition",R_Scores!I$5:I$44,R_Scores!I23),"")</f>
        <v/>
      </c>
      <c r="CE23" s="1" t="n">
        <f aca="false">IF(AND(R_Scores!$B23=1,OR(R_Scores!$C23="Tool condition",R_Scores!$C23="Paper condition"),ISNUMBER(R_Scores!I23)),(COUNTIFS(R_Scores!$B$5:$B$44,1,R_Scores!$C$5:$C$44,"Tool condition",R_Scores!I$5:I$44,R_Scores!I23)+COUNTIFS(R_Scores!$B$5:$B$44,1,R_Scores!$C$5:$C$44,"Paper condition",R_Scores!I$5:I$44,R_Scores!I23))^2-1,"")</f>
        <v>48</v>
      </c>
      <c r="CF23" s="1" t="str">
        <f aca="false">IF(AND(R_Scores!$B23=2,R_Scores!$C23="Tool condition",ISNUMBER(R_Scores!I23)),COUNTIFS(R_Scores!$B$5:$B$44,2,R_Scores!$C$5:$C$44,"Paper condition",R_Scores!I$5:I$44,"&lt;"&amp;R_Scores!I23)+0.5*COUNTIFS(R_Scores!$B$5:$B$44,2,R_Scores!$C$5:$C$44,"Paper condition",R_Scores!I$5:I$44,R_Scores!I23),"")</f>
        <v/>
      </c>
      <c r="CG23" s="1" t="str">
        <f aca="false">IF(AND(R_Scores!$B23=2,OR(R_Scores!$C23="Tool condition",R_Scores!$C23="Paper condition"),ISNUMBER(R_Scores!I23)),(COUNTIFS(R_Scores!$B$5:$B$44,2,R_Scores!$C$5:$C$44,"Tool condition",R_Scores!I$5:I$44,R_Scores!I23)+COUNTIFS(R_Scores!$B$5:$B$44,2,R_Scores!$C$5:$C$44,"Paper condition",R_Scores!I$5:I$44,R_Scores!I23))^2-1,"")</f>
        <v/>
      </c>
      <c r="CH23" s="1" t="n">
        <f aca="false">IF(ISNUMBER(R_Scores!I23),R_Scores!I23^2,"")</f>
        <v>0</v>
      </c>
      <c r="CI23" s="1" t="str">
        <f aca="false">IF(AND(R_Scores!$B23=1,R_Scores!$C23="Tool condition",ISNUMBER(R_Scores!J23)),COUNTIFS(R_Scores!$B$5:$B$44,1,R_Scores!$C$5:$C$44,"Paper condition",R_Scores!J$5:J$44,"&lt;"&amp;R_Scores!J23)+0.5*COUNTIFS(R_Scores!$B$5:$B$44,1,R_Scores!$C$5:$C$44,"Paper condition",R_Scores!J$5:J$44,R_Scores!J23),"")</f>
        <v/>
      </c>
      <c r="CJ23" s="1" t="n">
        <f aca="false">IF(AND(R_Scores!$B23=1,OR(R_Scores!$C23="Tool condition",R_Scores!$C23="Paper condition"),ISNUMBER(R_Scores!J23)),(COUNTIFS(R_Scores!$B$5:$B$44,1,R_Scores!$C$5:$C$44,"Tool condition",R_Scores!J$5:J$44,R_Scores!J23)+COUNTIFS(R_Scores!$B$5:$B$44,1,R_Scores!$C$5:$C$44,"Paper condition",R_Scores!J$5:J$44,R_Scores!J23))^2-1,"")</f>
        <v>24</v>
      </c>
      <c r="CK23" s="1" t="str">
        <f aca="false">IF(AND(R_Scores!$B23=2,R_Scores!$C23="Tool condition",ISNUMBER(R_Scores!J23)),COUNTIFS(R_Scores!$B$5:$B$44,2,R_Scores!$C$5:$C$44,"Paper condition",R_Scores!J$5:J$44,"&lt;"&amp;R_Scores!J23)+0.5*COUNTIFS(R_Scores!$B$5:$B$44,2,R_Scores!$C$5:$C$44,"Paper condition",R_Scores!J$5:J$44,R_Scores!J23),"")</f>
        <v/>
      </c>
      <c r="CL23" s="1" t="str">
        <f aca="false">IF(AND(R_Scores!$B23=2,OR(R_Scores!$C23="Tool condition",R_Scores!$C23="Paper condition"),ISNUMBER(R_Scores!J23)),(COUNTIFS(R_Scores!$B$5:$B$44,2,R_Scores!$C$5:$C$44,"Tool condition",R_Scores!J$5:J$44,R_Scores!J23)+COUNTIFS(R_Scores!$B$5:$B$44,2,R_Scores!$C$5:$C$44,"Paper condition",R_Scores!J$5:J$44,R_Scores!J23))^2-1,"")</f>
        <v/>
      </c>
      <c r="CM23" s="1" t="n">
        <f aca="false">IF(ISNUMBER(R_Scores!J23),R_Scores!J23^2,"")</f>
        <v>0</v>
      </c>
      <c r="CN23" s="1" t="str">
        <f aca="false">IF(AND(R_Scores!$B23=1,R_Scores!$C23="Tool condition",ISNUMBER(R_Scores!K23)),COUNTIFS(R_Scores!$B$5:$B$44,1,R_Scores!$C$5:$C$44,"Paper condition",R_Scores!K$5:K$44,"&lt;"&amp;R_Scores!K23)+0.5*COUNTIFS(R_Scores!$B$5:$B$44,1,R_Scores!$C$5:$C$44,"Paper condition",R_Scores!K$5:K$44,R_Scores!K23),"")</f>
        <v/>
      </c>
      <c r="CO23" s="1" t="str">
        <f aca="false">IF(AND(R_Scores!$B23=1,OR(R_Scores!$C23="Tool condition",R_Scores!$C23="Paper condition"),ISNUMBER(R_Scores!K23)),(COUNTIFS(R_Scores!$B$5:$B$44,1,R_Scores!$C$5:$C$44,"Tool condition",R_Scores!K$5:K$44,R_Scores!K23)+COUNTIFS(R_Scores!$B$5:$B$44,1,R_Scores!$C$5:$C$44,"Paper condition",R_Scores!K$5:K$44,R_Scores!K23))^2-1,"")</f>
        <v/>
      </c>
      <c r="CP23" s="1" t="str">
        <f aca="false">IF(AND(R_Scores!$B23=2,R_Scores!$C23="Tool condition",ISNUMBER(R_Scores!K23)),COUNTIFS(R_Scores!$B$5:$B$44,2,R_Scores!$C$5:$C$44,"Paper condition",R_Scores!K$5:K$44,"&lt;"&amp;R_Scores!K23)+0.5*COUNTIFS(R_Scores!$B$5:$B$44,2,R_Scores!$C$5:$C$44,"Paper condition",R_Scores!K$5:K$44,R_Scores!K23),"")</f>
        <v/>
      </c>
      <c r="CQ23" s="1" t="str">
        <f aca="false">IF(AND(R_Scores!$B23=2,OR(R_Scores!$C23="Tool condition",R_Scores!$C23="Paper condition"),ISNUMBER(R_Scores!K23)),(COUNTIFS(R_Scores!$B$5:$B$44,2,R_Scores!$C$5:$C$44,"Tool condition",R_Scores!K$5:K$44,R_Scores!K23)+COUNTIFS(R_Scores!$B$5:$B$44,2,R_Scores!$C$5:$C$44,"Paper condition",R_Scores!K$5:K$44,R_Scores!K23))^2-1,"")</f>
        <v/>
      </c>
      <c r="CR23" s="1" t="str">
        <f aca="false">IF(ISNUMBER(R_Scores!K23),R_Scores!K23^2,"")</f>
        <v/>
      </c>
      <c r="CS23" s="1" t="str">
        <f aca="false">IF(AND(R_Scores!$B23=1,R_Scores!$C23="Tool condition",ISNUMBER(R_Scores!L23)),COUNTIFS(R_Scores!$B$5:$B$44,1,R_Scores!$C$5:$C$44,"Paper condition",R_Scores!L$5:L$44,"&lt;"&amp;R_Scores!L23)+0.5*COUNTIFS(R_Scores!$B$5:$B$44,1,R_Scores!$C$5:$C$44,"Paper condition",R_Scores!L$5:L$44,R_Scores!L23),"")</f>
        <v/>
      </c>
      <c r="CT23" s="1" t="str">
        <f aca="false">IF(AND(R_Scores!$B23=1,OR(R_Scores!$C23="Tool condition",R_Scores!$C23="Paper condition"),ISNUMBER(R_Scores!L23)),(COUNTIFS(R_Scores!$B$5:$B$44,1,R_Scores!$C$5:$C$44,"Tool condition",R_Scores!L$5:L$44,R_Scores!L23)+COUNTIFS(R_Scores!$B$5:$B$44,1,R_Scores!$C$5:$C$44,"Paper condition",R_Scores!L$5:L$44,R_Scores!L23))^2-1,"")</f>
        <v/>
      </c>
      <c r="CU23" s="1" t="str">
        <f aca="false">IF(AND(R_Scores!$B23=2,R_Scores!$C23="Tool condition",ISNUMBER(R_Scores!L23)),COUNTIFS(R_Scores!$B$5:$B$44,2,R_Scores!$C$5:$C$44,"Paper condition",R_Scores!L$5:L$44,"&lt;"&amp;R_Scores!L23)+0.5*COUNTIFS(R_Scores!$B$5:$B$44,2,R_Scores!$C$5:$C$44,"Paper condition",R_Scores!L$5:L$44,R_Scores!L23),"")</f>
        <v/>
      </c>
      <c r="CV23" s="1" t="str">
        <f aca="false">IF(AND(R_Scores!$B23=2,OR(R_Scores!$C23="Tool condition",R_Scores!$C23="Paper condition"),ISNUMBER(R_Scores!L23)),(COUNTIFS(R_Scores!$B$5:$B$44,2,R_Scores!$C$5:$C$44,"Tool condition",R_Scores!L$5:L$44,R_Scores!L23)+COUNTIFS(R_Scores!$B$5:$B$44,2,R_Scores!$C$5:$C$44,"Paper condition",R_Scores!L$5:L$44,R_Scores!L23))^2-1,"")</f>
        <v/>
      </c>
      <c r="CW23" s="1" t="str">
        <f aca="false">IF(ISNUMBER(R_Scores!L23),R_Scores!L23^2,"")</f>
        <v/>
      </c>
      <c r="CX23" s="1" t="str">
        <f aca="false">IF(AND(R_Scores!$B23=1,R_Scores!$C23="Tool condition",ISNUMBER(R_Scores!M23)),COUNTIFS(R_Scores!$B$5:$B$44,1,R_Scores!$C$5:$C$44,"Paper condition",R_Scores!M$5:M$44,"&lt;"&amp;R_Scores!M23)+0.5*COUNTIFS(R_Scores!$B$5:$B$44,1,R_Scores!$C$5:$C$44,"Paper condition",R_Scores!M$5:M$44,R_Scores!M23),"")</f>
        <v/>
      </c>
      <c r="CY23" s="1" t="str">
        <f aca="false">IF(AND(R_Scores!$B23=1,OR(R_Scores!$C23="Tool condition",R_Scores!$C23="Paper condition"),ISNUMBER(R_Scores!M23)),(COUNTIFS(R_Scores!$B$5:$B$44,1,R_Scores!$C$5:$C$44,"Tool condition",R_Scores!M$5:M$44,R_Scores!M23)+COUNTIFS(R_Scores!$B$5:$B$44,1,R_Scores!$C$5:$C$44,"Paper condition",R_Scores!M$5:M$44,R_Scores!M23))^2-1,"")</f>
        <v/>
      </c>
      <c r="CZ23" s="1" t="str">
        <f aca="false">IF(AND(R_Scores!$B23=2,R_Scores!$C23="Tool condition",ISNUMBER(R_Scores!M23)),COUNTIFS(R_Scores!$B$5:$B$44,2,R_Scores!$C$5:$C$44,"Paper condition",R_Scores!M$5:M$44,"&lt;"&amp;R_Scores!M23)+0.5*COUNTIFS(R_Scores!$B$5:$B$44,2,R_Scores!$C$5:$C$44,"Paper condition",R_Scores!M$5:M$44,R_Scores!M23),"")</f>
        <v/>
      </c>
      <c r="DA23" s="1" t="str">
        <f aca="false">IF(AND(R_Scores!$B23=2,OR(R_Scores!$C23="Tool condition",R_Scores!$C23="Paper condition"),ISNUMBER(R_Scores!M23)),(COUNTIFS(R_Scores!$B$5:$B$44,2,R_Scores!$C$5:$C$44,"Tool condition",R_Scores!M$5:M$44,R_Scores!M23)+COUNTIFS(R_Scores!$B$5:$B$44,2,R_Scores!$C$5:$C$44,"Paper condition",R_Scores!M$5:M$44,R_Scores!M23))^2-1,"")</f>
        <v/>
      </c>
      <c r="DB23" s="1" t="str">
        <f aca="false">IF(ISNUMBER(R_Scores!M23),R_Scores!M23^2,"")</f>
        <v/>
      </c>
      <c r="DC23" s="1" t="str">
        <f aca="false">IF(AND(R_Scores!$B23=1,R_Scores!$C23="Tool condition",ISNUMBER(R_Scores!N23)),COUNTIFS(R_Scores!$B$5:$B$44,1,R_Scores!$C$5:$C$44,"Paper condition",R_Scores!N$5:N$44,"&lt;"&amp;R_Scores!N23)+0.5*COUNTIFS(R_Scores!$B$5:$B$44,1,R_Scores!$C$5:$C$44,"Paper condition",R_Scores!N$5:N$44,R_Scores!N23),"")</f>
        <v/>
      </c>
      <c r="DD23" s="1" t="n">
        <f aca="false">IF(AND(R_Scores!$B23=1,OR(R_Scores!$C23="Tool condition",R_Scores!$C23="Paper condition"),ISNUMBER(R_Scores!N23)),(COUNTIFS(R_Scores!$B$5:$B$44,1,R_Scores!$C$5:$C$44,"Tool condition",R_Scores!N$5:N$44,R_Scores!N23)+COUNTIFS(R_Scores!$B$5:$B$44,1,R_Scores!$C$5:$C$44,"Paper condition",R_Scores!N$5:N$44,R_Scores!N23))^2-1,"")</f>
        <v>63</v>
      </c>
      <c r="DE23" s="1" t="str">
        <f aca="false">IF(AND(R_Scores!$B23=2,R_Scores!$C23="Tool condition",ISNUMBER(R_Scores!N23)),COUNTIFS(R_Scores!$B$5:$B$44,2,R_Scores!$C$5:$C$44,"Paper condition",R_Scores!N$5:N$44,"&lt;"&amp;R_Scores!N23)+0.5*COUNTIFS(R_Scores!$B$5:$B$44,2,R_Scores!$C$5:$C$44,"Paper condition",R_Scores!N$5:N$44,R_Scores!N23),"")</f>
        <v/>
      </c>
      <c r="DF23" s="1" t="str">
        <f aca="false">IF(AND(R_Scores!$B23=2,OR(R_Scores!$C23="Tool condition",R_Scores!$C23="Paper condition"),ISNUMBER(R_Scores!N23)),(COUNTIFS(R_Scores!$B$5:$B$44,2,R_Scores!$C$5:$C$44,"Tool condition",R_Scores!N$5:N$44,R_Scores!N23)+COUNTIFS(R_Scores!$B$5:$B$44,2,R_Scores!$C$5:$C$44,"Paper condition",R_Scores!N$5:N$44,R_Scores!N23))^2-1,"")</f>
        <v/>
      </c>
      <c r="DG23" s="1" t="n">
        <f aca="false">IF(ISNUMBER(R_Scores!N23),R_Scores!N23^2,"")</f>
        <v>0</v>
      </c>
      <c r="DH23" s="1" t="str">
        <f aca="false">IF(AND(R_Scores!$B23=1,R_Scores!$C23="Tool condition",ISNUMBER(R_Scores!O23)),COUNTIFS(R_Scores!$B$5:$B$44,1,R_Scores!$C$5:$C$44,"Paper condition",R_Scores!O$5:O$44,"&lt;"&amp;R_Scores!O23)+0.5*COUNTIFS(R_Scores!$B$5:$B$44,1,R_Scores!$C$5:$C$44,"Paper condition",R_Scores!O$5:O$44,R_Scores!O23),"")</f>
        <v/>
      </c>
      <c r="DI23" s="1" t="n">
        <f aca="false">IF(AND(R_Scores!$B23=1,OR(R_Scores!$C23="Tool condition",R_Scores!$C23="Paper condition"),ISNUMBER(R_Scores!O23)),(COUNTIFS(R_Scores!$B$5:$B$44,1,R_Scores!$C$5:$C$44,"Tool condition",R_Scores!O$5:O$44,R_Scores!O23)+COUNTIFS(R_Scores!$B$5:$B$44,1,R_Scores!$C$5:$C$44,"Paper condition",R_Scores!O$5:O$44,R_Scores!O23))^2-1,"")</f>
        <v>48</v>
      </c>
      <c r="DJ23" s="1" t="str">
        <f aca="false">IF(AND(R_Scores!$B23=2,R_Scores!$C23="Tool condition",ISNUMBER(R_Scores!O23)),COUNTIFS(R_Scores!$B$5:$B$44,2,R_Scores!$C$5:$C$44,"Paper condition",R_Scores!O$5:O$44,"&lt;"&amp;R_Scores!O23)+0.5*COUNTIFS(R_Scores!$B$5:$B$44,2,R_Scores!$C$5:$C$44,"Paper condition",R_Scores!O$5:O$44,R_Scores!O23),"")</f>
        <v/>
      </c>
      <c r="DK23" s="1" t="str">
        <f aca="false">IF(AND(R_Scores!$B23=2,OR(R_Scores!$C23="Tool condition",R_Scores!$C23="Paper condition"),ISNUMBER(R_Scores!O23)),(COUNTIFS(R_Scores!$B$5:$B$44,2,R_Scores!$C$5:$C$44,"Tool condition",R_Scores!O$5:O$44,R_Scores!O23)+COUNTIFS(R_Scores!$B$5:$B$44,2,R_Scores!$C$5:$C$44,"Paper condition",R_Scores!O$5:O$44,R_Scores!O23))^2-1,"")</f>
        <v/>
      </c>
      <c r="DL23" s="1" t="n">
        <f aca="false">IF(ISNUMBER(R_Scores!O23),R_Scores!O23^2,"")</f>
        <v>0</v>
      </c>
      <c r="DM23" s="1" t="str">
        <f aca="false">IF(AND(R_Scores!$B23=1,R_Scores!$C23="Tool condition",ISNUMBER(R_Scores!P23)),COUNTIFS(R_Scores!$B$5:$B$44,1,R_Scores!$C$5:$C$44,"Paper condition",R_Scores!P$5:P$44,"&lt;"&amp;R_Scores!P23)+0.5*COUNTIFS(R_Scores!$B$5:$B$44,1,R_Scores!$C$5:$C$44,"Paper condition",R_Scores!P$5:P$44,R_Scores!P23),"")</f>
        <v/>
      </c>
      <c r="DN23" s="1" t="n">
        <f aca="false">IF(AND(R_Scores!$B23=1,OR(R_Scores!$C23="Tool condition",R_Scores!$C23="Paper condition"),ISNUMBER(R_Scores!P23)),(COUNTIFS(R_Scores!$B$5:$B$44,1,R_Scores!$C$5:$C$44,"Tool condition",R_Scores!P$5:P$44,R_Scores!P23)+COUNTIFS(R_Scores!$B$5:$B$44,1,R_Scores!$C$5:$C$44,"Paper condition",R_Scores!P$5:P$44,R_Scores!P23))^2-1,"")</f>
        <v>80</v>
      </c>
      <c r="DO23" s="1" t="str">
        <f aca="false">IF(AND(R_Scores!$B23=2,R_Scores!$C23="Tool condition",ISNUMBER(R_Scores!P23)),COUNTIFS(R_Scores!$B$5:$B$44,2,R_Scores!$C$5:$C$44,"Paper condition",R_Scores!P$5:P$44,"&lt;"&amp;R_Scores!P23)+0.5*COUNTIFS(R_Scores!$B$5:$B$44,2,R_Scores!$C$5:$C$44,"Paper condition",R_Scores!P$5:P$44,R_Scores!P23),"")</f>
        <v/>
      </c>
      <c r="DP23" s="1" t="str">
        <f aca="false">IF(AND(R_Scores!$B23=2,OR(R_Scores!$C23="Tool condition",R_Scores!$C23="Paper condition"),ISNUMBER(R_Scores!P23)),(COUNTIFS(R_Scores!$B$5:$B$44,2,R_Scores!$C$5:$C$44,"Tool condition",R_Scores!P$5:P$44,R_Scores!P23)+COUNTIFS(R_Scores!$B$5:$B$44,2,R_Scores!$C$5:$C$44,"Paper condition",R_Scores!P$5:P$44,R_Scores!P23))^2-1,"")</f>
        <v/>
      </c>
      <c r="DQ23" s="1" t="n">
        <f aca="false">IF(ISNUMBER(R_Scores!P23),R_Scores!P23^2,"")</f>
        <v>0</v>
      </c>
      <c r="DR23" s="1" t="str">
        <f aca="false">IF(AND(Scores!$B23=1,Scores!$C23="Tool condition",ISNUMBER(Scores!Q23)),COUNTIFS(Scores!$B$5:$B$44,1,Scores!$C$5:$C$44,"Paper condition",Scores!Q$5:Q$44,"&lt;"&amp;Scores!Q23)+0.5*COUNTIFS(Scores!$B$5:$B$44,1,Scores!$C$5:$C$44,"Paper condition",Scores!Q$5:Q$44,Scores!Q23),"")</f>
        <v/>
      </c>
      <c r="DS23" s="1" t="n">
        <f aca="false">IF(AND(Scores!$B23=1,OR(Scores!$C23="Tool condition",Scores!$C23="Paper condition"),ISNUMBER(Scores!Q23)),(COUNTIFS(Scores!$B$5:$B$44,1,Scores!$C$5:$C$44,"Tool condition",Scores!Q$5:Q$44,Scores!Q23)+COUNTIFS(Scores!$B$5:$B$44,1,Scores!$C$5:$C$44,"Paper condition",Scores!Q$5:Q$44,Scores!Q23))^2-1,"")</f>
        <v>3</v>
      </c>
      <c r="DT23" s="1" t="str">
        <f aca="false">IF(AND(Scores!$B23=2,Scores!$C23="Tool condition",ISNUMBER(Scores!Q23)),COUNTIFS(Scores!$B$5:$B$44,2,Scores!$C$5:$C$44,"Paper condition",Scores!Q$5:Q$44,"&lt;"&amp;Scores!Q23)+0.5*COUNTIFS(Scores!$B$5:$B$44,2,Scores!$C$5:$C$44,"Paper condition",Scores!Q$5:Q$44,Scores!Q23),"")</f>
        <v/>
      </c>
      <c r="DU23" s="1" t="str">
        <f aca="false">IF(AND(Scores!$B23=2,OR(Scores!$C23="Tool condition",Scores!$C23="Paper condition"),ISNUMBER(Scores!Q23)),(COUNTIFS(Scores!$B$5:$B$44,2,Scores!$C$5:$C$44,"Tool condition",Scores!Q$5:Q$44,Scores!Q23)+COUNTIFS(Scores!$B$5:$B$44,2,Scores!$C$5:$C$44,"Paper condition",Scores!Q$5:Q$44,Scores!Q23))^2-1,"")</f>
        <v/>
      </c>
      <c r="DV23" s="1" t="n">
        <f aca="false">IF(ISNUMBER(Scores!Q23),Scores!Q23^2,"")</f>
        <v>144</v>
      </c>
      <c r="DW23" s="1" t="str">
        <f aca="false">IF(AND(Scores!$B23=1,Scores!$C23="Tool condition",ISNUMBER(Scores!R23)),COUNTIFS(Scores!$B$5:$B$44,1,Scores!$C$5:$C$44,"Paper condition",Scores!R$5:R$44,"&lt;"&amp;Scores!R23)+0.5*COUNTIFS(Scores!$B$5:$B$44,1,Scores!$C$5:$C$44,"Paper condition",Scores!R$5:R$44,Scores!R23),"")</f>
        <v/>
      </c>
      <c r="DX23" s="1" t="n">
        <f aca="false">IF(AND(Scores!$B23=1,OR(Scores!$C23="Tool condition",Scores!$C23="Paper condition"),ISNUMBER(Scores!R23)),(COUNTIFS(Scores!$B$5:$B$44,1,Scores!$C$5:$C$44,"Tool condition",Scores!R$5:R$44,Scores!R23)+COUNTIFS(Scores!$B$5:$B$44,1,Scores!$C$5:$C$44,"Paper condition",Scores!R$5:R$44,Scores!R23))^2-1,"")</f>
        <v>0</v>
      </c>
      <c r="DY23" s="1" t="str">
        <f aca="false">IF(AND(Scores!$B23=2,Scores!$C23="Tool condition",ISNUMBER(Scores!R23)),COUNTIFS(Scores!$B$5:$B$44,2,Scores!$C$5:$C$44,"Paper condition",Scores!R$5:R$44,"&lt;"&amp;Scores!R23)+0.5*COUNTIFS(Scores!$B$5:$B$44,2,Scores!$C$5:$C$44,"Paper condition",Scores!R$5:R$44,Scores!R23),"")</f>
        <v/>
      </c>
      <c r="DZ23" s="1" t="str">
        <f aca="false">IF(AND(Scores!$B23=2,OR(Scores!$C23="Tool condition",Scores!$C23="Paper condition"),ISNUMBER(Scores!R23)),(COUNTIFS(Scores!$B$5:$B$44,2,Scores!$C$5:$C$44,"Tool condition",Scores!R$5:R$44,Scores!R23)+COUNTIFS(Scores!$B$5:$B$44,2,Scores!$C$5:$C$44,"Paper condition",Scores!R$5:R$44,Scores!R23))^2-1,"")</f>
        <v/>
      </c>
      <c r="EA23" s="1" t="n">
        <f aca="false">IF(ISNUMBER(Scores!R23),Scores!R23^2,"")</f>
        <v>36</v>
      </c>
      <c r="EB23" s="1" t="str">
        <f aca="false">IF(AND(Scores!$B23=1,Scores!$C23="Tool condition",ISNUMBER(Scores!S23)),COUNTIFS(Scores!$B$5:$B$44,1,Scores!$C$5:$C$44,"Paper condition",Scores!S$5:S$44,"&lt;"&amp;Scores!S23)+0.5*COUNTIFS(Scores!$B$5:$B$44,1,Scores!$C$5:$C$44,"Paper condition",Scores!S$5:S$44,Scores!S23),"")</f>
        <v/>
      </c>
      <c r="EC23" s="1" t="n">
        <f aca="false">IF(AND(Scores!$B23=1,OR(Scores!$C23="Tool condition",Scores!$C23="Paper condition"),ISNUMBER(Scores!S23)),(COUNTIFS(Scores!$B$5:$B$44,1,Scores!$C$5:$C$44,"Tool condition",Scores!S$5:S$44,Scores!S23)+COUNTIFS(Scores!$B$5:$B$44,1,Scores!$C$5:$C$44,"Paper condition",Scores!S$5:S$44,Scores!S23))^2-1,"")</f>
        <v>0</v>
      </c>
      <c r="ED23" s="1" t="str">
        <f aca="false">IF(AND(Scores!$B23=2,Scores!$C23="Tool condition",ISNUMBER(Scores!S23)),COUNTIFS(Scores!$B$5:$B$44,2,Scores!$C$5:$C$44,"Paper condition",Scores!S$5:S$44,"&lt;"&amp;Scores!S23)+0.5*COUNTIFS(Scores!$B$5:$B$44,2,Scores!$C$5:$C$44,"Paper condition",Scores!S$5:S$44,Scores!S23),"")</f>
        <v/>
      </c>
      <c r="EE23" s="1" t="str">
        <f aca="false">IF(AND(Scores!$B23=2,OR(Scores!$C23="Tool condition",Scores!$C23="Paper condition"),ISNUMBER(Scores!S23)),(COUNTIFS(Scores!$B$5:$B$44,2,Scores!$C$5:$C$44,"Tool condition",Scores!S$5:S$44,Scores!S23)+COUNTIFS(Scores!$B$5:$B$44,2,Scores!$C$5:$C$44,"Paper condition",Scores!S$5:S$44,Scores!S23))^2-1,"")</f>
        <v/>
      </c>
      <c r="EF23" s="1" t="n">
        <f aca="false">IF(ISNUMBER(Scores!S23),Scores!S23^2,"")</f>
        <v>36</v>
      </c>
      <c r="EG23" s="1" t="str">
        <f aca="false">IF(AND(Scores!$B23=1,Scores!$C23="Tool condition",ISNUMBER(Scores!T23)),COUNTIFS(Scores!$B$5:$B$44,1,Scores!$C$5:$C$44,"Paper condition",Scores!T$5:T$44,"&lt;"&amp;Scores!T23)+0.5*COUNTIFS(Scores!$B$5:$B$44,1,Scores!$C$5:$C$44,"Paper condition",Scores!T$5:T$44,Scores!T23),"")</f>
        <v/>
      </c>
      <c r="EH23" s="1" t="n">
        <f aca="false">IF(AND(Scores!$B23=1,OR(Scores!$C23="Tool condition",Scores!$C23="Paper condition"),ISNUMBER(Scores!T23)),(COUNTIFS(Scores!$B$5:$B$44,1,Scores!$C$5:$C$44,"Tool condition",Scores!T$5:T$44,Scores!T23)+COUNTIFS(Scores!$B$5:$B$44,1,Scores!$C$5:$C$44,"Paper condition",Scores!T$5:T$44,Scores!T23))^2-1,"")</f>
        <v>8</v>
      </c>
      <c r="EI23" s="1" t="str">
        <f aca="false">IF(AND(Scores!$B23=2,Scores!$C23="Tool condition",ISNUMBER(Scores!T23)),COUNTIFS(Scores!$B$5:$B$44,2,Scores!$C$5:$C$44,"Paper condition",Scores!T$5:T$44,"&lt;"&amp;Scores!T23)+0.5*COUNTIFS(Scores!$B$5:$B$44,2,Scores!$C$5:$C$44,"Paper condition",Scores!T$5:T$44,Scores!T23),"")</f>
        <v/>
      </c>
      <c r="EJ23" s="1" t="str">
        <f aca="false">IF(AND(Scores!$B23=2,OR(Scores!$C23="Tool condition",Scores!$C23="Paper condition"),ISNUMBER(Scores!T23)),(COUNTIFS(Scores!$B$5:$B$44,2,Scores!$C$5:$C$44,"Tool condition",Scores!T$5:T$44,Scores!T23)+COUNTIFS(Scores!$B$5:$B$44,2,Scores!$C$5:$C$44,"Paper condition",Scores!T$5:T$44,Scores!T23))^2-1,"")</f>
        <v/>
      </c>
      <c r="EK23" s="1" t="n">
        <f aca="false">IF(ISNUMBER(Scores!T23),Scores!T23^2,"")</f>
        <v>36</v>
      </c>
      <c r="EL23" s="1" t="str">
        <f aca="false">IF(AND(Scores!$B23=1,Scores!$C23="Tool condition",ISNUMBER(Scores!U23)),COUNTIFS(Scores!$B$5:$B$44,1,Scores!$C$5:$C$44,"Paper condition",Scores!U$5:U$44,"&lt;"&amp;Scores!U23)+0.5*COUNTIFS(Scores!$B$5:$B$44,1,Scores!$C$5:$C$44,"Paper condition",Scores!U$5:U$44,Scores!U23),"")</f>
        <v/>
      </c>
      <c r="EM23" s="1" t="n">
        <f aca="false">IF(AND(Scores!$B23=1,OR(Scores!$C23="Tool condition",Scores!$C23="Paper condition"),ISNUMBER(Scores!U23)),(COUNTIFS(Scores!$B$5:$B$44,1,Scores!$C$5:$C$44,"Tool condition",Scores!U$5:U$44,Scores!U23)+COUNTIFS(Scores!$B$5:$B$44,1,Scores!$C$5:$C$44,"Paper condition",Scores!U$5:U$44,Scores!U23))^2-1,"")</f>
        <v>3</v>
      </c>
      <c r="EN23" s="1" t="str">
        <f aca="false">IF(AND(Scores!$B23=2,Scores!$C23="Tool condition",ISNUMBER(Scores!U23)),COUNTIFS(Scores!$B$5:$B$44,2,Scores!$C$5:$C$44,"Paper condition",Scores!U$5:U$44,"&lt;"&amp;Scores!U23)+0.5*COUNTIFS(Scores!$B$5:$B$44,2,Scores!$C$5:$C$44,"Paper condition",Scores!U$5:U$44,Scores!U23),"")</f>
        <v/>
      </c>
      <c r="EO23" s="1" t="str">
        <f aca="false">IF(AND(Scores!$B23=2,OR(Scores!$C23="Tool condition",Scores!$C23="Paper condition"),ISNUMBER(Scores!U23)),(COUNTIFS(Scores!$B$5:$B$44,2,Scores!$C$5:$C$44,"Tool condition",Scores!U$5:U$44,Scores!U23)+COUNTIFS(Scores!$B$5:$B$44,2,Scores!$C$5:$C$44,"Paper condition",Scores!U$5:U$44,Scores!U23))^2-1,"")</f>
        <v/>
      </c>
      <c r="EP23" s="1" t="n">
        <f aca="false">IF(ISNUMBER(Scores!U23),Scores!U23^2,"")</f>
        <v>4</v>
      </c>
      <c r="EQ23" s="1" t="str">
        <f aca="false">IF(AND(Scores!$B23=1,Scores!$C23="Tool condition",ISNUMBER(Scores!V23)),COUNTIFS(Scores!$B$5:$B$44,1,Scores!$C$5:$C$44,"Paper condition",Scores!V$5:V$44,"&lt;"&amp;Scores!V23)+0.5*COUNTIFS(Scores!$B$5:$B$44,1,Scores!$C$5:$C$44,"Paper condition",Scores!V$5:V$44,Scores!V23),"")</f>
        <v/>
      </c>
      <c r="ER23" s="1" t="n">
        <f aca="false">IF(AND(Scores!$B23=1,OR(Scores!$C23="Tool condition",Scores!$C23="Paper condition"),ISNUMBER(Scores!V23)),(COUNTIFS(Scores!$B$5:$B$44,1,Scores!$C$5:$C$44,"Tool condition",Scores!V$5:V$44,Scores!V23)+COUNTIFS(Scores!$B$5:$B$44,1,Scores!$C$5:$C$44,"Paper condition",Scores!V$5:V$44,Scores!V23))^2-1,"")</f>
        <v>8</v>
      </c>
      <c r="ES23" s="1" t="str">
        <f aca="false">IF(AND(Scores!$B23=2,Scores!$C23="Tool condition",ISNUMBER(Scores!V23)),COUNTIFS(Scores!$B$5:$B$44,2,Scores!$C$5:$C$44,"Paper condition",Scores!V$5:V$44,"&lt;"&amp;Scores!V23)+0.5*COUNTIFS(Scores!$B$5:$B$44,2,Scores!$C$5:$C$44,"Paper condition",Scores!V$5:V$44,Scores!V23),"")</f>
        <v/>
      </c>
      <c r="ET23" s="1" t="str">
        <f aca="false">IF(AND(Scores!$B23=2,OR(Scores!$C23="Tool condition",Scores!$C23="Paper condition"),ISNUMBER(Scores!V23)),(COUNTIFS(Scores!$B$5:$B$44,2,Scores!$C$5:$C$44,"Tool condition",Scores!V$5:V$44,Scores!V23)+COUNTIFS(Scores!$B$5:$B$44,2,Scores!$C$5:$C$44,"Paper condition",Scores!V$5:V$44,Scores!V23))^2-1,"")</f>
        <v/>
      </c>
      <c r="EU23" s="1" t="n">
        <f aca="false">IF(ISNUMBER(Scores!V23),Scores!V23^2,"")</f>
        <v>16</v>
      </c>
      <c r="EV23" s="1" t="str">
        <f aca="false">IF(AND(R_Scores!$B23=1,R_Scores!$C23="Tool condition",ISNUMBER(R_Scores!Q23)),COUNTIFS(R_Scores!$B$5:$B$44,1,R_Scores!$C$5:$C$44,"Paper condition",R_Scores!Q$5:Q$44,"&lt;"&amp;R_Scores!Q23)+0.5*COUNTIFS(R_Scores!$B$5:$B$44,1,R_Scores!$C$5:$C$44,"Paper condition",R_Scores!Q$5:Q$44,R_Scores!Q23),"")</f>
        <v/>
      </c>
      <c r="EW23" s="1" t="n">
        <f aca="false">IF(AND(R_Scores!$B23=1,OR(R_Scores!$C23="Tool condition",R_Scores!$C23="Paper condition"),ISNUMBER(R_Scores!Q23)),(COUNTIFS(R_Scores!$B$5:$B$44,1,R_Scores!$C$5:$C$44,"Tool condition",R_Scores!Q$5:Q$44,R_Scores!Q23)+COUNTIFS(R_Scores!$B$5:$B$44,1,R_Scores!$C$5:$C$44,"Paper condition",R_Scores!Q$5:Q$44,R_Scores!Q23))^2-1,"")</f>
        <v>0</v>
      </c>
      <c r="EX23" s="1" t="str">
        <f aca="false">IF(AND(R_Scores!$B23=2,R_Scores!$C23="Tool condition",ISNUMBER(R_Scores!Q23)),COUNTIFS(R_Scores!$B$5:$B$44,2,R_Scores!$C$5:$C$44,"Paper condition",R_Scores!Q$5:Q$44,"&lt;"&amp;R_Scores!Q23)+0.5*COUNTIFS(R_Scores!$B$5:$B$44,2,R_Scores!$C$5:$C$44,"Paper condition",R_Scores!Q$5:Q$44,R_Scores!Q23),"")</f>
        <v/>
      </c>
      <c r="EY23" s="1" t="str">
        <f aca="false">IF(AND(R_Scores!$B23=2,OR(R_Scores!$C23="Tool condition",R_Scores!$C23="Paper condition"),ISNUMBER(R_Scores!Q23)),(COUNTIFS(R_Scores!$B$5:$B$44,2,R_Scores!$C$5:$C$44,"Tool condition",R_Scores!Q$5:Q$44,R_Scores!Q23)+COUNTIFS(R_Scores!$B$5:$B$44,2,R_Scores!$C$5:$C$44,"Paper condition",R_Scores!Q$5:Q$44,R_Scores!Q23))^2-1,"")</f>
        <v/>
      </c>
      <c r="EZ23" s="1" t="n">
        <f aca="false">IF(ISNUMBER(R_Scores!Q23),R_Scores!Q23^2,"")</f>
        <v>1</v>
      </c>
      <c r="FA23" s="1" t="str">
        <f aca="false">IF(AND(R_Scores!$B23=1,R_Scores!$C23="Tool condition",ISNUMBER(R_Scores!R23)),COUNTIFS(R_Scores!$B$5:$B$44,1,R_Scores!$C$5:$C$44,"Paper condition",R_Scores!R$5:R$44,"&lt;"&amp;R_Scores!R23)+0.5*COUNTIFS(R_Scores!$B$5:$B$44,1,R_Scores!$C$5:$C$44,"Paper condition",R_Scores!R$5:R$44,R_Scores!R23),"")</f>
        <v/>
      </c>
      <c r="FB23" s="1" t="n">
        <f aca="false">IF(AND(R_Scores!$B23=1,OR(R_Scores!$C23="Tool condition",R_Scores!$C23="Paper condition"),ISNUMBER(R_Scores!R23)),(COUNTIFS(R_Scores!$B$5:$B$44,1,R_Scores!$C$5:$C$44,"Tool condition",R_Scores!R$5:R$44,R_Scores!R23)+COUNTIFS(R_Scores!$B$5:$B$44,1,R_Scores!$C$5:$C$44,"Paper condition",R_Scores!R$5:R$44,R_Scores!R23))^2-1,"")</f>
        <v>0</v>
      </c>
      <c r="FC23" s="1" t="str">
        <f aca="false">IF(AND(R_Scores!$B23=2,R_Scores!$C23="Tool condition",ISNUMBER(R_Scores!R23)),COUNTIFS(R_Scores!$B$5:$B$44,2,R_Scores!$C$5:$C$44,"Paper condition",R_Scores!R$5:R$44,"&lt;"&amp;R_Scores!R23)+0.5*COUNTIFS(R_Scores!$B$5:$B$44,2,R_Scores!$C$5:$C$44,"Paper condition",R_Scores!R$5:R$44,R_Scores!R23),"")</f>
        <v/>
      </c>
      <c r="FD23" s="1" t="str">
        <f aca="false">IF(AND(R_Scores!$B23=2,OR(R_Scores!$C23="Tool condition",R_Scores!$C23="Paper condition"),ISNUMBER(R_Scores!R23)),(COUNTIFS(R_Scores!$B$5:$B$44,2,R_Scores!$C$5:$C$44,"Tool condition",R_Scores!R$5:R$44,R_Scores!R23)+COUNTIFS(R_Scores!$B$5:$B$44,2,R_Scores!$C$5:$C$44,"Paper condition",R_Scores!R$5:R$44,R_Scores!R23))^2-1,"")</f>
        <v/>
      </c>
      <c r="FE23" s="1" t="n">
        <f aca="false">IF(ISNUMBER(R_Scores!R23),R_Scores!R23^2,"")</f>
        <v>169</v>
      </c>
    </row>
    <row r="24" customFormat="false" ht="14.25" hidden="false" customHeight="true" outlineLevel="0" collapsed="false">
      <c r="B24" s="1" t="str">
        <f aca="false">IF(AND(Scores!$B24=1,Scores!$C24="Tool condition",ISNUMBER(Scores!E24)),COUNTIFS(Scores!$B$5:$B$44,1,Scores!$C$5:$C$44,"Paper condition",Scores!E$5:E$44,"&lt;"&amp;Scores!E24)+0.5*COUNTIFS(Scores!$B$5:$B$44,1,Scores!$C$5:$C$44,"Paper condition",Scores!E$5:E$44,Scores!E24),"")</f>
        <v/>
      </c>
      <c r="C24" s="1" t="n">
        <f aca="false">IF(AND(Scores!$B24=1,OR(Scores!$C24="Tool condition",Scores!$C24="Paper condition"),ISNUMBER(Scores!E24)),(COUNTIFS(Scores!$B$5:$B$44,1,Scores!$C$5:$C$44,"Tool condition",Scores!E$5:E$44,Scores!E24)+COUNTIFS(Scores!$B$5:$B$44,1,Scores!$C$5:$C$44,"Paper condition",Scores!E$5:E$44,Scores!E24))^2-1,"")</f>
        <v>255</v>
      </c>
      <c r="D24" s="1" t="str">
        <f aca="false">IF(AND(Scores!$B24=2,Scores!$C24="Tool condition",ISNUMBER(Scores!E24)),COUNTIFS(Scores!$B$5:$B$44,2,Scores!$C$5:$C$44,"Paper condition",Scores!E$5:E$44,"&lt;"&amp;Scores!E24)+0.5*COUNTIFS(Scores!$B$5:$B$44,2,Scores!$C$5:$C$44,"Paper condition",Scores!E$5:E$44,Scores!E24),"")</f>
        <v/>
      </c>
      <c r="E24" s="1" t="str">
        <f aca="false">IF(AND(Scores!$B24=2,OR(Scores!$C24="Tool condition",Scores!$C24="Paper condition"),ISNUMBER(Scores!E24)),(COUNTIFS(Scores!$B$5:$B$44,2,Scores!$C$5:$C$44,"Tool condition",Scores!E$5:E$44,Scores!E24)+COUNTIFS(Scores!$B$5:$B$44,2,Scores!$C$5:$C$44,"Paper condition",Scores!E$5:E$44,Scores!E24))^2-1,"")</f>
        <v/>
      </c>
      <c r="F24" s="1" t="n">
        <f aca="false">IF(ISNUMBER(Scores!E24),Scores!E24^2,"")</f>
        <v>4</v>
      </c>
      <c r="G24" s="1" t="str">
        <f aca="false">IF(AND(Scores!$B24=1,Scores!$C24="Tool condition",ISNUMBER(Scores!F24)),COUNTIFS(Scores!$B$5:$B$44,1,Scores!$C$5:$C$44,"Paper condition",Scores!F$5:F$44,"&lt;"&amp;Scores!F24)+0.5*COUNTIFS(Scores!$B$5:$B$44,1,Scores!$C$5:$C$44,"Paper condition",Scores!F$5:F$44,Scores!F24),"")</f>
        <v/>
      </c>
      <c r="H24" s="1" t="n">
        <f aca="false">IF(AND(Scores!$B24=1,OR(Scores!$C24="Tool condition",Scores!$C24="Paper condition"),ISNUMBER(Scores!F24)),(COUNTIFS(Scores!$B$5:$B$44,1,Scores!$C$5:$C$44,"Tool condition",Scores!F$5:F$44,Scores!F24)+COUNTIFS(Scores!$B$5:$B$44,1,Scores!$C$5:$C$44,"Paper condition",Scores!F$5:F$44,Scores!F24))^2-1,"")</f>
        <v>195</v>
      </c>
      <c r="I24" s="1" t="str">
        <f aca="false">IF(AND(Scores!$B24=2,Scores!$C24="Tool condition",ISNUMBER(Scores!F24)),COUNTIFS(Scores!$B$5:$B$44,2,Scores!$C$5:$C$44,"Paper condition",Scores!F$5:F$44,"&lt;"&amp;Scores!F24)+0.5*COUNTIFS(Scores!$B$5:$B$44,2,Scores!$C$5:$C$44,"Paper condition",Scores!F$5:F$44,Scores!F24),"")</f>
        <v/>
      </c>
      <c r="J24" s="1" t="str">
        <f aca="false">IF(AND(Scores!$B24=2,OR(Scores!$C24="Tool condition",Scores!$C24="Paper condition"),ISNUMBER(Scores!F24)),(COUNTIFS(Scores!$B$5:$B$44,2,Scores!$C$5:$C$44,"Tool condition",Scores!F$5:F$44,Scores!F24)+COUNTIFS(Scores!$B$5:$B$44,2,Scores!$C$5:$C$44,"Paper condition",Scores!F$5:F$44,Scores!F24))^2-1,"")</f>
        <v/>
      </c>
      <c r="K24" s="1" t="n">
        <f aca="false">IF(ISNUMBER(Scores!F24),Scores!F24^2,"")</f>
        <v>4</v>
      </c>
      <c r="L24" s="1" t="str">
        <f aca="false">IF(AND(Scores!$B24=1,Scores!$C24="Tool condition",ISNUMBER(Scores!G24)),COUNTIFS(Scores!$B$5:$B$44,1,Scores!$C$5:$C$44,"Paper condition",Scores!G$5:G$44,"&lt;"&amp;Scores!G24)+0.5*COUNTIFS(Scores!$B$5:$B$44,1,Scores!$C$5:$C$44,"Paper condition",Scores!G$5:G$44,Scores!G24),"")</f>
        <v/>
      </c>
      <c r="M24" s="1" t="n">
        <f aca="false">IF(AND(Scores!$B24=1,OR(Scores!$C24="Tool condition",Scores!$C24="Paper condition"),ISNUMBER(Scores!G24)),(COUNTIFS(Scores!$B$5:$B$44,1,Scores!$C$5:$C$44,"Tool condition",Scores!G$5:G$44,Scores!G24)+COUNTIFS(Scores!$B$5:$B$44,1,Scores!$C$5:$C$44,"Paper condition",Scores!G$5:G$44,Scores!G24))^2-1,"")</f>
        <v>288</v>
      </c>
      <c r="N24" s="1" t="str">
        <f aca="false">IF(AND(Scores!$B24=2,Scores!$C24="Tool condition",ISNUMBER(Scores!G24)),COUNTIFS(Scores!$B$5:$B$44,2,Scores!$C$5:$C$44,"Paper condition",Scores!G$5:G$44,"&lt;"&amp;Scores!G24)+0.5*COUNTIFS(Scores!$B$5:$B$44,2,Scores!$C$5:$C$44,"Paper condition",Scores!G$5:G$44,Scores!G24),"")</f>
        <v/>
      </c>
      <c r="O24" s="1" t="str">
        <f aca="false">IF(AND(Scores!$B24=2,OR(Scores!$C24="Tool condition",Scores!$C24="Paper condition"),ISNUMBER(Scores!G24)),(COUNTIFS(Scores!$B$5:$B$44,2,Scores!$C$5:$C$44,"Tool condition",Scores!G$5:G$44,Scores!G24)+COUNTIFS(Scores!$B$5:$B$44,2,Scores!$C$5:$C$44,"Paper condition",Scores!G$5:G$44,Scores!G24))^2-1,"")</f>
        <v/>
      </c>
      <c r="P24" s="1" t="n">
        <f aca="false">IF(ISNUMBER(Scores!G24),Scores!G24^2,"")</f>
        <v>4</v>
      </c>
      <c r="Q24" s="1" t="str">
        <f aca="false">IF(AND(Scores!$B24=1,Scores!$C24="Tool condition",ISNUMBER(Scores!H24)),COUNTIFS(Scores!$B$5:$B$44,1,Scores!$C$5:$C$44,"Paper condition",Scores!H$5:H$44,"&lt;"&amp;Scores!H24)+0.5*COUNTIFS(Scores!$B$5:$B$44,1,Scores!$C$5:$C$44,"Paper condition",Scores!H$5:H$44,Scores!H24),"")</f>
        <v/>
      </c>
      <c r="R24" s="1" t="n">
        <f aca="false">IF(AND(Scores!$B24=1,OR(Scores!$C24="Tool condition",Scores!$C24="Paper condition"),ISNUMBER(Scores!H24)),(COUNTIFS(Scores!$B$5:$B$44,1,Scores!$C$5:$C$44,"Tool condition",Scores!H$5:H$44,Scores!H24)+COUNTIFS(Scores!$B$5:$B$44,1,Scores!$C$5:$C$44,"Paper condition",Scores!H$5:H$44,Scores!H24))^2-1,"")</f>
        <v>15</v>
      </c>
      <c r="S24" s="1" t="str">
        <f aca="false">IF(AND(Scores!$B24=2,Scores!$C24="Tool condition",ISNUMBER(Scores!H24)),COUNTIFS(Scores!$B$5:$B$44,2,Scores!$C$5:$C$44,"Paper condition",Scores!H$5:H$44,"&lt;"&amp;Scores!H24)+0.5*COUNTIFS(Scores!$B$5:$B$44,2,Scores!$C$5:$C$44,"Paper condition",Scores!H$5:H$44,Scores!H24),"")</f>
        <v/>
      </c>
      <c r="T24" s="1" t="str">
        <f aca="false">IF(AND(Scores!$B24=2,OR(Scores!$C24="Tool condition",Scores!$C24="Paper condition"),ISNUMBER(Scores!H24)),(COUNTIFS(Scores!$B$5:$B$44,2,Scores!$C$5:$C$44,"Tool condition",Scores!H$5:H$44,Scores!H24)+COUNTIFS(Scores!$B$5:$B$44,2,Scores!$C$5:$C$44,"Paper condition",Scores!H$5:H$44,Scores!H24))^2-1,"")</f>
        <v/>
      </c>
      <c r="U24" s="1" t="n">
        <f aca="false">IF(ISNUMBER(Scores!H24),Scores!H24^2,"")</f>
        <v>1</v>
      </c>
      <c r="V24" s="1" t="str">
        <f aca="false">IF(AND(Scores!$B24=1,Scores!$C24="Tool condition",ISNUMBER(Scores!I24)),COUNTIFS(Scores!$B$5:$B$44,1,Scores!$C$5:$C$44,"Paper condition",Scores!I$5:I$44,"&lt;"&amp;Scores!I24)+0.5*COUNTIFS(Scores!$B$5:$B$44,1,Scores!$C$5:$C$44,"Paper condition",Scores!I$5:I$44,Scores!I24),"")</f>
        <v/>
      </c>
      <c r="W24" s="1" t="n">
        <f aca="false">IF(AND(Scores!$B24=1,OR(Scores!$C24="Tool condition",Scores!$C24="Paper condition"),ISNUMBER(Scores!I24)),(COUNTIFS(Scores!$B$5:$B$44,1,Scores!$C$5:$C$44,"Tool condition",Scores!I$5:I$44,Scores!I24)+COUNTIFS(Scores!$B$5:$B$44,1,Scores!$C$5:$C$44,"Paper condition",Scores!I$5:I$44,Scores!I24))^2-1,"")</f>
        <v>195</v>
      </c>
      <c r="X24" s="1" t="str">
        <f aca="false">IF(AND(Scores!$B24=2,Scores!$C24="Tool condition",ISNUMBER(Scores!I24)),COUNTIFS(Scores!$B$5:$B$44,2,Scores!$C$5:$C$44,"Paper condition",Scores!I$5:I$44,"&lt;"&amp;Scores!I24)+0.5*COUNTIFS(Scores!$B$5:$B$44,2,Scores!$C$5:$C$44,"Paper condition",Scores!I$5:I$44,Scores!I24),"")</f>
        <v/>
      </c>
      <c r="Y24" s="1" t="str">
        <f aca="false">IF(AND(Scores!$B24=2,OR(Scores!$C24="Tool condition",Scores!$C24="Paper condition"),ISNUMBER(Scores!I24)),(COUNTIFS(Scores!$B$5:$B$44,2,Scores!$C$5:$C$44,"Tool condition",Scores!I$5:I$44,Scores!I24)+COUNTIFS(Scores!$B$5:$B$44,2,Scores!$C$5:$C$44,"Paper condition",Scores!I$5:I$44,Scores!I24))^2-1,"")</f>
        <v/>
      </c>
      <c r="Z24" s="1" t="n">
        <f aca="false">IF(ISNUMBER(Scores!I24),Scores!I24^2,"")</f>
        <v>4</v>
      </c>
      <c r="AA24" s="1" t="str">
        <f aca="false">IF(AND(Scores!$B24=1,Scores!$C24="Tool condition",ISNUMBER(Scores!J24)),COUNTIFS(Scores!$B$5:$B$44,1,Scores!$C$5:$C$44,"Paper condition",Scores!J$5:J$44,"&lt;"&amp;Scores!J24)+0.5*COUNTIFS(Scores!$B$5:$B$44,1,Scores!$C$5:$C$44,"Paper condition",Scores!J$5:J$44,Scores!J24),"")</f>
        <v/>
      </c>
      <c r="AB24" s="1" t="n">
        <f aca="false">IF(AND(Scores!$B24=1,OR(Scores!$C24="Tool condition",Scores!$C24="Paper condition"),ISNUMBER(Scores!J24)),(COUNTIFS(Scores!$B$5:$B$44,1,Scores!$C$5:$C$44,"Tool condition",Scores!J$5:J$44,Scores!J24)+COUNTIFS(Scores!$B$5:$B$44,1,Scores!$C$5:$C$44,"Paper condition",Scores!J$5:J$44,Scores!J24))^2-1,"")</f>
        <v>224</v>
      </c>
      <c r="AC24" s="1" t="str">
        <f aca="false">IF(AND(Scores!$B24=2,Scores!$C24="Tool condition",ISNUMBER(Scores!J24)),COUNTIFS(Scores!$B$5:$B$44,2,Scores!$C$5:$C$44,"Paper condition",Scores!J$5:J$44,"&lt;"&amp;Scores!J24)+0.5*COUNTIFS(Scores!$B$5:$B$44,2,Scores!$C$5:$C$44,"Paper condition",Scores!J$5:J$44,Scores!J24),"")</f>
        <v/>
      </c>
      <c r="AD24" s="1" t="str">
        <f aca="false">IF(AND(Scores!$B24=2,OR(Scores!$C24="Tool condition",Scores!$C24="Paper condition"),ISNUMBER(Scores!J24)),(COUNTIFS(Scores!$B$5:$B$44,2,Scores!$C$5:$C$44,"Tool condition",Scores!J$5:J$44,Scores!J24)+COUNTIFS(Scores!$B$5:$B$44,2,Scores!$C$5:$C$44,"Paper condition",Scores!J$5:J$44,Scores!J24))^2-1,"")</f>
        <v/>
      </c>
      <c r="AE24" s="1" t="n">
        <f aca="false">IF(ISNUMBER(Scores!J24),Scores!J24^2,"")</f>
        <v>4</v>
      </c>
      <c r="AF24" s="1" t="str">
        <f aca="false">IF(AND(Scores!$B24=1,Scores!$C24="Tool condition",ISNUMBER(Scores!K24)),COUNTIFS(Scores!$B$5:$B$44,1,Scores!$C$5:$C$44,"Paper condition",Scores!K$5:K$44,"&lt;"&amp;Scores!K24)+0.5*COUNTIFS(Scores!$B$5:$B$44,1,Scores!$C$5:$C$44,"Paper condition",Scores!K$5:K$44,Scores!K24),"")</f>
        <v/>
      </c>
      <c r="AG24" s="1" t="n">
        <f aca="false">IF(AND(Scores!$B24=1,OR(Scores!$C24="Tool condition",Scores!$C24="Paper condition"),ISNUMBER(Scores!K24)),(COUNTIFS(Scores!$B$5:$B$44,1,Scores!$C$5:$C$44,"Tool condition",Scores!K$5:K$44,Scores!K24)+COUNTIFS(Scores!$B$5:$B$44,1,Scores!$C$5:$C$44,"Paper condition",Scores!K$5:K$44,Scores!K24))^2-1,"")</f>
        <v>15</v>
      </c>
      <c r="AH24" s="1" t="str">
        <f aca="false">IF(AND(Scores!$B24=2,Scores!$C24="Tool condition",ISNUMBER(Scores!K24)),COUNTIFS(Scores!$B$5:$B$44,2,Scores!$C$5:$C$44,"Paper condition",Scores!K$5:K$44,"&lt;"&amp;Scores!K24)+0.5*COUNTIFS(Scores!$B$5:$B$44,2,Scores!$C$5:$C$44,"Paper condition",Scores!K$5:K$44,Scores!K24),"")</f>
        <v/>
      </c>
      <c r="AI24" s="1" t="str">
        <f aca="false">IF(AND(Scores!$B24=2,OR(Scores!$C24="Tool condition",Scores!$C24="Paper condition"),ISNUMBER(Scores!K24)),(COUNTIFS(Scores!$B$5:$B$44,2,Scores!$C$5:$C$44,"Tool condition",Scores!K$5:K$44,Scores!K24)+COUNTIFS(Scores!$B$5:$B$44,2,Scores!$C$5:$C$44,"Paper condition",Scores!K$5:K$44,Scores!K24))^2-1,"")</f>
        <v/>
      </c>
      <c r="AJ24" s="1" t="n">
        <f aca="false">IF(ISNUMBER(Scores!K24),Scores!K24^2,"")</f>
        <v>1</v>
      </c>
      <c r="AK24" s="1" t="str">
        <f aca="false">IF(AND(Scores!$B24=1,Scores!$C24="Tool condition",ISNUMBER(Scores!L24)),COUNTIFS(Scores!$B$5:$B$44,1,Scores!$C$5:$C$44,"Paper condition",Scores!L$5:L$44,"&lt;"&amp;Scores!L24)+0.5*COUNTIFS(Scores!$B$5:$B$44,1,Scores!$C$5:$C$44,"Paper condition",Scores!L$5:L$44,Scores!L24),"")</f>
        <v/>
      </c>
      <c r="AL24" s="1" t="n">
        <f aca="false">IF(AND(Scores!$B24=1,OR(Scores!$C24="Tool condition",Scores!$C24="Paper condition"),ISNUMBER(Scores!L24)),(COUNTIFS(Scores!$B$5:$B$44,1,Scores!$C$5:$C$44,"Tool condition",Scores!L$5:L$44,Scores!L24)+COUNTIFS(Scores!$B$5:$B$44,1,Scores!$C$5:$C$44,"Paper condition",Scores!L$5:L$44,Scores!L24))^2-1,"")</f>
        <v>288</v>
      </c>
      <c r="AM24" s="1" t="str">
        <f aca="false">IF(AND(Scores!$B24=2,Scores!$C24="Tool condition",ISNUMBER(Scores!L24)),COUNTIFS(Scores!$B$5:$B$44,2,Scores!$C$5:$C$44,"Paper condition",Scores!L$5:L$44,"&lt;"&amp;Scores!L24)+0.5*COUNTIFS(Scores!$B$5:$B$44,2,Scores!$C$5:$C$44,"Paper condition",Scores!L$5:L$44,Scores!L24),"")</f>
        <v/>
      </c>
      <c r="AN24" s="1" t="str">
        <f aca="false">IF(AND(Scores!$B24=2,OR(Scores!$C24="Tool condition",Scores!$C24="Paper condition"),ISNUMBER(Scores!L24)),(COUNTIFS(Scores!$B$5:$B$44,2,Scores!$C$5:$C$44,"Tool condition",Scores!L$5:L$44,Scores!L24)+COUNTIFS(Scores!$B$5:$B$44,2,Scores!$C$5:$C$44,"Paper condition",Scores!L$5:L$44,Scores!L24))^2-1,"")</f>
        <v/>
      </c>
      <c r="AO24" s="1" t="n">
        <f aca="false">IF(ISNUMBER(Scores!L24),Scores!L24^2,"")</f>
        <v>4</v>
      </c>
      <c r="AP24" s="1" t="str">
        <f aca="false">IF(AND(Scores!$B24=1,Scores!$C24="Tool condition",ISNUMBER(Scores!M24)),COUNTIFS(Scores!$B$5:$B$44,1,Scores!$C$5:$C$44,"Paper condition",Scores!M$5:M$44,"&lt;"&amp;Scores!M24)+0.5*COUNTIFS(Scores!$B$5:$B$44,1,Scores!$C$5:$C$44,"Paper condition",Scores!M$5:M$44,Scores!M24),"")</f>
        <v/>
      </c>
      <c r="AQ24" s="1" t="n">
        <f aca="false">IF(AND(Scores!$B24=1,OR(Scores!$C24="Tool condition",Scores!$C24="Paper condition"),ISNUMBER(Scores!M24)),(COUNTIFS(Scores!$B$5:$B$44,1,Scores!$C$5:$C$44,"Tool condition",Scores!M$5:M$44,Scores!M24)+COUNTIFS(Scores!$B$5:$B$44,1,Scores!$C$5:$C$44,"Paper condition",Scores!M$5:M$44,Scores!M24))^2-1,"")</f>
        <v>288</v>
      </c>
      <c r="AR24" s="1" t="str">
        <f aca="false">IF(AND(Scores!$B24=2,Scores!$C24="Tool condition",ISNUMBER(Scores!M24)),COUNTIFS(Scores!$B$5:$B$44,2,Scores!$C$5:$C$44,"Paper condition",Scores!M$5:M$44,"&lt;"&amp;Scores!M24)+0.5*COUNTIFS(Scores!$B$5:$B$44,2,Scores!$C$5:$C$44,"Paper condition",Scores!M$5:M$44,Scores!M24),"")</f>
        <v/>
      </c>
      <c r="AS24" s="1" t="str">
        <f aca="false">IF(AND(Scores!$B24=2,OR(Scores!$C24="Tool condition",Scores!$C24="Paper condition"),ISNUMBER(Scores!M24)),(COUNTIFS(Scores!$B$5:$B$44,2,Scores!$C$5:$C$44,"Tool condition",Scores!M$5:M$44,Scores!M24)+COUNTIFS(Scores!$B$5:$B$44,2,Scores!$C$5:$C$44,"Paper condition",Scores!M$5:M$44,Scores!M24))^2-1,"")</f>
        <v/>
      </c>
      <c r="AT24" s="1" t="n">
        <f aca="false">IF(ISNUMBER(Scores!M24),Scores!M24^2,"")</f>
        <v>4</v>
      </c>
      <c r="AU24" s="1" t="str">
        <f aca="false">IF(AND(Scores!$B24=1,Scores!$C24="Tool condition",ISNUMBER(Scores!N24)),COUNTIFS(Scores!$B$5:$B$44,1,Scores!$C$5:$C$44,"Paper condition",Scores!N$5:N$44,"&lt;"&amp;Scores!N24)+0.5*COUNTIFS(Scores!$B$5:$B$44,1,Scores!$C$5:$C$44,"Paper condition",Scores!N$5:N$44,Scores!N24),"")</f>
        <v/>
      </c>
      <c r="AV24" s="1" t="n">
        <f aca="false">IF(AND(Scores!$B24=1,OR(Scores!$C24="Tool condition",Scores!$C24="Paper condition"),ISNUMBER(Scores!N24)),(COUNTIFS(Scores!$B$5:$B$44,1,Scores!$C$5:$C$44,"Tool condition",Scores!N$5:N$44,Scores!N24)+COUNTIFS(Scores!$B$5:$B$44,1,Scores!$C$5:$C$44,"Paper condition",Scores!N$5:N$44,Scores!N24))^2-1,"")</f>
        <v>15</v>
      </c>
      <c r="AW24" s="1" t="str">
        <f aca="false">IF(AND(Scores!$B24=2,Scores!$C24="Tool condition",ISNUMBER(Scores!N24)),COUNTIFS(Scores!$B$5:$B$44,2,Scores!$C$5:$C$44,"Paper condition",Scores!N$5:N$44,"&lt;"&amp;Scores!N24)+0.5*COUNTIFS(Scores!$B$5:$B$44,2,Scores!$C$5:$C$44,"Paper condition",Scores!N$5:N$44,Scores!N24),"")</f>
        <v/>
      </c>
      <c r="AX24" s="1" t="str">
        <f aca="false">IF(AND(Scores!$B24=2,OR(Scores!$C24="Tool condition",Scores!$C24="Paper condition"),ISNUMBER(Scores!N24)),(COUNTIFS(Scores!$B$5:$B$44,2,Scores!$C$5:$C$44,"Tool condition",Scores!N$5:N$44,Scores!N24)+COUNTIFS(Scores!$B$5:$B$44,2,Scores!$C$5:$C$44,"Paper condition",Scores!N$5:N$44,Scores!N24))^2-1,"")</f>
        <v/>
      </c>
      <c r="AY24" s="1" t="n">
        <f aca="false">IF(ISNUMBER(Scores!N24),Scores!N24^2,"")</f>
        <v>1</v>
      </c>
      <c r="AZ24" s="1" t="str">
        <f aca="false">IF(AND(Scores!$B24=1,Scores!$C24="Tool condition",ISNUMBER(Scores!O24)),COUNTIFS(Scores!$B$5:$B$44,1,Scores!$C$5:$C$44,"Paper condition",Scores!O$5:O$44,"&lt;"&amp;Scores!O24)+0.5*COUNTIFS(Scores!$B$5:$B$44,1,Scores!$C$5:$C$44,"Paper condition",Scores!O$5:O$44,Scores!O24),"")</f>
        <v/>
      </c>
      <c r="BA24" s="1" t="n">
        <f aca="false">IF(AND(Scores!$B24=1,OR(Scores!$C24="Tool condition",Scores!$C24="Paper condition"),ISNUMBER(Scores!O24)),(COUNTIFS(Scores!$B$5:$B$44,1,Scores!$C$5:$C$44,"Tool condition",Scores!O$5:O$44,Scores!O24)+COUNTIFS(Scores!$B$5:$B$44,1,Scores!$C$5:$C$44,"Paper condition",Scores!O$5:O$44,Scores!O24))^2-1,"")</f>
        <v>224</v>
      </c>
      <c r="BB24" s="1" t="str">
        <f aca="false">IF(AND(Scores!$B24=2,Scores!$C24="Tool condition",ISNUMBER(Scores!O24)),COUNTIFS(Scores!$B$5:$B$44,2,Scores!$C$5:$C$44,"Paper condition",Scores!O$5:O$44,"&lt;"&amp;Scores!O24)+0.5*COUNTIFS(Scores!$B$5:$B$44,2,Scores!$C$5:$C$44,"Paper condition",Scores!O$5:O$44,Scores!O24),"")</f>
        <v/>
      </c>
      <c r="BC24" s="1" t="str">
        <f aca="false">IF(AND(Scores!$B24=2,OR(Scores!$C24="Tool condition",Scores!$C24="Paper condition"),ISNUMBER(Scores!O24)),(COUNTIFS(Scores!$B$5:$B$44,2,Scores!$C$5:$C$44,"Tool condition",Scores!O$5:O$44,Scores!O24)+COUNTIFS(Scores!$B$5:$B$44,2,Scores!$C$5:$C$44,"Paper condition",Scores!O$5:O$44,Scores!O24))^2-1,"")</f>
        <v/>
      </c>
      <c r="BD24" s="1" t="n">
        <f aca="false">IF(ISNUMBER(Scores!O24),Scores!O24^2,"")</f>
        <v>4</v>
      </c>
      <c r="BE24" s="1" t="str">
        <f aca="false">IF(AND(Scores!$B24=1,Scores!$C24="Tool condition",ISNUMBER(Scores!P24)),COUNTIFS(Scores!$B$5:$B$44,1,Scores!$C$5:$C$44,"Paper condition",Scores!P$5:P$44,"&lt;"&amp;Scores!P24)+0.5*COUNTIFS(Scores!$B$5:$B$44,1,Scores!$C$5:$C$44,"Paper condition",Scores!P$5:P$44,Scores!P24),"")</f>
        <v/>
      </c>
      <c r="BF24" s="1" t="n">
        <f aca="false">IF(AND(Scores!$B24=1,OR(Scores!$C24="Tool condition",Scores!$C24="Paper condition"),ISNUMBER(Scores!P24)),(COUNTIFS(Scores!$B$5:$B$44,1,Scores!$C$5:$C$44,"Tool condition",Scores!P$5:P$44,Scores!P24)+COUNTIFS(Scores!$B$5:$B$44,1,Scores!$C$5:$C$44,"Paper condition",Scores!P$5:P$44,Scores!P24))^2-1,"")</f>
        <v>168</v>
      </c>
      <c r="BG24" s="1" t="str">
        <f aca="false">IF(AND(Scores!$B24=2,Scores!$C24="Tool condition",ISNUMBER(Scores!P24)),COUNTIFS(Scores!$B$5:$B$44,2,Scores!$C$5:$C$44,"Paper condition",Scores!P$5:P$44,"&lt;"&amp;Scores!P24)+0.5*COUNTIFS(Scores!$B$5:$B$44,2,Scores!$C$5:$C$44,"Paper condition",Scores!P$5:P$44,Scores!P24),"")</f>
        <v/>
      </c>
      <c r="BH24" s="1" t="str">
        <f aca="false">IF(AND(Scores!$B24=2,OR(Scores!$C24="Tool condition",Scores!$C24="Paper condition"),ISNUMBER(Scores!P24)),(COUNTIFS(Scores!$B$5:$B$44,2,Scores!$C$5:$C$44,"Tool condition",Scores!P$5:P$44,Scores!P24)+COUNTIFS(Scores!$B$5:$B$44,2,Scores!$C$5:$C$44,"Paper condition",Scores!P$5:P$44,Scores!P24))^2-1,"")</f>
        <v/>
      </c>
      <c r="BI24" s="1" t="n">
        <f aca="false">IF(ISNUMBER(Scores!P24),Scores!P24^2,"")</f>
        <v>4</v>
      </c>
      <c r="BJ24" s="1" t="str">
        <f aca="false">IF(AND(R_Scores!$B24=1,R_Scores!$C24="Tool condition",ISNUMBER(R_Scores!E24)),COUNTIFS(R_Scores!$B$5:$B$44,1,R_Scores!$C$5:$C$44,"Paper condition",R_Scores!E$5:E$44,"&lt;"&amp;R_Scores!E24)+0.5*COUNTIFS(R_Scores!$B$5:$B$44,1,R_Scores!$C$5:$C$44,"Paper condition",R_Scores!E$5:E$44,R_Scores!E24),"")</f>
        <v/>
      </c>
      <c r="BK24" s="1" t="n">
        <f aca="false">IF(AND(R_Scores!$B24=1,OR(R_Scores!$C24="Tool condition",R_Scores!$C24="Paper condition"),ISNUMBER(R_Scores!E24)),(COUNTIFS(R_Scores!$B$5:$B$44,1,R_Scores!$C$5:$C$44,"Tool condition",R_Scores!E$5:E$44,R_Scores!E24)+COUNTIFS(R_Scores!$B$5:$B$44,1,R_Scores!$C$5:$C$44,"Paper condition",R_Scores!E$5:E$44,R_Scores!E24))^2-1,"")</f>
        <v>224</v>
      </c>
      <c r="BL24" s="1" t="str">
        <f aca="false">IF(AND(R_Scores!$B24=2,R_Scores!$C24="Tool condition",ISNUMBER(R_Scores!E24)),COUNTIFS(R_Scores!$B$5:$B$44,2,R_Scores!$C$5:$C$44,"Paper condition",R_Scores!E$5:E$44,"&lt;"&amp;R_Scores!E24)+0.5*COUNTIFS(R_Scores!$B$5:$B$44,2,R_Scores!$C$5:$C$44,"Paper condition",R_Scores!E$5:E$44,R_Scores!E24),"")</f>
        <v/>
      </c>
      <c r="BM24" s="1" t="str">
        <f aca="false">IF(AND(R_Scores!$B24=2,OR(R_Scores!$C24="Tool condition",R_Scores!$C24="Paper condition"),ISNUMBER(R_Scores!E24)),(COUNTIFS(R_Scores!$B$5:$B$44,2,R_Scores!$C$5:$C$44,"Tool condition",R_Scores!E$5:E$44,R_Scores!E24)+COUNTIFS(R_Scores!$B$5:$B$44,2,R_Scores!$C$5:$C$44,"Paper condition",R_Scores!E$5:E$44,R_Scores!E24))^2-1,"")</f>
        <v/>
      </c>
      <c r="BN24" s="1" t="n">
        <f aca="false">IF(ISNUMBER(R_Scores!E24),R_Scores!E24^2,"")</f>
        <v>1</v>
      </c>
      <c r="BO24" s="1" t="str">
        <f aca="false">IF(AND(R_Scores!$B24=1,R_Scores!$C24="Tool condition",ISNUMBER(R_Scores!F24)),COUNTIFS(R_Scores!$B$5:$B$44,1,R_Scores!$C$5:$C$44,"Paper condition",R_Scores!F$5:F$44,"&lt;"&amp;R_Scores!F24)+0.5*COUNTIFS(R_Scores!$B$5:$B$44,1,R_Scores!$C$5:$C$44,"Paper condition",R_Scores!F$5:F$44,R_Scores!F24),"")</f>
        <v/>
      </c>
      <c r="BP24" s="1" t="n">
        <f aca="false">IF(AND(R_Scores!$B24=1,OR(R_Scores!$C24="Tool condition",R_Scores!$C24="Paper condition"),ISNUMBER(R_Scores!F24)),(COUNTIFS(R_Scores!$B$5:$B$44,1,R_Scores!$C$5:$C$44,"Tool condition",R_Scores!F$5:F$44,R_Scores!F24)+COUNTIFS(R_Scores!$B$5:$B$44,1,R_Scores!$C$5:$C$44,"Paper condition",R_Scores!F$5:F$44,R_Scores!F24))^2-1,"")</f>
        <v>195</v>
      </c>
      <c r="BQ24" s="1" t="str">
        <f aca="false">IF(AND(R_Scores!$B24=2,R_Scores!$C24="Tool condition",ISNUMBER(R_Scores!F24)),COUNTIFS(R_Scores!$B$5:$B$44,2,R_Scores!$C$5:$C$44,"Paper condition",R_Scores!F$5:F$44,"&lt;"&amp;R_Scores!F24)+0.5*COUNTIFS(R_Scores!$B$5:$B$44,2,R_Scores!$C$5:$C$44,"Paper condition",R_Scores!F$5:F$44,R_Scores!F24),"")</f>
        <v/>
      </c>
      <c r="BR24" s="1" t="str">
        <f aca="false">IF(AND(R_Scores!$B24=2,OR(R_Scores!$C24="Tool condition",R_Scores!$C24="Paper condition"),ISNUMBER(R_Scores!F24)),(COUNTIFS(R_Scores!$B$5:$B$44,2,R_Scores!$C$5:$C$44,"Tool condition",R_Scores!F$5:F$44,R_Scores!F24)+COUNTIFS(R_Scores!$B$5:$B$44,2,R_Scores!$C$5:$C$44,"Paper condition",R_Scores!F$5:F$44,R_Scores!F24))^2-1,"")</f>
        <v/>
      </c>
      <c r="BS24" s="1" t="n">
        <f aca="false">IF(ISNUMBER(R_Scores!F24),R_Scores!F24^2,"")</f>
        <v>1</v>
      </c>
      <c r="BT24" s="1" t="str">
        <f aca="false">IF(AND(R_Scores!$B24=1,R_Scores!$C24="Tool condition",ISNUMBER(R_Scores!G24)),COUNTIFS(R_Scores!$B$5:$B$44,1,R_Scores!$C$5:$C$44,"Paper condition",R_Scores!G$5:G$44,"&lt;"&amp;R_Scores!G24)+0.5*COUNTIFS(R_Scores!$B$5:$B$44,1,R_Scores!$C$5:$C$44,"Paper condition",R_Scores!G$5:G$44,R_Scores!G24),"")</f>
        <v/>
      </c>
      <c r="BU24" s="1" t="str">
        <f aca="false">IF(AND(R_Scores!$B24=1,OR(R_Scores!$C24="Tool condition",R_Scores!$C24="Paper condition"),ISNUMBER(R_Scores!G24)),(COUNTIFS(R_Scores!$B$5:$B$44,1,R_Scores!$C$5:$C$44,"Tool condition",R_Scores!G$5:G$44,R_Scores!G24)+COUNTIFS(R_Scores!$B$5:$B$44,1,R_Scores!$C$5:$C$44,"Paper condition",R_Scores!G$5:G$44,R_Scores!G24))^2-1,"")</f>
        <v/>
      </c>
      <c r="BV24" s="1" t="str">
        <f aca="false">IF(AND(R_Scores!$B24=2,R_Scores!$C24="Tool condition",ISNUMBER(R_Scores!G24)),COUNTIFS(R_Scores!$B$5:$B$44,2,R_Scores!$C$5:$C$44,"Paper condition",R_Scores!G$5:G$44,"&lt;"&amp;R_Scores!G24)+0.5*COUNTIFS(R_Scores!$B$5:$B$44,2,R_Scores!$C$5:$C$44,"Paper condition",R_Scores!G$5:G$44,R_Scores!G24),"")</f>
        <v/>
      </c>
      <c r="BW24" s="1" t="str">
        <f aca="false">IF(AND(R_Scores!$B24=2,OR(R_Scores!$C24="Tool condition",R_Scores!$C24="Paper condition"),ISNUMBER(R_Scores!G24)),(COUNTIFS(R_Scores!$B$5:$B$44,2,R_Scores!$C$5:$C$44,"Tool condition",R_Scores!G$5:G$44,R_Scores!G24)+COUNTIFS(R_Scores!$B$5:$B$44,2,R_Scores!$C$5:$C$44,"Paper condition",R_Scores!G$5:G$44,R_Scores!G24))^2-1,"")</f>
        <v/>
      </c>
      <c r="BX24" s="1" t="str">
        <f aca="false">IF(ISNUMBER(R_Scores!G24),R_Scores!G24^2,"")</f>
        <v/>
      </c>
      <c r="BY24" s="1" t="str">
        <f aca="false">IF(AND(R_Scores!$B24=1,R_Scores!$C24="Tool condition",ISNUMBER(R_Scores!H24)),COUNTIFS(R_Scores!$B$5:$B$44,1,R_Scores!$C$5:$C$44,"Paper condition",R_Scores!H$5:H$44,"&lt;"&amp;R_Scores!H24)+0.5*COUNTIFS(R_Scores!$B$5:$B$44,1,R_Scores!$C$5:$C$44,"Paper condition",R_Scores!H$5:H$44,R_Scores!H24),"")</f>
        <v/>
      </c>
      <c r="BZ24" s="1" t="str">
        <f aca="false">IF(AND(R_Scores!$B24=1,OR(R_Scores!$C24="Tool condition",R_Scores!$C24="Paper condition"),ISNUMBER(R_Scores!H24)),(COUNTIFS(R_Scores!$B$5:$B$44,1,R_Scores!$C$5:$C$44,"Tool condition",R_Scores!H$5:H$44,R_Scores!H24)+COUNTIFS(R_Scores!$B$5:$B$44,1,R_Scores!$C$5:$C$44,"Paper condition",R_Scores!H$5:H$44,R_Scores!H24))^2-1,"")</f>
        <v/>
      </c>
      <c r="CA24" s="1" t="str">
        <f aca="false">IF(AND(R_Scores!$B24=2,R_Scores!$C24="Tool condition",ISNUMBER(R_Scores!H24)),COUNTIFS(R_Scores!$B$5:$B$44,2,R_Scores!$C$5:$C$44,"Paper condition",R_Scores!H$5:H$44,"&lt;"&amp;R_Scores!H24)+0.5*COUNTIFS(R_Scores!$B$5:$B$44,2,R_Scores!$C$5:$C$44,"Paper condition",R_Scores!H$5:H$44,R_Scores!H24),"")</f>
        <v/>
      </c>
      <c r="CB24" s="1" t="str">
        <f aca="false">IF(AND(R_Scores!$B24=2,OR(R_Scores!$C24="Tool condition",R_Scores!$C24="Paper condition"),ISNUMBER(R_Scores!H24)),(COUNTIFS(R_Scores!$B$5:$B$44,2,R_Scores!$C$5:$C$44,"Tool condition",R_Scores!H$5:H$44,R_Scores!H24)+COUNTIFS(R_Scores!$B$5:$B$44,2,R_Scores!$C$5:$C$44,"Paper condition",R_Scores!H$5:H$44,R_Scores!H24))^2-1,"")</f>
        <v/>
      </c>
      <c r="CC24" s="1" t="str">
        <f aca="false">IF(ISNUMBER(R_Scores!H24),R_Scores!H24^2,"")</f>
        <v/>
      </c>
      <c r="CD24" s="1" t="str">
        <f aca="false">IF(AND(R_Scores!$B24=1,R_Scores!$C24="Tool condition",ISNUMBER(R_Scores!I24)),COUNTIFS(R_Scores!$B$5:$B$44,1,R_Scores!$C$5:$C$44,"Paper condition",R_Scores!I$5:I$44,"&lt;"&amp;R_Scores!I24)+0.5*COUNTIFS(R_Scores!$B$5:$B$44,1,R_Scores!$C$5:$C$44,"Paper condition",R_Scores!I$5:I$44,R_Scores!I24),"")</f>
        <v/>
      </c>
      <c r="CE24" s="1" t="n">
        <f aca="false">IF(AND(R_Scores!$B24=1,OR(R_Scores!$C24="Tool condition",R_Scores!$C24="Paper condition"),ISNUMBER(R_Scores!I24)),(COUNTIFS(R_Scores!$B$5:$B$44,1,R_Scores!$C$5:$C$44,"Tool condition",R_Scores!I$5:I$44,R_Scores!I24)+COUNTIFS(R_Scores!$B$5:$B$44,1,R_Scores!$C$5:$C$44,"Paper condition",R_Scores!I$5:I$44,R_Scores!I24))^2-1,"")</f>
        <v>168</v>
      </c>
      <c r="CF24" s="1" t="str">
        <f aca="false">IF(AND(R_Scores!$B24=2,R_Scores!$C24="Tool condition",ISNUMBER(R_Scores!I24)),COUNTIFS(R_Scores!$B$5:$B$44,2,R_Scores!$C$5:$C$44,"Paper condition",R_Scores!I$5:I$44,"&lt;"&amp;R_Scores!I24)+0.5*COUNTIFS(R_Scores!$B$5:$B$44,2,R_Scores!$C$5:$C$44,"Paper condition",R_Scores!I$5:I$44,R_Scores!I24),"")</f>
        <v/>
      </c>
      <c r="CG24" s="1" t="str">
        <f aca="false">IF(AND(R_Scores!$B24=2,OR(R_Scores!$C24="Tool condition",R_Scores!$C24="Paper condition"),ISNUMBER(R_Scores!I24)),(COUNTIFS(R_Scores!$B$5:$B$44,2,R_Scores!$C$5:$C$44,"Tool condition",R_Scores!I$5:I$44,R_Scores!I24)+COUNTIFS(R_Scores!$B$5:$B$44,2,R_Scores!$C$5:$C$44,"Paper condition",R_Scores!I$5:I$44,R_Scores!I24))^2-1,"")</f>
        <v/>
      </c>
      <c r="CH24" s="1" t="n">
        <f aca="false">IF(ISNUMBER(R_Scores!I24),R_Scores!I24^2,"")</f>
        <v>1</v>
      </c>
      <c r="CI24" s="1" t="str">
        <f aca="false">IF(AND(R_Scores!$B24=1,R_Scores!$C24="Tool condition",ISNUMBER(R_Scores!J24)),COUNTIFS(R_Scores!$B$5:$B$44,1,R_Scores!$C$5:$C$44,"Paper condition",R_Scores!J$5:J$44,"&lt;"&amp;R_Scores!J24)+0.5*COUNTIFS(R_Scores!$B$5:$B$44,1,R_Scores!$C$5:$C$44,"Paper condition",R_Scores!J$5:J$44,R_Scores!J24),"")</f>
        <v/>
      </c>
      <c r="CJ24" s="1" t="n">
        <f aca="false">IF(AND(R_Scores!$B24=1,OR(R_Scores!$C24="Tool condition",R_Scores!$C24="Paper condition"),ISNUMBER(R_Scores!J24)),(COUNTIFS(R_Scores!$B$5:$B$44,1,R_Scores!$C$5:$C$44,"Tool condition",R_Scores!J$5:J$44,R_Scores!J24)+COUNTIFS(R_Scores!$B$5:$B$44,1,R_Scores!$C$5:$C$44,"Paper condition",R_Scores!J$5:J$44,R_Scores!J24))^2-1,"")</f>
        <v>224</v>
      </c>
      <c r="CK24" s="1" t="str">
        <f aca="false">IF(AND(R_Scores!$B24=2,R_Scores!$C24="Tool condition",ISNUMBER(R_Scores!J24)),COUNTIFS(R_Scores!$B$5:$B$44,2,R_Scores!$C$5:$C$44,"Paper condition",R_Scores!J$5:J$44,"&lt;"&amp;R_Scores!J24)+0.5*COUNTIFS(R_Scores!$B$5:$B$44,2,R_Scores!$C$5:$C$44,"Paper condition",R_Scores!J$5:J$44,R_Scores!J24),"")</f>
        <v/>
      </c>
      <c r="CL24" s="1" t="str">
        <f aca="false">IF(AND(R_Scores!$B24=2,OR(R_Scores!$C24="Tool condition",R_Scores!$C24="Paper condition"),ISNUMBER(R_Scores!J24)),(COUNTIFS(R_Scores!$B$5:$B$44,2,R_Scores!$C$5:$C$44,"Tool condition",R_Scores!J$5:J$44,R_Scores!J24)+COUNTIFS(R_Scores!$B$5:$B$44,2,R_Scores!$C$5:$C$44,"Paper condition",R_Scores!J$5:J$44,R_Scores!J24))^2-1,"")</f>
        <v/>
      </c>
      <c r="CM24" s="1" t="n">
        <f aca="false">IF(ISNUMBER(R_Scores!J24),R_Scores!J24^2,"")</f>
        <v>1</v>
      </c>
      <c r="CN24" s="1" t="str">
        <f aca="false">IF(AND(R_Scores!$B24=1,R_Scores!$C24="Tool condition",ISNUMBER(R_Scores!K24)),COUNTIFS(R_Scores!$B$5:$B$44,1,R_Scores!$C$5:$C$44,"Paper condition",R_Scores!K$5:K$44,"&lt;"&amp;R_Scores!K24)+0.5*COUNTIFS(R_Scores!$B$5:$B$44,1,R_Scores!$C$5:$C$44,"Paper condition",R_Scores!K$5:K$44,R_Scores!K24),"")</f>
        <v/>
      </c>
      <c r="CO24" s="1" t="str">
        <f aca="false">IF(AND(R_Scores!$B24=1,OR(R_Scores!$C24="Tool condition",R_Scores!$C24="Paper condition"),ISNUMBER(R_Scores!K24)),(COUNTIFS(R_Scores!$B$5:$B$44,1,R_Scores!$C$5:$C$44,"Tool condition",R_Scores!K$5:K$44,R_Scores!K24)+COUNTIFS(R_Scores!$B$5:$B$44,1,R_Scores!$C$5:$C$44,"Paper condition",R_Scores!K$5:K$44,R_Scores!K24))^2-1,"")</f>
        <v/>
      </c>
      <c r="CP24" s="1" t="str">
        <f aca="false">IF(AND(R_Scores!$B24=2,R_Scores!$C24="Tool condition",ISNUMBER(R_Scores!K24)),COUNTIFS(R_Scores!$B$5:$B$44,2,R_Scores!$C$5:$C$44,"Paper condition",R_Scores!K$5:K$44,"&lt;"&amp;R_Scores!K24)+0.5*COUNTIFS(R_Scores!$B$5:$B$44,2,R_Scores!$C$5:$C$44,"Paper condition",R_Scores!K$5:K$44,R_Scores!K24),"")</f>
        <v/>
      </c>
      <c r="CQ24" s="1" t="str">
        <f aca="false">IF(AND(R_Scores!$B24=2,OR(R_Scores!$C24="Tool condition",R_Scores!$C24="Paper condition"),ISNUMBER(R_Scores!K24)),(COUNTIFS(R_Scores!$B$5:$B$44,2,R_Scores!$C$5:$C$44,"Tool condition",R_Scores!K$5:K$44,R_Scores!K24)+COUNTIFS(R_Scores!$B$5:$B$44,2,R_Scores!$C$5:$C$44,"Paper condition",R_Scores!K$5:K$44,R_Scores!K24))^2-1,"")</f>
        <v/>
      </c>
      <c r="CR24" s="1" t="str">
        <f aca="false">IF(ISNUMBER(R_Scores!K24),R_Scores!K24^2,"")</f>
        <v/>
      </c>
      <c r="CS24" s="1" t="str">
        <f aca="false">IF(AND(R_Scores!$B24=1,R_Scores!$C24="Tool condition",ISNUMBER(R_Scores!L24)),COUNTIFS(R_Scores!$B$5:$B$44,1,R_Scores!$C$5:$C$44,"Paper condition",R_Scores!L$5:L$44,"&lt;"&amp;R_Scores!L24)+0.5*COUNTIFS(R_Scores!$B$5:$B$44,1,R_Scores!$C$5:$C$44,"Paper condition",R_Scores!L$5:L$44,R_Scores!L24),"")</f>
        <v/>
      </c>
      <c r="CT24" s="1" t="str">
        <f aca="false">IF(AND(R_Scores!$B24=1,OR(R_Scores!$C24="Tool condition",R_Scores!$C24="Paper condition"),ISNUMBER(R_Scores!L24)),(COUNTIFS(R_Scores!$B$5:$B$44,1,R_Scores!$C$5:$C$44,"Tool condition",R_Scores!L$5:L$44,R_Scores!L24)+COUNTIFS(R_Scores!$B$5:$B$44,1,R_Scores!$C$5:$C$44,"Paper condition",R_Scores!L$5:L$44,R_Scores!L24))^2-1,"")</f>
        <v/>
      </c>
      <c r="CU24" s="1" t="str">
        <f aca="false">IF(AND(R_Scores!$B24=2,R_Scores!$C24="Tool condition",ISNUMBER(R_Scores!L24)),COUNTIFS(R_Scores!$B$5:$B$44,2,R_Scores!$C$5:$C$44,"Paper condition",R_Scores!L$5:L$44,"&lt;"&amp;R_Scores!L24)+0.5*COUNTIFS(R_Scores!$B$5:$B$44,2,R_Scores!$C$5:$C$44,"Paper condition",R_Scores!L$5:L$44,R_Scores!L24),"")</f>
        <v/>
      </c>
      <c r="CV24" s="1" t="str">
        <f aca="false">IF(AND(R_Scores!$B24=2,OR(R_Scores!$C24="Tool condition",R_Scores!$C24="Paper condition"),ISNUMBER(R_Scores!L24)),(COUNTIFS(R_Scores!$B$5:$B$44,2,R_Scores!$C$5:$C$44,"Tool condition",R_Scores!L$5:L$44,R_Scores!L24)+COUNTIFS(R_Scores!$B$5:$B$44,2,R_Scores!$C$5:$C$44,"Paper condition",R_Scores!L$5:L$44,R_Scores!L24))^2-1,"")</f>
        <v/>
      </c>
      <c r="CW24" s="1" t="str">
        <f aca="false">IF(ISNUMBER(R_Scores!L24),R_Scores!L24^2,"")</f>
        <v/>
      </c>
      <c r="CX24" s="1" t="str">
        <f aca="false">IF(AND(R_Scores!$B24=1,R_Scores!$C24="Tool condition",ISNUMBER(R_Scores!M24)),COUNTIFS(R_Scores!$B$5:$B$44,1,R_Scores!$C$5:$C$44,"Paper condition",R_Scores!M$5:M$44,"&lt;"&amp;R_Scores!M24)+0.5*COUNTIFS(R_Scores!$B$5:$B$44,1,R_Scores!$C$5:$C$44,"Paper condition",R_Scores!M$5:M$44,R_Scores!M24),"")</f>
        <v/>
      </c>
      <c r="CY24" s="1" t="str">
        <f aca="false">IF(AND(R_Scores!$B24=1,OR(R_Scores!$C24="Tool condition",R_Scores!$C24="Paper condition"),ISNUMBER(R_Scores!M24)),(COUNTIFS(R_Scores!$B$5:$B$44,1,R_Scores!$C$5:$C$44,"Tool condition",R_Scores!M$5:M$44,R_Scores!M24)+COUNTIFS(R_Scores!$B$5:$B$44,1,R_Scores!$C$5:$C$44,"Paper condition",R_Scores!M$5:M$44,R_Scores!M24))^2-1,"")</f>
        <v/>
      </c>
      <c r="CZ24" s="1" t="str">
        <f aca="false">IF(AND(R_Scores!$B24=2,R_Scores!$C24="Tool condition",ISNUMBER(R_Scores!M24)),COUNTIFS(R_Scores!$B$5:$B$44,2,R_Scores!$C$5:$C$44,"Paper condition",R_Scores!M$5:M$44,"&lt;"&amp;R_Scores!M24)+0.5*COUNTIFS(R_Scores!$B$5:$B$44,2,R_Scores!$C$5:$C$44,"Paper condition",R_Scores!M$5:M$44,R_Scores!M24),"")</f>
        <v/>
      </c>
      <c r="DA24" s="1" t="str">
        <f aca="false">IF(AND(R_Scores!$B24=2,OR(R_Scores!$C24="Tool condition",R_Scores!$C24="Paper condition"),ISNUMBER(R_Scores!M24)),(COUNTIFS(R_Scores!$B$5:$B$44,2,R_Scores!$C$5:$C$44,"Tool condition",R_Scores!M$5:M$44,R_Scores!M24)+COUNTIFS(R_Scores!$B$5:$B$44,2,R_Scores!$C$5:$C$44,"Paper condition",R_Scores!M$5:M$44,R_Scores!M24))^2-1,"")</f>
        <v/>
      </c>
      <c r="DB24" s="1" t="str">
        <f aca="false">IF(ISNUMBER(R_Scores!M24),R_Scores!M24^2,"")</f>
        <v/>
      </c>
      <c r="DC24" s="1" t="str">
        <f aca="false">IF(AND(R_Scores!$B24=1,R_Scores!$C24="Tool condition",ISNUMBER(R_Scores!N24)),COUNTIFS(R_Scores!$B$5:$B$44,1,R_Scores!$C$5:$C$44,"Paper condition",R_Scores!N$5:N$44,"&lt;"&amp;R_Scores!N24)+0.5*COUNTIFS(R_Scores!$B$5:$B$44,1,R_Scores!$C$5:$C$44,"Paper condition",R_Scores!N$5:N$44,R_Scores!N24),"")</f>
        <v/>
      </c>
      <c r="DD24" s="1" t="n">
        <f aca="false">IF(AND(R_Scores!$B24=1,OR(R_Scores!$C24="Tool condition",R_Scores!$C24="Paper condition"),ISNUMBER(R_Scores!N24)),(COUNTIFS(R_Scores!$B$5:$B$44,1,R_Scores!$C$5:$C$44,"Tool condition",R_Scores!N$5:N$44,R_Scores!N24)+COUNTIFS(R_Scores!$B$5:$B$44,1,R_Scores!$C$5:$C$44,"Paper condition",R_Scores!N$5:N$44,R_Scores!N24))^2-1,"")</f>
        <v>63</v>
      </c>
      <c r="DE24" s="1" t="str">
        <f aca="false">IF(AND(R_Scores!$B24=2,R_Scores!$C24="Tool condition",ISNUMBER(R_Scores!N24)),COUNTIFS(R_Scores!$B$5:$B$44,2,R_Scores!$C$5:$C$44,"Paper condition",R_Scores!N$5:N$44,"&lt;"&amp;R_Scores!N24)+0.5*COUNTIFS(R_Scores!$B$5:$B$44,2,R_Scores!$C$5:$C$44,"Paper condition",R_Scores!N$5:N$44,R_Scores!N24),"")</f>
        <v/>
      </c>
      <c r="DF24" s="1" t="str">
        <f aca="false">IF(AND(R_Scores!$B24=2,OR(R_Scores!$C24="Tool condition",R_Scores!$C24="Paper condition"),ISNUMBER(R_Scores!N24)),(COUNTIFS(R_Scores!$B$5:$B$44,2,R_Scores!$C$5:$C$44,"Tool condition",R_Scores!N$5:N$44,R_Scores!N24)+COUNTIFS(R_Scores!$B$5:$B$44,2,R_Scores!$C$5:$C$44,"Paper condition",R_Scores!N$5:N$44,R_Scores!N24))^2-1,"")</f>
        <v/>
      </c>
      <c r="DG24" s="1" t="n">
        <f aca="false">IF(ISNUMBER(R_Scores!N24),R_Scores!N24^2,"")</f>
        <v>0</v>
      </c>
      <c r="DH24" s="1" t="str">
        <f aca="false">IF(AND(R_Scores!$B24=1,R_Scores!$C24="Tool condition",ISNUMBER(R_Scores!O24)),COUNTIFS(R_Scores!$B$5:$B$44,1,R_Scores!$C$5:$C$44,"Paper condition",R_Scores!O$5:O$44,"&lt;"&amp;R_Scores!O24)+0.5*COUNTIFS(R_Scores!$B$5:$B$44,1,R_Scores!$C$5:$C$44,"Paper condition",R_Scores!O$5:O$44,R_Scores!O24),"")</f>
        <v/>
      </c>
      <c r="DI24" s="1" t="n">
        <f aca="false">IF(AND(R_Scores!$B24=1,OR(R_Scores!$C24="Tool condition",R_Scores!$C24="Paper condition"),ISNUMBER(R_Scores!O24)),(COUNTIFS(R_Scores!$B$5:$B$44,1,R_Scores!$C$5:$C$44,"Tool condition",R_Scores!O$5:O$44,R_Scores!O24)+COUNTIFS(R_Scores!$B$5:$B$44,1,R_Scores!$C$5:$C$44,"Paper condition",R_Scores!O$5:O$44,R_Scores!O24))^2-1,"")</f>
        <v>168</v>
      </c>
      <c r="DJ24" s="1" t="str">
        <f aca="false">IF(AND(R_Scores!$B24=2,R_Scores!$C24="Tool condition",ISNUMBER(R_Scores!O24)),COUNTIFS(R_Scores!$B$5:$B$44,2,R_Scores!$C$5:$C$44,"Paper condition",R_Scores!O$5:O$44,"&lt;"&amp;R_Scores!O24)+0.5*COUNTIFS(R_Scores!$B$5:$B$44,2,R_Scores!$C$5:$C$44,"Paper condition",R_Scores!O$5:O$44,R_Scores!O24),"")</f>
        <v/>
      </c>
      <c r="DK24" s="1" t="str">
        <f aca="false">IF(AND(R_Scores!$B24=2,OR(R_Scores!$C24="Tool condition",R_Scores!$C24="Paper condition"),ISNUMBER(R_Scores!O24)),(COUNTIFS(R_Scores!$B$5:$B$44,2,R_Scores!$C$5:$C$44,"Tool condition",R_Scores!O$5:O$44,R_Scores!O24)+COUNTIFS(R_Scores!$B$5:$B$44,2,R_Scores!$C$5:$C$44,"Paper condition",R_Scores!O$5:O$44,R_Scores!O24))^2-1,"")</f>
        <v/>
      </c>
      <c r="DL24" s="1" t="n">
        <f aca="false">IF(ISNUMBER(R_Scores!O24),R_Scores!O24^2,"")</f>
        <v>1</v>
      </c>
      <c r="DM24" s="1" t="str">
        <f aca="false">IF(AND(R_Scores!$B24=1,R_Scores!$C24="Tool condition",ISNUMBER(R_Scores!P24)),COUNTIFS(R_Scores!$B$5:$B$44,1,R_Scores!$C$5:$C$44,"Paper condition",R_Scores!P$5:P$44,"&lt;"&amp;R_Scores!P24)+0.5*COUNTIFS(R_Scores!$B$5:$B$44,1,R_Scores!$C$5:$C$44,"Paper condition",R_Scores!P$5:P$44,R_Scores!P24),"")</f>
        <v/>
      </c>
      <c r="DN24" s="1" t="n">
        <f aca="false">IF(AND(R_Scores!$B24=1,OR(R_Scores!$C24="Tool condition",R_Scores!$C24="Paper condition"),ISNUMBER(R_Scores!P24)),(COUNTIFS(R_Scores!$B$5:$B$44,1,R_Scores!$C$5:$C$44,"Tool condition",R_Scores!P$5:P$44,R_Scores!P24)+COUNTIFS(R_Scores!$B$5:$B$44,1,R_Scores!$C$5:$C$44,"Paper condition",R_Scores!P$5:P$44,R_Scores!P24))^2-1,"")</f>
        <v>120</v>
      </c>
      <c r="DO24" s="1" t="str">
        <f aca="false">IF(AND(R_Scores!$B24=2,R_Scores!$C24="Tool condition",ISNUMBER(R_Scores!P24)),COUNTIFS(R_Scores!$B$5:$B$44,2,R_Scores!$C$5:$C$44,"Paper condition",R_Scores!P$5:P$44,"&lt;"&amp;R_Scores!P24)+0.5*COUNTIFS(R_Scores!$B$5:$B$44,2,R_Scores!$C$5:$C$44,"Paper condition",R_Scores!P$5:P$44,R_Scores!P24),"")</f>
        <v/>
      </c>
      <c r="DP24" s="1" t="str">
        <f aca="false">IF(AND(R_Scores!$B24=2,OR(R_Scores!$C24="Tool condition",R_Scores!$C24="Paper condition"),ISNUMBER(R_Scores!P24)),(COUNTIFS(R_Scores!$B$5:$B$44,2,R_Scores!$C$5:$C$44,"Tool condition",R_Scores!P$5:P$44,R_Scores!P24)+COUNTIFS(R_Scores!$B$5:$B$44,2,R_Scores!$C$5:$C$44,"Paper condition",R_Scores!P$5:P$44,R_Scores!P24))^2-1,"")</f>
        <v/>
      </c>
      <c r="DQ24" s="1" t="n">
        <f aca="false">IF(ISNUMBER(R_Scores!P24),R_Scores!P24^2,"")</f>
        <v>1</v>
      </c>
      <c r="DR24" s="1" t="str">
        <f aca="false">IF(AND(Scores!$B24=1,Scores!$C24="Tool condition",ISNUMBER(Scores!Q24)),COUNTIFS(Scores!$B$5:$B$44,1,Scores!$C$5:$C$44,"Paper condition",Scores!Q$5:Q$44,"&lt;"&amp;Scores!Q24)+0.5*COUNTIFS(Scores!$B$5:$B$44,1,Scores!$C$5:$C$44,"Paper condition",Scores!Q$5:Q$44,Scores!Q24),"")</f>
        <v/>
      </c>
      <c r="DS24" s="1" t="n">
        <f aca="false">IF(AND(Scores!$B24=1,OR(Scores!$C24="Tool condition",Scores!$C24="Paper condition"),ISNUMBER(Scores!Q24)),(COUNTIFS(Scores!$B$5:$B$44,1,Scores!$C$5:$C$44,"Tool condition",Scores!Q$5:Q$44,Scores!Q24)+COUNTIFS(Scores!$B$5:$B$44,1,Scores!$C$5:$C$44,"Paper condition",Scores!Q$5:Q$44,Scores!Q24))^2-1,"")</f>
        <v>0</v>
      </c>
      <c r="DT24" s="1" t="str">
        <f aca="false">IF(AND(Scores!$B24=2,Scores!$C24="Tool condition",ISNUMBER(Scores!Q24)),COUNTIFS(Scores!$B$5:$B$44,2,Scores!$C$5:$C$44,"Paper condition",Scores!Q$5:Q$44,"&lt;"&amp;Scores!Q24)+0.5*COUNTIFS(Scores!$B$5:$B$44,2,Scores!$C$5:$C$44,"Paper condition",Scores!Q$5:Q$44,Scores!Q24),"")</f>
        <v/>
      </c>
      <c r="DU24" s="1" t="str">
        <f aca="false">IF(AND(Scores!$B24=2,OR(Scores!$C24="Tool condition",Scores!$C24="Paper condition"),ISNUMBER(Scores!Q24)),(COUNTIFS(Scores!$B$5:$B$44,2,Scores!$C$5:$C$44,"Tool condition",Scores!Q$5:Q$44,Scores!Q24)+COUNTIFS(Scores!$B$5:$B$44,2,Scores!$C$5:$C$44,"Paper condition",Scores!Q$5:Q$44,Scores!Q24))^2-1,"")</f>
        <v/>
      </c>
      <c r="DV24" s="1" t="n">
        <f aca="false">IF(ISNUMBER(Scores!Q24),Scores!Q24^2,"")</f>
        <v>441</v>
      </c>
      <c r="DW24" s="1" t="str">
        <f aca="false">IF(AND(Scores!$B24=1,Scores!$C24="Tool condition",ISNUMBER(Scores!R24)),COUNTIFS(Scores!$B$5:$B$44,1,Scores!$C$5:$C$44,"Paper condition",Scores!R$5:R$44,"&lt;"&amp;Scores!R24)+0.5*COUNTIFS(Scores!$B$5:$B$44,1,Scores!$C$5:$C$44,"Paper condition",Scores!R$5:R$44,Scores!R24),"")</f>
        <v/>
      </c>
      <c r="DX24" s="1" t="n">
        <f aca="false">IF(AND(Scores!$B24=1,OR(Scores!$C24="Tool condition",Scores!$C24="Paper condition"),ISNUMBER(Scores!R24)),(COUNTIFS(Scores!$B$5:$B$44,1,Scores!$C$5:$C$44,"Tool condition",Scores!R$5:R$44,Scores!R24)+COUNTIFS(Scores!$B$5:$B$44,1,Scores!$C$5:$C$44,"Paper condition",Scores!R$5:R$44,Scores!R24))^2-1,"")</f>
        <v>3</v>
      </c>
      <c r="DY24" s="1" t="str">
        <f aca="false">IF(AND(Scores!$B24=2,Scores!$C24="Tool condition",ISNUMBER(Scores!R24)),COUNTIFS(Scores!$B$5:$B$44,2,Scores!$C$5:$C$44,"Paper condition",Scores!R$5:R$44,"&lt;"&amp;Scores!R24)+0.5*COUNTIFS(Scores!$B$5:$B$44,2,Scores!$C$5:$C$44,"Paper condition",Scores!R$5:R$44,Scores!R24),"")</f>
        <v/>
      </c>
      <c r="DZ24" s="1" t="str">
        <f aca="false">IF(AND(Scores!$B24=2,OR(Scores!$C24="Tool condition",Scores!$C24="Paper condition"),ISNUMBER(Scores!R24)),(COUNTIFS(Scores!$B$5:$B$44,2,Scores!$C$5:$C$44,"Tool condition",Scores!R$5:R$44,Scores!R24)+COUNTIFS(Scores!$B$5:$B$44,2,Scores!$C$5:$C$44,"Paper condition",Scores!R$5:R$44,Scores!R24))^2-1,"")</f>
        <v/>
      </c>
      <c r="EA24" s="1" t="n">
        <f aca="false">IF(ISNUMBER(Scores!R24),Scores!R24^2,"")</f>
        <v>169</v>
      </c>
      <c r="EB24" s="1" t="str">
        <f aca="false">IF(AND(Scores!$B24=1,Scores!$C24="Tool condition",ISNUMBER(Scores!S24)),COUNTIFS(Scores!$B$5:$B$44,1,Scores!$C$5:$C$44,"Paper condition",Scores!S$5:S$44,"&lt;"&amp;Scores!S24)+0.5*COUNTIFS(Scores!$B$5:$B$44,1,Scores!$C$5:$C$44,"Paper condition",Scores!S$5:S$44,Scores!S24),"")</f>
        <v/>
      </c>
      <c r="EC24" s="1" t="n">
        <f aca="false">IF(AND(Scores!$B24=1,OR(Scores!$C24="Tool condition",Scores!$C24="Paper condition"),ISNUMBER(Scores!S24)),(COUNTIFS(Scores!$B$5:$B$44,1,Scores!$C$5:$C$44,"Tool condition",Scores!S$5:S$44,Scores!S24)+COUNTIFS(Scores!$B$5:$B$44,1,Scores!$C$5:$C$44,"Paper condition",Scores!S$5:S$44,Scores!S24))^2-1,"")</f>
        <v>15</v>
      </c>
      <c r="ED24" s="1" t="str">
        <f aca="false">IF(AND(Scores!$B24=2,Scores!$C24="Tool condition",ISNUMBER(Scores!S24)),COUNTIFS(Scores!$B$5:$B$44,2,Scores!$C$5:$C$44,"Paper condition",Scores!S$5:S$44,"&lt;"&amp;Scores!S24)+0.5*COUNTIFS(Scores!$B$5:$B$44,2,Scores!$C$5:$C$44,"Paper condition",Scores!S$5:S$44,Scores!S24),"")</f>
        <v/>
      </c>
      <c r="EE24" s="1" t="str">
        <f aca="false">IF(AND(Scores!$B24=2,OR(Scores!$C24="Tool condition",Scores!$C24="Paper condition"),ISNUMBER(Scores!S24)),(COUNTIFS(Scores!$B$5:$B$44,2,Scores!$C$5:$C$44,"Tool condition",Scores!S$5:S$44,Scores!S24)+COUNTIFS(Scores!$B$5:$B$44,2,Scores!$C$5:$C$44,"Paper condition",Scores!S$5:S$44,Scores!S24))^2-1,"")</f>
        <v/>
      </c>
      <c r="EF24" s="1" t="n">
        <f aca="false">IF(ISNUMBER(Scores!S24),Scores!S24^2,"")</f>
        <v>64</v>
      </c>
      <c r="EG24" s="1" t="str">
        <f aca="false">IF(AND(Scores!$B24=1,Scores!$C24="Tool condition",ISNUMBER(Scores!T24)),COUNTIFS(Scores!$B$5:$B$44,1,Scores!$C$5:$C$44,"Paper condition",Scores!T$5:T$44,"&lt;"&amp;Scores!T24)+0.5*COUNTIFS(Scores!$B$5:$B$44,1,Scores!$C$5:$C$44,"Paper condition",Scores!T$5:T$44,Scores!T24),"")</f>
        <v/>
      </c>
      <c r="EH24" s="1" t="n">
        <f aca="false">IF(AND(Scores!$B24=1,OR(Scores!$C24="Tool condition",Scores!$C24="Paper condition"),ISNUMBER(Scores!T24)),(COUNTIFS(Scores!$B$5:$B$44,1,Scores!$C$5:$C$44,"Tool condition",Scores!T$5:T$44,Scores!T24)+COUNTIFS(Scores!$B$5:$B$44,1,Scores!$C$5:$C$44,"Paper condition",Scores!T$5:T$44,Scores!T24))^2-1,"")</f>
        <v>8</v>
      </c>
      <c r="EI24" s="1" t="str">
        <f aca="false">IF(AND(Scores!$B24=2,Scores!$C24="Tool condition",ISNUMBER(Scores!T24)),COUNTIFS(Scores!$B$5:$B$44,2,Scores!$C$5:$C$44,"Paper condition",Scores!T$5:T$44,"&lt;"&amp;Scores!T24)+0.5*COUNTIFS(Scores!$B$5:$B$44,2,Scores!$C$5:$C$44,"Paper condition",Scores!T$5:T$44,Scores!T24),"")</f>
        <v/>
      </c>
      <c r="EJ24" s="1" t="str">
        <f aca="false">IF(AND(Scores!$B24=2,OR(Scores!$C24="Tool condition",Scores!$C24="Paper condition"),ISNUMBER(Scores!T24)),(COUNTIFS(Scores!$B$5:$B$44,2,Scores!$C$5:$C$44,"Tool condition",Scores!T$5:T$44,Scores!T24)+COUNTIFS(Scores!$B$5:$B$44,2,Scores!$C$5:$C$44,"Paper condition",Scores!T$5:T$44,Scores!T24))^2-1,"")</f>
        <v/>
      </c>
      <c r="EK24" s="1" t="n">
        <f aca="false">IF(ISNUMBER(Scores!T24),Scores!T24^2,"")</f>
        <v>36</v>
      </c>
      <c r="EL24" s="1" t="str">
        <f aca="false">IF(AND(Scores!$B24=1,Scores!$C24="Tool condition",ISNUMBER(Scores!U24)),COUNTIFS(Scores!$B$5:$B$44,1,Scores!$C$5:$C$44,"Paper condition",Scores!U$5:U$44,"&lt;"&amp;Scores!U24)+0.5*COUNTIFS(Scores!$B$5:$B$44,1,Scores!$C$5:$C$44,"Paper condition",Scores!U$5:U$44,Scores!U24),"")</f>
        <v/>
      </c>
      <c r="EM24" s="1" t="n">
        <f aca="false">IF(AND(Scores!$B24=1,OR(Scores!$C24="Tool condition",Scores!$C24="Paper condition"),ISNUMBER(Scores!U24)),(COUNTIFS(Scores!$B$5:$B$44,1,Scores!$C$5:$C$44,"Tool condition",Scores!U$5:U$44,Scores!U24)+COUNTIFS(Scores!$B$5:$B$44,1,Scores!$C$5:$C$44,"Paper condition",Scores!U$5:U$44,Scores!U24))^2-1,"")</f>
        <v>168</v>
      </c>
      <c r="EN24" s="1" t="str">
        <f aca="false">IF(AND(Scores!$B24=2,Scores!$C24="Tool condition",ISNUMBER(Scores!U24)),COUNTIFS(Scores!$B$5:$B$44,2,Scores!$C$5:$C$44,"Paper condition",Scores!U$5:U$44,"&lt;"&amp;Scores!U24)+0.5*COUNTIFS(Scores!$B$5:$B$44,2,Scores!$C$5:$C$44,"Paper condition",Scores!U$5:U$44,Scores!U24),"")</f>
        <v/>
      </c>
      <c r="EO24" s="1" t="str">
        <f aca="false">IF(AND(Scores!$B24=2,OR(Scores!$C24="Tool condition",Scores!$C24="Paper condition"),ISNUMBER(Scores!U24)),(COUNTIFS(Scores!$B$5:$B$44,2,Scores!$C$5:$C$44,"Tool condition",Scores!U$5:U$44,Scores!U24)+COUNTIFS(Scores!$B$5:$B$44,2,Scores!$C$5:$C$44,"Paper condition",Scores!U$5:U$44,Scores!U24))^2-1,"")</f>
        <v/>
      </c>
      <c r="EP24" s="1" t="n">
        <f aca="false">IF(ISNUMBER(Scores!U24),Scores!U24^2,"")</f>
        <v>36</v>
      </c>
      <c r="EQ24" s="1" t="str">
        <f aca="false">IF(AND(Scores!$B24=1,Scores!$C24="Tool condition",ISNUMBER(Scores!V24)),COUNTIFS(Scores!$B$5:$B$44,1,Scores!$C$5:$C$44,"Paper condition",Scores!V$5:V$44,"&lt;"&amp;Scores!V24)+0.5*COUNTIFS(Scores!$B$5:$B$44,1,Scores!$C$5:$C$44,"Paper condition",Scores!V$5:V$44,Scores!V24),"")</f>
        <v/>
      </c>
      <c r="ER24" s="1" t="n">
        <f aca="false">IF(AND(Scores!$B24=1,OR(Scores!$C24="Tool condition",Scores!$C24="Paper condition"),ISNUMBER(Scores!V24)),(COUNTIFS(Scores!$B$5:$B$44,1,Scores!$C$5:$C$44,"Tool condition",Scores!V$5:V$44,Scores!V24)+COUNTIFS(Scores!$B$5:$B$44,1,Scores!$C$5:$C$44,"Paper condition",Scores!V$5:V$44,Scores!V24))^2-1,"")</f>
        <v>15</v>
      </c>
      <c r="ES24" s="1" t="str">
        <f aca="false">IF(AND(Scores!$B24=2,Scores!$C24="Tool condition",ISNUMBER(Scores!V24)),COUNTIFS(Scores!$B$5:$B$44,2,Scores!$C$5:$C$44,"Paper condition",Scores!V$5:V$44,"&lt;"&amp;Scores!V24)+0.5*COUNTIFS(Scores!$B$5:$B$44,2,Scores!$C$5:$C$44,"Paper condition",Scores!V$5:V$44,Scores!V24),"")</f>
        <v/>
      </c>
      <c r="ET24" s="1" t="str">
        <f aca="false">IF(AND(Scores!$B24=2,OR(Scores!$C24="Tool condition",Scores!$C24="Paper condition"),ISNUMBER(Scores!V24)),(COUNTIFS(Scores!$B$5:$B$44,2,Scores!$C$5:$C$44,"Tool condition",Scores!V$5:V$44,Scores!V24)+COUNTIFS(Scores!$B$5:$B$44,2,Scores!$C$5:$C$44,"Paper condition",Scores!V$5:V$44,Scores!V24))^2-1,"")</f>
        <v/>
      </c>
      <c r="EU24" s="1" t="n">
        <f aca="false">IF(ISNUMBER(Scores!V24),Scores!V24^2,"")</f>
        <v>81</v>
      </c>
      <c r="EV24" s="1" t="str">
        <f aca="false">IF(AND(R_Scores!$B24=1,R_Scores!$C24="Tool condition",ISNUMBER(R_Scores!Q24)),COUNTIFS(R_Scores!$B$5:$B$44,1,R_Scores!$C$5:$C$44,"Paper condition",R_Scores!Q$5:Q$44,"&lt;"&amp;R_Scores!Q24)+0.5*COUNTIFS(R_Scores!$B$5:$B$44,1,R_Scores!$C$5:$C$44,"Paper condition",R_Scores!Q$5:Q$44,R_Scores!Q24),"")</f>
        <v/>
      </c>
      <c r="EW24" s="1" t="n">
        <f aca="false">IF(AND(R_Scores!$B24=1,OR(R_Scores!$C24="Tool condition",R_Scores!$C24="Paper condition"),ISNUMBER(R_Scores!Q24)),(COUNTIFS(R_Scores!$B$5:$B$44,1,R_Scores!$C$5:$C$44,"Tool condition",R_Scores!Q$5:Q$44,R_Scores!Q24)+COUNTIFS(R_Scores!$B$5:$B$44,1,R_Scores!$C$5:$C$44,"Paper condition",R_Scores!Q$5:Q$44,R_Scores!Q24))^2-1,"")</f>
        <v>80</v>
      </c>
      <c r="EX24" s="1" t="str">
        <f aca="false">IF(AND(R_Scores!$B24=2,R_Scores!$C24="Tool condition",ISNUMBER(R_Scores!Q24)),COUNTIFS(R_Scores!$B$5:$B$44,2,R_Scores!$C$5:$C$44,"Paper condition",R_Scores!Q$5:Q$44,"&lt;"&amp;R_Scores!Q24)+0.5*COUNTIFS(R_Scores!$B$5:$B$44,2,R_Scores!$C$5:$C$44,"Paper condition",R_Scores!Q$5:Q$44,R_Scores!Q24),"")</f>
        <v/>
      </c>
      <c r="EY24" s="1" t="str">
        <f aca="false">IF(AND(R_Scores!$B24=2,OR(R_Scores!$C24="Tool condition",R_Scores!$C24="Paper condition"),ISNUMBER(R_Scores!Q24)),(COUNTIFS(R_Scores!$B$5:$B$44,2,R_Scores!$C$5:$C$44,"Tool condition",R_Scores!Q$5:Q$44,R_Scores!Q24)+COUNTIFS(R_Scores!$B$5:$B$44,2,R_Scores!$C$5:$C$44,"Paper condition",R_Scores!Q$5:Q$44,R_Scores!Q24))^2-1,"")</f>
        <v/>
      </c>
      <c r="EZ24" s="1" t="n">
        <f aca="false">IF(ISNUMBER(R_Scores!Q24),R_Scores!Q24^2,"")</f>
        <v>36</v>
      </c>
      <c r="FA24" s="1" t="str">
        <f aca="false">IF(AND(R_Scores!$B24=1,R_Scores!$C24="Tool condition",ISNUMBER(R_Scores!R24)),COUNTIFS(R_Scores!$B$5:$B$44,1,R_Scores!$C$5:$C$44,"Paper condition",R_Scores!R$5:R$44,"&lt;"&amp;R_Scores!R24)+0.5*COUNTIFS(R_Scores!$B$5:$B$44,1,R_Scores!$C$5:$C$44,"Paper condition",R_Scores!R$5:R$44,R_Scores!R24),"")</f>
        <v/>
      </c>
      <c r="FB24" s="1" t="n">
        <f aca="false">IF(AND(R_Scores!$B24=1,OR(R_Scores!$C24="Tool condition",R_Scores!$C24="Paper condition"),ISNUMBER(R_Scores!R24)),(COUNTIFS(R_Scores!$B$5:$B$44,1,R_Scores!$C$5:$C$44,"Tool condition",R_Scores!R$5:R$44,R_Scores!R24)+COUNTIFS(R_Scores!$B$5:$B$44,1,R_Scores!$C$5:$C$44,"Paper condition",R_Scores!R$5:R$44,R_Scores!R24))^2-1,"")</f>
        <v>0</v>
      </c>
      <c r="FC24" s="1" t="str">
        <f aca="false">IF(AND(R_Scores!$B24=2,R_Scores!$C24="Tool condition",ISNUMBER(R_Scores!R24)),COUNTIFS(R_Scores!$B$5:$B$44,2,R_Scores!$C$5:$C$44,"Paper condition",R_Scores!R$5:R$44,"&lt;"&amp;R_Scores!R24)+0.5*COUNTIFS(R_Scores!$B$5:$B$44,2,R_Scores!$C$5:$C$44,"Paper condition",R_Scores!R$5:R$44,R_Scores!R24),"")</f>
        <v/>
      </c>
      <c r="FD24" s="1" t="str">
        <f aca="false">IF(AND(R_Scores!$B24=2,OR(R_Scores!$C24="Tool condition",R_Scores!$C24="Paper condition"),ISNUMBER(R_Scores!R24)),(COUNTIFS(R_Scores!$B$5:$B$44,2,R_Scores!$C$5:$C$44,"Tool condition",R_Scores!R$5:R$44,R_Scores!R24)+COUNTIFS(R_Scores!$B$5:$B$44,2,R_Scores!$C$5:$C$44,"Paper condition",R_Scores!R$5:R$44,R_Scores!R24))^2-1,"")</f>
        <v/>
      </c>
      <c r="FE24" s="1" t="n">
        <f aca="false">IF(ISNUMBER(R_Scores!R24),R_Scores!R24^2,"")</f>
        <v>729</v>
      </c>
    </row>
    <row r="25" customFormat="false" ht="14.25" hidden="false" customHeight="true" outlineLevel="0" collapsed="false">
      <c r="B25" s="1" t="str">
        <f aca="false">IF(AND(Scores!$B25=1,Scores!$C25="Tool condition",ISNUMBER(Scores!E25)),COUNTIFS(Scores!$B$5:$B$44,1,Scores!$C$5:$C$44,"Paper condition",Scores!E$5:E$44,"&lt;"&amp;Scores!E25)+0.5*COUNTIFS(Scores!$B$5:$B$44,1,Scores!$C$5:$C$44,"Paper condition",Scores!E$5:E$44,Scores!E25),"")</f>
        <v/>
      </c>
      <c r="C25" s="1" t="str">
        <f aca="false">IF(AND(Scores!$B25=1,OR(Scores!$C25="Tool condition",Scores!$C25="Paper condition"),ISNUMBER(Scores!E25)),(COUNTIFS(Scores!$B$5:$B$44,1,Scores!$C$5:$C$44,"Tool condition",Scores!E$5:E$44,Scores!E25)+COUNTIFS(Scores!$B$5:$B$44,1,Scores!$C$5:$C$44,"Paper condition",Scores!E$5:E$44,Scores!E25))^2-1,"")</f>
        <v/>
      </c>
      <c r="D25" s="1" t="n">
        <f aca="false">IF(AND(Scores!$B25=2,Scores!$C25="Tool condition",ISNUMBER(Scores!E25)),COUNTIFS(Scores!$B$5:$B$44,2,Scores!$C$5:$C$44,"Paper condition",Scores!E$5:E$44,"&lt;"&amp;Scores!E25)+0.5*COUNTIFS(Scores!$B$5:$B$44,2,Scores!$C$5:$C$44,"Paper condition",Scores!E$5:E$44,Scores!E25),"")</f>
        <v>7.5</v>
      </c>
      <c r="E25" s="1" t="n">
        <f aca="false">IF(AND(Scores!$B25=2,OR(Scores!$C25="Tool condition",Scores!$C25="Paper condition"),ISNUMBER(Scores!E25)),(COUNTIFS(Scores!$B$5:$B$44,2,Scores!$C$5:$C$44,"Tool condition",Scores!E$5:E$44,Scores!E25)+COUNTIFS(Scores!$B$5:$B$44,2,Scores!$C$5:$C$44,"Paper condition",Scores!E$5:E$44,Scores!E25))^2-1,"")</f>
        <v>143</v>
      </c>
      <c r="F25" s="1" t="n">
        <f aca="false">IF(ISNUMBER(Scores!E25),Scores!E25^2,"")</f>
        <v>4</v>
      </c>
      <c r="G25" s="1" t="str">
        <f aca="false">IF(AND(Scores!$B25=1,Scores!$C25="Tool condition",ISNUMBER(Scores!F25)),COUNTIFS(Scores!$B$5:$B$44,1,Scores!$C$5:$C$44,"Paper condition",Scores!F$5:F$44,"&lt;"&amp;Scores!F25)+0.5*COUNTIFS(Scores!$B$5:$B$44,1,Scores!$C$5:$C$44,"Paper condition",Scores!F$5:F$44,Scores!F25),"")</f>
        <v/>
      </c>
      <c r="H25" s="1" t="str">
        <f aca="false">IF(AND(Scores!$B25=1,OR(Scores!$C25="Tool condition",Scores!$C25="Paper condition"),ISNUMBER(Scores!F25)),(COUNTIFS(Scores!$B$5:$B$44,1,Scores!$C$5:$C$44,"Tool condition",Scores!F$5:F$44,Scores!F25)+COUNTIFS(Scores!$B$5:$B$44,1,Scores!$C$5:$C$44,"Paper condition",Scores!F$5:F$44,Scores!F25))^2-1,"")</f>
        <v/>
      </c>
      <c r="I25" s="1" t="n">
        <f aca="false">IF(AND(Scores!$B25=2,Scores!$C25="Tool condition",ISNUMBER(Scores!F25)),COUNTIFS(Scores!$B$5:$B$44,2,Scores!$C$5:$C$44,"Paper condition",Scores!F$5:F$44,"&lt;"&amp;Scores!F25)+0.5*COUNTIFS(Scores!$B$5:$B$44,2,Scores!$C$5:$C$44,"Paper condition",Scores!F$5:F$44,Scores!F25),"")</f>
        <v>8</v>
      </c>
      <c r="J25" s="1" t="n">
        <f aca="false">IF(AND(Scores!$B25=2,OR(Scores!$C25="Tool condition",Scores!$C25="Paper condition"),ISNUMBER(Scores!F25)),(COUNTIFS(Scores!$B$5:$B$44,2,Scores!$C$5:$C$44,"Tool condition",Scores!F$5:F$44,Scores!F25)+COUNTIFS(Scores!$B$5:$B$44,2,Scores!$C$5:$C$44,"Paper condition",Scores!F$5:F$44,Scores!F25))^2-1,"")</f>
        <v>120</v>
      </c>
      <c r="K25" s="1" t="n">
        <f aca="false">IF(ISNUMBER(Scores!F25),Scores!F25^2,"")</f>
        <v>4</v>
      </c>
      <c r="L25" s="1" t="str">
        <f aca="false">IF(AND(Scores!$B25=1,Scores!$C25="Tool condition",ISNUMBER(Scores!G25)),COUNTIFS(Scores!$B$5:$B$44,1,Scores!$C$5:$C$44,"Paper condition",Scores!G$5:G$44,"&lt;"&amp;Scores!G25)+0.5*COUNTIFS(Scores!$B$5:$B$44,1,Scores!$C$5:$C$44,"Paper condition",Scores!G$5:G$44,Scores!G25),"")</f>
        <v/>
      </c>
      <c r="M25" s="1" t="str">
        <f aca="false">IF(AND(Scores!$B25=1,OR(Scores!$C25="Tool condition",Scores!$C25="Paper condition"),ISNUMBER(Scores!G25)),(COUNTIFS(Scores!$B$5:$B$44,1,Scores!$C$5:$C$44,"Tool condition",Scores!G$5:G$44,Scores!G25)+COUNTIFS(Scores!$B$5:$B$44,1,Scores!$C$5:$C$44,"Paper condition",Scores!G$5:G$44,Scores!G25))^2-1,"")</f>
        <v/>
      </c>
      <c r="N25" s="1" t="n">
        <f aca="false">IF(AND(Scores!$B25=2,Scores!$C25="Tool condition",ISNUMBER(Scores!G25)),COUNTIFS(Scores!$B$5:$B$44,2,Scores!$C$5:$C$44,"Paper condition",Scores!G$5:G$44,"&lt;"&amp;Scores!G25)+0.5*COUNTIFS(Scores!$B$5:$B$44,2,Scores!$C$5:$C$44,"Paper condition",Scores!G$5:G$44,Scores!G25),"")</f>
        <v>7</v>
      </c>
      <c r="O25" s="1" t="n">
        <f aca="false">IF(AND(Scores!$B25=2,OR(Scores!$C25="Tool condition",Scores!$C25="Paper condition"),ISNUMBER(Scores!G25)),(COUNTIFS(Scores!$B$5:$B$44,2,Scores!$C$5:$C$44,"Tool condition",Scores!G$5:G$44,Scores!G25)+COUNTIFS(Scores!$B$5:$B$44,2,Scores!$C$5:$C$44,"Paper condition",Scores!G$5:G$44,Scores!G25))^2-1,"")</f>
        <v>195</v>
      </c>
      <c r="P25" s="1" t="n">
        <f aca="false">IF(ISNUMBER(Scores!G25),Scores!G25^2,"")</f>
        <v>4</v>
      </c>
      <c r="Q25" s="1" t="str">
        <f aca="false">IF(AND(Scores!$B25=1,Scores!$C25="Tool condition",ISNUMBER(Scores!H25)),COUNTIFS(Scores!$B$5:$B$44,1,Scores!$C$5:$C$44,"Paper condition",Scores!H$5:H$44,"&lt;"&amp;Scores!H25)+0.5*COUNTIFS(Scores!$B$5:$B$44,1,Scores!$C$5:$C$44,"Paper condition",Scores!H$5:H$44,Scores!H25),"")</f>
        <v/>
      </c>
      <c r="R25" s="1" t="str">
        <f aca="false">IF(AND(Scores!$B25=1,OR(Scores!$C25="Tool condition",Scores!$C25="Paper condition"),ISNUMBER(Scores!H25)),(COUNTIFS(Scores!$B$5:$B$44,1,Scores!$C$5:$C$44,"Tool condition",Scores!H$5:H$44,Scores!H25)+COUNTIFS(Scores!$B$5:$B$44,1,Scores!$C$5:$C$44,"Paper condition",Scores!H$5:H$44,Scores!H25))^2-1,"")</f>
        <v/>
      </c>
      <c r="S25" s="1" t="n">
        <f aca="false">IF(AND(Scores!$B25=2,Scores!$C25="Tool condition",ISNUMBER(Scores!H25)),COUNTIFS(Scores!$B$5:$B$44,2,Scores!$C$5:$C$44,"Paper condition",Scores!H$5:H$44,"&lt;"&amp;Scores!H25)+0.5*COUNTIFS(Scores!$B$5:$B$44,2,Scores!$C$5:$C$44,"Paper condition",Scores!H$5:H$44,Scores!H25),"")</f>
        <v>3</v>
      </c>
      <c r="T25" s="1" t="n">
        <f aca="false">IF(AND(Scores!$B25=2,OR(Scores!$C25="Tool condition",Scores!$C25="Paper condition"),ISNUMBER(Scores!H25)),(COUNTIFS(Scores!$B$5:$B$44,2,Scores!$C$5:$C$44,"Tool condition",Scores!H$5:H$44,Scores!H25)+COUNTIFS(Scores!$B$5:$B$44,2,Scores!$C$5:$C$44,"Paper condition",Scores!H$5:H$44,Scores!H25))^2-1,"")</f>
        <v>99</v>
      </c>
      <c r="U25" s="1" t="n">
        <f aca="false">IF(ISNUMBER(Scores!H25),Scores!H25^2,"")</f>
        <v>1</v>
      </c>
      <c r="V25" s="1" t="str">
        <f aca="false">IF(AND(Scores!$B25=1,Scores!$C25="Tool condition",ISNUMBER(Scores!I25)),COUNTIFS(Scores!$B$5:$B$44,1,Scores!$C$5:$C$44,"Paper condition",Scores!I$5:I$44,"&lt;"&amp;Scores!I25)+0.5*COUNTIFS(Scores!$B$5:$B$44,1,Scores!$C$5:$C$44,"Paper condition",Scores!I$5:I$44,Scores!I25),"")</f>
        <v/>
      </c>
      <c r="W25" s="1" t="str">
        <f aca="false">IF(AND(Scores!$B25=1,OR(Scores!$C25="Tool condition",Scores!$C25="Paper condition"),ISNUMBER(Scores!I25)),(COUNTIFS(Scores!$B$5:$B$44,1,Scores!$C$5:$C$44,"Tool condition",Scores!I$5:I$44,Scores!I25)+COUNTIFS(Scores!$B$5:$B$44,1,Scores!$C$5:$C$44,"Paper condition",Scores!I$5:I$44,Scores!I25))^2-1,"")</f>
        <v/>
      </c>
      <c r="X25" s="1" t="n">
        <f aca="false">IF(AND(Scores!$B25=2,Scores!$C25="Tool condition",ISNUMBER(Scores!I25)),COUNTIFS(Scores!$B$5:$B$44,2,Scores!$C$5:$C$44,"Paper condition",Scores!I$5:I$44,"&lt;"&amp;Scores!I25)+0.5*COUNTIFS(Scores!$B$5:$B$44,2,Scores!$C$5:$C$44,"Paper condition",Scores!I$5:I$44,Scores!I25),"")</f>
        <v>8.5</v>
      </c>
      <c r="Y25" s="1" t="n">
        <f aca="false">IF(AND(Scores!$B25=2,OR(Scores!$C25="Tool condition",Scores!$C25="Paper condition"),ISNUMBER(Scores!I25)),(COUNTIFS(Scores!$B$5:$B$44,2,Scores!$C$5:$C$44,"Tool condition",Scores!I$5:I$44,Scores!I25)+COUNTIFS(Scores!$B$5:$B$44,2,Scores!$C$5:$C$44,"Paper condition",Scores!I$5:I$44,Scores!I25))^2-1,"")</f>
        <v>99</v>
      </c>
      <c r="Z25" s="1" t="n">
        <f aca="false">IF(ISNUMBER(Scores!I25),Scores!I25^2,"")</f>
        <v>4</v>
      </c>
      <c r="AA25" s="1" t="str">
        <f aca="false">IF(AND(Scores!$B25=1,Scores!$C25="Tool condition",ISNUMBER(Scores!J25)),COUNTIFS(Scores!$B$5:$B$44,1,Scores!$C$5:$C$44,"Paper condition",Scores!J$5:J$44,"&lt;"&amp;Scores!J25)+0.5*COUNTIFS(Scores!$B$5:$B$44,1,Scores!$C$5:$C$44,"Paper condition",Scores!J$5:J$44,Scores!J25),"")</f>
        <v/>
      </c>
      <c r="AB25" s="1" t="str">
        <f aca="false">IF(AND(Scores!$B25=1,OR(Scores!$C25="Tool condition",Scores!$C25="Paper condition"),ISNUMBER(Scores!J25)),(COUNTIFS(Scores!$B$5:$B$44,1,Scores!$C$5:$C$44,"Tool condition",Scores!J$5:J$44,Scores!J25)+COUNTIFS(Scores!$B$5:$B$44,1,Scores!$C$5:$C$44,"Paper condition",Scores!J$5:J$44,Scores!J25))^2-1,"")</f>
        <v/>
      </c>
      <c r="AC25" s="1" t="n">
        <f aca="false">IF(AND(Scores!$B25=2,Scores!$C25="Tool condition",ISNUMBER(Scores!J25)),COUNTIFS(Scores!$B$5:$B$44,2,Scores!$C$5:$C$44,"Paper condition",Scores!J$5:J$44,"&lt;"&amp;Scores!J25)+0.5*COUNTIFS(Scores!$B$5:$B$44,2,Scores!$C$5:$C$44,"Paper condition",Scores!J$5:J$44,Scores!J25),"")</f>
        <v>7.5</v>
      </c>
      <c r="AD25" s="1" t="n">
        <f aca="false">IF(AND(Scores!$B25=2,OR(Scores!$C25="Tool condition",Scores!$C25="Paper condition"),ISNUMBER(Scores!J25)),(COUNTIFS(Scores!$B$5:$B$44,2,Scores!$C$5:$C$44,"Tool condition",Scores!J$5:J$44,Scores!J25)+COUNTIFS(Scores!$B$5:$B$44,2,Scores!$C$5:$C$44,"Paper condition",Scores!J$5:J$44,Scores!J25))^2-1,"")</f>
        <v>120</v>
      </c>
      <c r="AE25" s="1" t="n">
        <f aca="false">IF(ISNUMBER(Scores!J25),Scores!J25^2,"")</f>
        <v>4</v>
      </c>
      <c r="AF25" s="1" t="str">
        <f aca="false">IF(AND(Scores!$B25=1,Scores!$C25="Tool condition",ISNUMBER(Scores!K25)),COUNTIFS(Scores!$B$5:$B$44,1,Scores!$C$5:$C$44,"Paper condition",Scores!K$5:K$44,"&lt;"&amp;Scores!K25)+0.5*COUNTIFS(Scores!$B$5:$B$44,1,Scores!$C$5:$C$44,"Paper condition",Scores!K$5:K$44,Scores!K25),"")</f>
        <v/>
      </c>
      <c r="AG25" s="1" t="str">
        <f aca="false">IF(AND(Scores!$B25=1,OR(Scores!$C25="Tool condition",Scores!$C25="Paper condition"),ISNUMBER(Scores!K25)),(COUNTIFS(Scores!$B$5:$B$44,1,Scores!$C$5:$C$44,"Tool condition",Scores!K$5:K$44,Scores!K25)+COUNTIFS(Scores!$B$5:$B$44,1,Scores!$C$5:$C$44,"Paper condition",Scores!K$5:K$44,Scores!K25))^2-1,"")</f>
        <v/>
      </c>
      <c r="AH25" s="1" t="n">
        <f aca="false">IF(AND(Scores!$B25=2,Scores!$C25="Tool condition",ISNUMBER(Scores!K25)),COUNTIFS(Scores!$B$5:$B$44,2,Scores!$C$5:$C$44,"Paper condition",Scores!K$5:K$44,"&lt;"&amp;Scores!K25)+0.5*COUNTIFS(Scores!$B$5:$B$44,2,Scores!$C$5:$C$44,"Paper condition",Scores!K$5:K$44,Scores!K25),"")</f>
        <v>3.5</v>
      </c>
      <c r="AI25" s="1" t="n">
        <f aca="false">IF(AND(Scores!$B25=2,OR(Scores!$C25="Tool condition",Scores!$C25="Paper condition"),ISNUMBER(Scores!K25)),(COUNTIFS(Scores!$B$5:$B$44,2,Scores!$C$5:$C$44,"Tool condition",Scores!K$5:K$44,Scores!K25)+COUNTIFS(Scores!$B$5:$B$44,2,Scores!$C$5:$C$44,"Paper condition",Scores!K$5:K$44,Scores!K25))^2-1,"")</f>
        <v>120</v>
      </c>
      <c r="AJ25" s="1" t="n">
        <f aca="false">IF(ISNUMBER(Scores!K25),Scores!K25^2,"")</f>
        <v>1</v>
      </c>
      <c r="AK25" s="1" t="str">
        <f aca="false">IF(AND(Scores!$B25=1,Scores!$C25="Tool condition",ISNUMBER(Scores!L25)),COUNTIFS(Scores!$B$5:$B$44,1,Scores!$C$5:$C$44,"Paper condition",Scores!L$5:L$44,"&lt;"&amp;Scores!L25)+0.5*COUNTIFS(Scores!$B$5:$B$44,1,Scores!$C$5:$C$44,"Paper condition",Scores!L$5:L$44,Scores!L25),"")</f>
        <v/>
      </c>
      <c r="AL25" s="1" t="str">
        <f aca="false">IF(AND(Scores!$B25=1,OR(Scores!$C25="Tool condition",Scores!$C25="Paper condition"),ISNUMBER(Scores!L25)),(COUNTIFS(Scores!$B$5:$B$44,1,Scores!$C$5:$C$44,"Tool condition",Scores!L$5:L$44,Scores!L25)+COUNTIFS(Scores!$B$5:$B$44,1,Scores!$C$5:$C$44,"Paper condition",Scores!L$5:L$44,Scores!L25))^2-1,"")</f>
        <v/>
      </c>
      <c r="AM25" s="1" t="n">
        <f aca="false">IF(AND(Scores!$B25=2,Scores!$C25="Tool condition",ISNUMBER(Scores!L25)),COUNTIFS(Scores!$B$5:$B$44,2,Scores!$C$5:$C$44,"Paper condition",Scores!L$5:L$44,"&lt;"&amp;Scores!L25)+0.5*COUNTIFS(Scores!$B$5:$B$44,2,Scores!$C$5:$C$44,"Paper condition",Scores!L$5:L$44,Scores!L25),"")</f>
        <v>7.5</v>
      </c>
      <c r="AN25" s="1" t="n">
        <f aca="false">IF(AND(Scores!$B25=2,OR(Scores!$C25="Tool condition",Scores!$C25="Paper condition"),ISNUMBER(Scores!L25)),(COUNTIFS(Scores!$B$5:$B$44,2,Scores!$C$5:$C$44,"Tool condition",Scores!L$5:L$44,Scores!L25)+COUNTIFS(Scores!$B$5:$B$44,2,Scores!$C$5:$C$44,"Paper condition",Scores!L$5:L$44,Scores!L25))^2-1,"")</f>
        <v>99</v>
      </c>
      <c r="AO25" s="1" t="n">
        <f aca="false">IF(ISNUMBER(Scores!L25),Scores!L25^2,"")</f>
        <v>4</v>
      </c>
      <c r="AP25" s="1" t="str">
        <f aca="false">IF(AND(Scores!$B25=1,Scores!$C25="Tool condition",ISNUMBER(Scores!M25)),COUNTIFS(Scores!$B$5:$B$44,1,Scores!$C$5:$C$44,"Paper condition",Scores!M$5:M$44,"&lt;"&amp;Scores!M25)+0.5*COUNTIFS(Scores!$B$5:$B$44,1,Scores!$C$5:$C$44,"Paper condition",Scores!M$5:M$44,Scores!M25),"")</f>
        <v/>
      </c>
      <c r="AQ25" s="1" t="str">
        <f aca="false">IF(AND(Scores!$B25=1,OR(Scores!$C25="Tool condition",Scores!$C25="Paper condition"),ISNUMBER(Scores!M25)),(COUNTIFS(Scores!$B$5:$B$44,1,Scores!$C$5:$C$44,"Tool condition",Scores!M$5:M$44,Scores!M25)+COUNTIFS(Scores!$B$5:$B$44,1,Scores!$C$5:$C$44,"Paper condition",Scores!M$5:M$44,Scores!M25))^2-1,"")</f>
        <v/>
      </c>
      <c r="AR25" s="1" t="n">
        <f aca="false">IF(AND(Scores!$B25=2,Scores!$C25="Tool condition",ISNUMBER(Scores!M25)),COUNTIFS(Scores!$B$5:$B$44,2,Scores!$C$5:$C$44,"Paper condition",Scores!M$5:M$44,"&lt;"&amp;Scores!M25)+0.5*COUNTIFS(Scores!$B$5:$B$44,2,Scores!$C$5:$C$44,"Paper condition",Scores!M$5:M$44,Scores!M25),"")</f>
        <v>3.5</v>
      </c>
      <c r="AS25" s="1" t="n">
        <f aca="false">IF(AND(Scores!$B25=2,OR(Scores!$C25="Tool condition",Scores!$C25="Paper condition"),ISNUMBER(Scores!M25)),(COUNTIFS(Scores!$B$5:$B$44,2,Scores!$C$5:$C$44,"Tool condition",Scores!M$5:M$44,Scores!M25)+COUNTIFS(Scores!$B$5:$B$44,2,Scores!$C$5:$C$44,"Paper condition",Scores!M$5:M$44,Scores!M25))^2-1,"")</f>
        <v>80</v>
      </c>
      <c r="AT25" s="1" t="n">
        <f aca="false">IF(ISNUMBER(Scores!M25),Scores!M25^2,"")</f>
        <v>1</v>
      </c>
      <c r="AU25" s="1" t="str">
        <f aca="false">IF(AND(Scores!$B25=1,Scores!$C25="Tool condition",ISNUMBER(Scores!N25)),COUNTIFS(Scores!$B$5:$B$44,1,Scores!$C$5:$C$44,"Paper condition",Scores!N$5:N$44,"&lt;"&amp;Scores!N25)+0.5*COUNTIFS(Scores!$B$5:$B$44,1,Scores!$C$5:$C$44,"Paper condition",Scores!N$5:N$44,Scores!N25),"")</f>
        <v/>
      </c>
      <c r="AV25" s="1" t="str">
        <f aca="false">IF(AND(Scores!$B25=1,OR(Scores!$C25="Tool condition",Scores!$C25="Paper condition"),ISNUMBER(Scores!N25)),(COUNTIFS(Scores!$B$5:$B$44,1,Scores!$C$5:$C$44,"Tool condition",Scores!N$5:N$44,Scores!N25)+COUNTIFS(Scores!$B$5:$B$44,1,Scores!$C$5:$C$44,"Paper condition",Scores!N$5:N$44,Scores!N25))^2-1,"")</f>
        <v/>
      </c>
      <c r="AW25" s="1" t="n">
        <f aca="false">IF(AND(Scores!$B25=2,Scores!$C25="Tool condition",ISNUMBER(Scores!N25)),COUNTIFS(Scores!$B$5:$B$44,2,Scores!$C$5:$C$44,"Paper condition",Scores!N$5:N$44,"&lt;"&amp;Scores!N25)+0.5*COUNTIFS(Scores!$B$5:$B$44,2,Scores!$C$5:$C$44,"Paper condition",Scores!N$5:N$44,Scores!N25),"")</f>
        <v>8.5</v>
      </c>
      <c r="AX25" s="1" t="n">
        <f aca="false">IF(AND(Scores!$B25=2,OR(Scores!$C25="Tool condition",Scores!$C25="Paper condition"),ISNUMBER(Scores!N25)),(COUNTIFS(Scores!$B$5:$B$44,2,Scores!$C$5:$C$44,"Tool condition",Scores!N$5:N$44,Scores!N25)+COUNTIFS(Scores!$B$5:$B$44,2,Scores!$C$5:$C$44,"Paper condition",Scores!N$5:N$44,Scores!N25))^2-1,"")</f>
        <v>35</v>
      </c>
      <c r="AY25" s="1" t="n">
        <f aca="false">IF(ISNUMBER(Scores!N25),Scores!N25^2,"")</f>
        <v>4</v>
      </c>
      <c r="AZ25" s="1" t="str">
        <f aca="false">IF(AND(Scores!$B25=1,Scores!$C25="Tool condition",ISNUMBER(Scores!O25)),COUNTIFS(Scores!$B$5:$B$44,1,Scores!$C$5:$C$44,"Paper condition",Scores!O$5:O$44,"&lt;"&amp;Scores!O25)+0.5*COUNTIFS(Scores!$B$5:$B$44,1,Scores!$C$5:$C$44,"Paper condition",Scores!O$5:O$44,Scores!O25),"")</f>
        <v/>
      </c>
      <c r="BA25" s="1" t="str">
        <f aca="false">IF(AND(Scores!$B25=1,OR(Scores!$C25="Tool condition",Scores!$C25="Paper condition"),ISNUMBER(Scores!O25)),(COUNTIFS(Scores!$B$5:$B$44,1,Scores!$C$5:$C$44,"Tool condition",Scores!O$5:O$44,Scores!O25)+COUNTIFS(Scores!$B$5:$B$44,1,Scores!$C$5:$C$44,"Paper condition",Scores!O$5:O$44,Scores!O25))^2-1,"")</f>
        <v/>
      </c>
      <c r="BB25" s="1" t="n">
        <f aca="false">IF(AND(Scores!$B25=2,Scores!$C25="Tool condition",ISNUMBER(Scores!O25)),COUNTIFS(Scores!$B$5:$B$44,2,Scores!$C$5:$C$44,"Paper condition",Scores!O$5:O$44,"&lt;"&amp;Scores!O25)+0.5*COUNTIFS(Scores!$B$5:$B$44,2,Scores!$C$5:$C$44,"Paper condition",Scores!O$5:O$44,Scores!O25),"")</f>
        <v>6.5</v>
      </c>
      <c r="BC25" s="1" t="n">
        <f aca="false">IF(AND(Scores!$B25=2,OR(Scores!$C25="Tool condition",Scores!$C25="Paper condition"),ISNUMBER(Scores!O25)),(COUNTIFS(Scores!$B$5:$B$44,2,Scores!$C$5:$C$44,"Tool condition",Scores!O$5:O$44,Scores!O25)+COUNTIFS(Scores!$B$5:$B$44,2,Scores!$C$5:$C$44,"Paper condition",Scores!O$5:O$44,Scores!O25))^2-1,"")</f>
        <v>120</v>
      </c>
      <c r="BD25" s="1" t="n">
        <f aca="false">IF(ISNUMBER(Scores!O25),Scores!O25^2,"")</f>
        <v>1</v>
      </c>
      <c r="BE25" s="1" t="str">
        <f aca="false">IF(AND(Scores!$B25=1,Scores!$C25="Tool condition",ISNUMBER(Scores!P25)),COUNTIFS(Scores!$B$5:$B$44,1,Scores!$C$5:$C$44,"Paper condition",Scores!P$5:P$44,"&lt;"&amp;Scores!P25)+0.5*COUNTIFS(Scores!$B$5:$B$44,1,Scores!$C$5:$C$44,"Paper condition",Scores!P$5:P$44,Scores!P25),"")</f>
        <v/>
      </c>
      <c r="BF25" s="1" t="str">
        <f aca="false">IF(AND(Scores!$B25=1,OR(Scores!$C25="Tool condition",Scores!$C25="Paper condition"),ISNUMBER(Scores!P25)),(COUNTIFS(Scores!$B$5:$B$44,1,Scores!$C$5:$C$44,"Tool condition",Scores!P$5:P$44,Scores!P25)+COUNTIFS(Scores!$B$5:$B$44,1,Scores!$C$5:$C$44,"Paper condition",Scores!P$5:P$44,Scores!P25))^2-1,"")</f>
        <v/>
      </c>
      <c r="BG25" s="1" t="n">
        <f aca="false">IF(AND(Scores!$B25=2,Scores!$C25="Tool condition",ISNUMBER(Scores!P25)),COUNTIFS(Scores!$B$5:$B$44,2,Scores!$C$5:$C$44,"Paper condition",Scores!P$5:P$44,"&lt;"&amp;Scores!P25)+0.5*COUNTIFS(Scores!$B$5:$B$44,2,Scores!$C$5:$C$44,"Paper condition",Scores!P$5:P$44,Scores!P25),"")</f>
        <v>2.5</v>
      </c>
      <c r="BH25" s="1" t="n">
        <f aca="false">IF(AND(Scores!$B25=2,OR(Scores!$C25="Tool condition",Scores!$C25="Paper condition"),ISNUMBER(Scores!P25)),(COUNTIFS(Scores!$B$5:$B$44,2,Scores!$C$5:$C$44,"Tool condition",Scores!P$5:P$44,Scores!P25)+COUNTIFS(Scores!$B$5:$B$44,2,Scores!$C$5:$C$44,"Paper condition",Scores!P$5:P$44,Scores!P25))^2-1,"")</f>
        <v>63</v>
      </c>
      <c r="BI25" s="1" t="n">
        <f aca="false">IF(ISNUMBER(Scores!P25),Scores!P25^2,"")</f>
        <v>0</v>
      </c>
      <c r="BJ25" s="1" t="str">
        <f aca="false">IF(AND(R_Scores!$B25=1,R_Scores!$C25="Tool condition",ISNUMBER(R_Scores!E25)),COUNTIFS(R_Scores!$B$5:$B$44,1,R_Scores!$C$5:$C$44,"Paper condition",R_Scores!E$5:E$44,"&lt;"&amp;R_Scores!E25)+0.5*COUNTIFS(R_Scores!$B$5:$B$44,1,R_Scores!$C$5:$C$44,"Paper condition",R_Scores!E$5:E$44,R_Scores!E25),"")</f>
        <v/>
      </c>
      <c r="BK25" s="1" t="str">
        <f aca="false">IF(AND(R_Scores!$B25=1,OR(R_Scores!$C25="Tool condition",R_Scores!$C25="Paper condition"),ISNUMBER(R_Scores!E25)),(COUNTIFS(R_Scores!$B$5:$B$44,1,R_Scores!$C$5:$C$44,"Tool condition",R_Scores!E$5:E$44,R_Scores!E25)+COUNTIFS(R_Scores!$B$5:$B$44,1,R_Scores!$C$5:$C$44,"Paper condition",R_Scores!E$5:E$44,R_Scores!E25))^2-1,"")</f>
        <v/>
      </c>
      <c r="BL25" s="1" t="n">
        <f aca="false">IF(AND(R_Scores!$B25=2,R_Scores!$C25="Tool condition",ISNUMBER(R_Scores!E25)),COUNTIFS(R_Scores!$B$5:$B$44,2,R_Scores!$C$5:$C$44,"Paper condition",R_Scores!E$5:E$44,"&lt;"&amp;R_Scores!E25)+0.5*COUNTIFS(R_Scores!$B$5:$B$44,2,R_Scores!$C$5:$C$44,"Paper condition",R_Scores!E$5:E$44,R_Scores!E25),"")</f>
        <v>6.5</v>
      </c>
      <c r="BM25" s="1" t="n">
        <f aca="false">IF(AND(R_Scores!$B25=2,OR(R_Scores!$C25="Tool condition",R_Scores!$C25="Paper condition"),ISNUMBER(R_Scores!E25)),(COUNTIFS(R_Scores!$B$5:$B$44,2,R_Scores!$C$5:$C$44,"Tool condition",R_Scores!E$5:E$44,R_Scores!E25)+COUNTIFS(R_Scores!$B$5:$B$44,2,R_Scores!$C$5:$C$44,"Paper condition",R_Scores!E$5:E$44,R_Scores!E25))^2-1,"")</f>
        <v>224</v>
      </c>
      <c r="BN25" s="1" t="n">
        <f aca="false">IF(ISNUMBER(R_Scores!E25),R_Scores!E25^2,"")</f>
        <v>1</v>
      </c>
      <c r="BO25" s="1" t="str">
        <f aca="false">IF(AND(R_Scores!$B25=1,R_Scores!$C25="Tool condition",ISNUMBER(R_Scores!F25)),COUNTIFS(R_Scores!$B$5:$B$44,1,R_Scores!$C$5:$C$44,"Paper condition",R_Scores!F$5:F$44,"&lt;"&amp;R_Scores!F25)+0.5*COUNTIFS(R_Scores!$B$5:$B$44,1,R_Scores!$C$5:$C$44,"Paper condition",R_Scores!F$5:F$44,R_Scores!F25),"")</f>
        <v/>
      </c>
      <c r="BP25" s="1" t="str">
        <f aca="false">IF(AND(R_Scores!$B25=1,OR(R_Scores!$C25="Tool condition",R_Scores!$C25="Paper condition"),ISNUMBER(R_Scores!F25)),(COUNTIFS(R_Scores!$B$5:$B$44,1,R_Scores!$C$5:$C$44,"Tool condition",R_Scores!F$5:F$44,R_Scores!F25)+COUNTIFS(R_Scores!$B$5:$B$44,1,R_Scores!$C$5:$C$44,"Paper condition",R_Scores!F$5:F$44,R_Scores!F25))^2-1,"")</f>
        <v/>
      </c>
      <c r="BQ25" s="1" t="n">
        <f aca="false">IF(AND(R_Scores!$B25=2,R_Scores!$C25="Tool condition",ISNUMBER(R_Scores!F25)),COUNTIFS(R_Scores!$B$5:$B$44,2,R_Scores!$C$5:$C$44,"Paper condition",R_Scores!F$5:F$44,"&lt;"&amp;R_Scores!F25)+0.5*COUNTIFS(R_Scores!$B$5:$B$44,2,R_Scores!$C$5:$C$44,"Paper condition",R_Scores!F$5:F$44,R_Scores!F25),"")</f>
        <v>6.5</v>
      </c>
      <c r="BR25" s="1" t="n">
        <f aca="false">IF(AND(R_Scores!$B25=2,OR(R_Scores!$C25="Tool condition",R_Scores!$C25="Paper condition"),ISNUMBER(R_Scores!F25)),(COUNTIFS(R_Scores!$B$5:$B$44,2,R_Scores!$C$5:$C$44,"Tool condition",R_Scores!F$5:F$44,R_Scores!F25)+COUNTIFS(R_Scores!$B$5:$B$44,2,R_Scores!$C$5:$C$44,"Paper condition",R_Scores!F$5:F$44,R_Scores!F25))^2-1,"")</f>
        <v>195</v>
      </c>
      <c r="BS25" s="1" t="n">
        <f aca="false">IF(ISNUMBER(R_Scores!F25),R_Scores!F25^2,"")</f>
        <v>1</v>
      </c>
      <c r="BT25" s="1" t="str">
        <f aca="false">IF(AND(R_Scores!$B25=1,R_Scores!$C25="Tool condition",ISNUMBER(R_Scores!G25)),COUNTIFS(R_Scores!$B$5:$B$44,1,R_Scores!$C$5:$C$44,"Paper condition",R_Scores!G$5:G$44,"&lt;"&amp;R_Scores!G25)+0.5*COUNTIFS(R_Scores!$B$5:$B$44,1,R_Scores!$C$5:$C$44,"Paper condition",R_Scores!G$5:G$44,R_Scores!G25),"")</f>
        <v/>
      </c>
      <c r="BU25" s="1" t="str">
        <f aca="false">IF(AND(R_Scores!$B25=1,OR(R_Scores!$C25="Tool condition",R_Scores!$C25="Paper condition"),ISNUMBER(R_Scores!G25)),(COUNTIFS(R_Scores!$B$5:$B$44,1,R_Scores!$C$5:$C$44,"Tool condition",R_Scores!G$5:G$44,R_Scores!G25)+COUNTIFS(R_Scores!$B$5:$B$44,1,R_Scores!$C$5:$C$44,"Paper condition",R_Scores!G$5:G$44,R_Scores!G25))^2-1,"")</f>
        <v/>
      </c>
      <c r="BV25" s="1" t="str">
        <f aca="false">IF(AND(R_Scores!$B25=2,R_Scores!$C25="Tool condition",ISNUMBER(R_Scores!G25)),COUNTIFS(R_Scores!$B$5:$B$44,2,R_Scores!$C$5:$C$44,"Paper condition",R_Scores!G$5:G$44,"&lt;"&amp;R_Scores!G25)+0.5*COUNTIFS(R_Scores!$B$5:$B$44,2,R_Scores!$C$5:$C$44,"Paper condition",R_Scores!G$5:G$44,R_Scores!G25),"")</f>
        <v/>
      </c>
      <c r="BW25" s="1" t="str">
        <f aca="false">IF(AND(R_Scores!$B25=2,OR(R_Scores!$C25="Tool condition",R_Scores!$C25="Paper condition"),ISNUMBER(R_Scores!G25)),(COUNTIFS(R_Scores!$B$5:$B$44,2,R_Scores!$C$5:$C$44,"Tool condition",R_Scores!G$5:G$44,R_Scores!G25)+COUNTIFS(R_Scores!$B$5:$B$44,2,R_Scores!$C$5:$C$44,"Paper condition",R_Scores!G$5:G$44,R_Scores!G25))^2-1,"")</f>
        <v/>
      </c>
      <c r="BX25" s="1" t="str">
        <f aca="false">IF(ISNUMBER(R_Scores!G25),R_Scores!G25^2,"")</f>
        <v/>
      </c>
      <c r="BY25" s="1" t="str">
        <f aca="false">IF(AND(R_Scores!$B25=1,R_Scores!$C25="Tool condition",ISNUMBER(R_Scores!H25)),COUNTIFS(R_Scores!$B$5:$B$44,1,R_Scores!$C$5:$C$44,"Paper condition",R_Scores!H$5:H$44,"&lt;"&amp;R_Scores!H25)+0.5*COUNTIFS(R_Scores!$B$5:$B$44,1,R_Scores!$C$5:$C$44,"Paper condition",R_Scores!H$5:H$44,R_Scores!H25),"")</f>
        <v/>
      </c>
      <c r="BZ25" s="1" t="str">
        <f aca="false">IF(AND(R_Scores!$B25=1,OR(R_Scores!$C25="Tool condition",R_Scores!$C25="Paper condition"),ISNUMBER(R_Scores!H25)),(COUNTIFS(R_Scores!$B$5:$B$44,1,R_Scores!$C$5:$C$44,"Tool condition",R_Scores!H$5:H$44,R_Scores!H25)+COUNTIFS(R_Scores!$B$5:$B$44,1,R_Scores!$C$5:$C$44,"Paper condition",R_Scores!H$5:H$44,R_Scores!H25))^2-1,"")</f>
        <v/>
      </c>
      <c r="CA25" s="1" t="str">
        <f aca="false">IF(AND(R_Scores!$B25=2,R_Scores!$C25="Tool condition",ISNUMBER(R_Scores!H25)),COUNTIFS(R_Scores!$B$5:$B$44,2,R_Scores!$C$5:$C$44,"Paper condition",R_Scores!H$5:H$44,"&lt;"&amp;R_Scores!H25)+0.5*COUNTIFS(R_Scores!$B$5:$B$44,2,R_Scores!$C$5:$C$44,"Paper condition",R_Scores!H$5:H$44,R_Scores!H25),"")</f>
        <v/>
      </c>
      <c r="CB25" s="1" t="str">
        <f aca="false">IF(AND(R_Scores!$B25=2,OR(R_Scores!$C25="Tool condition",R_Scores!$C25="Paper condition"),ISNUMBER(R_Scores!H25)),(COUNTIFS(R_Scores!$B$5:$B$44,2,R_Scores!$C$5:$C$44,"Tool condition",R_Scores!H$5:H$44,R_Scores!H25)+COUNTIFS(R_Scores!$B$5:$B$44,2,R_Scores!$C$5:$C$44,"Paper condition",R_Scores!H$5:H$44,R_Scores!H25))^2-1,"")</f>
        <v/>
      </c>
      <c r="CC25" s="1" t="str">
        <f aca="false">IF(ISNUMBER(R_Scores!H25),R_Scores!H25^2,"")</f>
        <v/>
      </c>
      <c r="CD25" s="1" t="str">
        <f aca="false">IF(AND(R_Scores!$B25=1,R_Scores!$C25="Tool condition",ISNUMBER(R_Scores!I25)),COUNTIFS(R_Scores!$B$5:$B$44,1,R_Scores!$C$5:$C$44,"Paper condition",R_Scores!I$5:I$44,"&lt;"&amp;R_Scores!I25)+0.5*COUNTIFS(R_Scores!$B$5:$B$44,1,R_Scores!$C$5:$C$44,"Paper condition",R_Scores!I$5:I$44,R_Scores!I25),"")</f>
        <v/>
      </c>
      <c r="CE25" s="1" t="str">
        <f aca="false">IF(AND(R_Scores!$B25=1,OR(R_Scores!$C25="Tool condition",R_Scores!$C25="Paper condition"),ISNUMBER(R_Scores!I25)),(COUNTIFS(R_Scores!$B$5:$B$44,1,R_Scores!$C$5:$C$44,"Tool condition",R_Scores!I$5:I$44,R_Scores!I25)+COUNTIFS(R_Scores!$B$5:$B$44,1,R_Scores!$C$5:$C$44,"Paper condition",R_Scores!I$5:I$44,R_Scores!I25))^2-1,"")</f>
        <v/>
      </c>
      <c r="CF25" s="1" t="n">
        <f aca="false">IF(AND(R_Scores!$B25=2,R_Scores!$C25="Tool condition",ISNUMBER(R_Scores!I25)),COUNTIFS(R_Scores!$B$5:$B$44,2,R_Scores!$C$5:$C$44,"Paper condition",R_Scores!I$5:I$44,"&lt;"&amp;R_Scores!I25)+0.5*COUNTIFS(R_Scores!$B$5:$B$44,2,R_Scores!$C$5:$C$44,"Paper condition",R_Scores!I$5:I$44,R_Scores!I25),"")</f>
        <v>6</v>
      </c>
      <c r="CG25" s="1" t="n">
        <f aca="false">IF(AND(R_Scores!$B25=2,OR(R_Scores!$C25="Tool condition",R_Scores!$C25="Paper condition"),ISNUMBER(R_Scores!I25)),(COUNTIFS(R_Scores!$B$5:$B$44,2,R_Scores!$C$5:$C$44,"Tool condition",R_Scores!I$5:I$44,R_Scores!I25)+COUNTIFS(R_Scores!$B$5:$B$44,2,R_Scores!$C$5:$C$44,"Paper condition",R_Scores!I$5:I$44,R_Scores!I25))^2-1,"")</f>
        <v>255</v>
      </c>
      <c r="CH25" s="1" t="n">
        <f aca="false">IF(ISNUMBER(R_Scores!I25),R_Scores!I25^2,"")</f>
        <v>1</v>
      </c>
      <c r="CI25" s="1" t="str">
        <f aca="false">IF(AND(R_Scores!$B25=1,R_Scores!$C25="Tool condition",ISNUMBER(R_Scores!J25)),COUNTIFS(R_Scores!$B$5:$B$44,1,R_Scores!$C$5:$C$44,"Paper condition",R_Scores!J$5:J$44,"&lt;"&amp;R_Scores!J25)+0.5*COUNTIFS(R_Scores!$B$5:$B$44,1,R_Scores!$C$5:$C$44,"Paper condition",R_Scores!J$5:J$44,R_Scores!J25),"")</f>
        <v/>
      </c>
      <c r="CJ25" s="1" t="str">
        <f aca="false">IF(AND(R_Scores!$B25=1,OR(R_Scores!$C25="Tool condition",R_Scores!$C25="Paper condition"),ISNUMBER(R_Scores!J25)),(COUNTIFS(R_Scores!$B$5:$B$44,1,R_Scores!$C$5:$C$44,"Tool condition",R_Scores!J$5:J$44,R_Scores!J25)+COUNTIFS(R_Scores!$B$5:$B$44,1,R_Scores!$C$5:$C$44,"Paper condition",R_Scores!J$5:J$44,R_Scores!J25))^2-1,"")</f>
        <v/>
      </c>
      <c r="CK25" s="1" t="n">
        <f aca="false">IF(AND(R_Scores!$B25=2,R_Scores!$C25="Tool condition",ISNUMBER(R_Scores!J25)),COUNTIFS(R_Scores!$B$5:$B$44,2,R_Scores!$C$5:$C$44,"Paper condition",R_Scores!J$5:J$44,"&lt;"&amp;R_Scores!J25)+0.5*COUNTIFS(R_Scores!$B$5:$B$44,2,R_Scores!$C$5:$C$44,"Paper condition",R_Scores!J$5:J$44,R_Scores!J25),"")</f>
        <v>7</v>
      </c>
      <c r="CL25" s="1" t="n">
        <f aca="false">IF(AND(R_Scores!$B25=2,OR(R_Scores!$C25="Tool condition",R_Scores!$C25="Paper condition"),ISNUMBER(R_Scores!J25)),(COUNTIFS(R_Scores!$B$5:$B$44,2,R_Scores!$C$5:$C$44,"Tool condition",R_Scores!J$5:J$44,R_Scores!J25)+COUNTIFS(R_Scores!$B$5:$B$44,2,R_Scores!$C$5:$C$44,"Paper condition",R_Scores!J$5:J$44,R_Scores!J25))^2-1,"")</f>
        <v>195</v>
      </c>
      <c r="CM25" s="1" t="n">
        <f aca="false">IF(ISNUMBER(R_Scores!J25),R_Scores!J25^2,"")</f>
        <v>1</v>
      </c>
      <c r="CN25" s="1" t="str">
        <f aca="false">IF(AND(R_Scores!$B25=1,R_Scores!$C25="Tool condition",ISNUMBER(R_Scores!K25)),COUNTIFS(R_Scores!$B$5:$B$44,1,R_Scores!$C$5:$C$44,"Paper condition",R_Scores!K$5:K$44,"&lt;"&amp;R_Scores!K25)+0.5*COUNTIFS(R_Scores!$B$5:$B$44,1,R_Scores!$C$5:$C$44,"Paper condition",R_Scores!K$5:K$44,R_Scores!K25),"")</f>
        <v/>
      </c>
      <c r="CO25" s="1" t="str">
        <f aca="false">IF(AND(R_Scores!$B25=1,OR(R_Scores!$C25="Tool condition",R_Scores!$C25="Paper condition"),ISNUMBER(R_Scores!K25)),(COUNTIFS(R_Scores!$B$5:$B$44,1,R_Scores!$C$5:$C$44,"Tool condition",R_Scores!K$5:K$44,R_Scores!K25)+COUNTIFS(R_Scores!$B$5:$B$44,1,R_Scores!$C$5:$C$44,"Paper condition",R_Scores!K$5:K$44,R_Scores!K25))^2-1,"")</f>
        <v/>
      </c>
      <c r="CP25" s="1" t="str">
        <f aca="false">IF(AND(R_Scores!$B25=2,R_Scores!$C25="Tool condition",ISNUMBER(R_Scores!K25)),COUNTIFS(R_Scores!$B$5:$B$44,2,R_Scores!$C$5:$C$44,"Paper condition",R_Scores!K$5:K$44,"&lt;"&amp;R_Scores!K25)+0.5*COUNTIFS(R_Scores!$B$5:$B$44,2,R_Scores!$C$5:$C$44,"Paper condition",R_Scores!K$5:K$44,R_Scores!K25),"")</f>
        <v/>
      </c>
      <c r="CQ25" s="1" t="str">
        <f aca="false">IF(AND(R_Scores!$B25=2,OR(R_Scores!$C25="Tool condition",R_Scores!$C25="Paper condition"),ISNUMBER(R_Scores!K25)),(COUNTIFS(R_Scores!$B$5:$B$44,2,R_Scores!$C$5:$C$44,"Tool condition",R_Scores!K$5:K$44,R_Scores!K25)+COUNTIFS(R_Scores!$B$5:$B$44,2,R_Scores!$C$5:$C$44,"Paper condition",R_Scores!K$5:K$44,R_Scores!K25))^2-1,"")</f>
        <v/>
      </c>
      <c r="CR25" s="1" t="str">
        <f aca="false">IF(ISNUMBER(R_Scores!K25),R_Scores!K25^2,"")</f>
        <v/>
      </c>
      <c r="CS25" s="1" t="str">
        <f aca="false">IF(AND(R_Scores!$B25=1,R_Scores!$C25="Tool condition",ISNUMBER(R_Scores!L25)),COUNTIFS(R_Scores!$B$5:$B$44,1,R_Scores!$C$5:$C$44,"Paper condition",R_Scores!L$5:L$44,"&lt;"&amp;R_Scores!L25)+0.5*COUNTIFS(R_Scores!$B$5:$B$44,1,R_Scores!$C$5:$C$44,"Paper condition",R_Scores!L$5:L$44,R_Scores!L25),"")</f>
        <v/>
      </c>
      <c r="CT25" s="1" t="str">
        <f aca="false">IF(AND(R_Scores!$B25=1,OR(R_Scores!$C25="Tool condition",R_Scores!$C25="Paper condition"),ISNUMBER(R_Scores!L25)),(COUNTIFS(R_Scores!$B$5:$B$44,1,R_Scores!$C$5:$C$44,"Tool condition",R_Scores!L$5:L$44,R_Scores!L25)+COUNTIFS(R_Scores!$B$5:$B$44,1,R_Scores!$C$5:$C$44,"Paper condition",R_Scores!L$5:L$44,R_Scores!L25))^2-1,"")</f>
        <v/>
      </c>
      <c r="CU25" s="1" t="str">
        <f aca="false">IF(AND(R_Scores!$B25=2,R_Scores!$C25="Tool condition",ISNUMBER(R_Scores!L25)),COUNTIFS(R_Scores!$B$5:$B$44,2,R_Scores!$C$5:$C$44,"Paper condition",R_Scores!L$5:L$44,"&lt;"&amp;R_Scores!L25)+0.5*COUNTIFS(R_Scores!$B$5:$B$44,2,R_Scores!$C$5:$C$44,"Paper condition",R_Scores!L$5:L$44,R_Scores!L25),"")</f>
        <v/>
      </c>
      <c r="CV25" s="1" t="str">
        <f aca="false">IF(AND(R_Scores!$B25=2,OR(R_Scores!$C25="Tool condition",R_Scores!$C25="Paper condition"),ISNUMBER(R_Scores!L25)),(COUNTIFS(R_Scores!$B$5:$B$44,2,R_Scores!$C$5:$C$44,"Tool condition",R_Scores!L$5:L$44,R_Scores!L25)+COUNTIFS(R_Scores!$B$5:$B$44,2,R_Scores!$C$5:$C$44,"Paper condition",R_Scores!L$5:L$44,R_Scores!L25))^2-1,"")</f>
        <v/>
      </c>
      <c r="CW25" s="1" t="str">
        <f aca="false">IF(ISNUMBER(R_Scores!L25),R_Scores!L25^2,"")</f>
        <v/>
      </c>
      <c r="CX25" s="1" t="str">
        <f aca="false">IF(AND(R_Scores!$B25=1,R_Scores!$C25="Tool condition",ISNUMBER(R_Scores!M25)),COUNTIFS(R_Scores!$B$5:$B$44,1,R_Scores!$C$5:$C$44,"Paper condition",R_Scores!M$5:M$44,"&lt;"&amp;R_Scores!M25)+0.5*COUNTIFS(R_Scores!$B$5:$B$44,1,R_Scores!$C$5:$C$44,"Paper condition",R_Scores!M$5:M$44,R_Scores!M25),"")</f>
        <v/>
      </c>
      <c r="CY25" s="1" t="str">
        <f aca="false">IF(AND(R_Scores!$B25=1,OR(R_Scores!$C25="Tool condition",R_Scores!$C25="Paper condition"),ISNUMBER(R_Scores!M25)),(COUNTIFS(R_Scores!$B$5:$B$44,1,R_Scores!$C$5:$C$44,"Tool condition",R_Scores!M$5:M$44,R_Scores!M25)+COUNTIFS(R_Scores!$B$5:$B$44,1,R_Scores!$C$5:$C$44,"Paper condition",R_Scores!M$5:M$44,R_Scores!M25))^2-1,"")</f>
        <v/>
      </c>
      <c r="CZ25" s="1" t="str">
        <f aca="false">IF(AND(R_Scores!$B25=2,R_Scores!$C25="Tool condition",ISNUMBER(R_Scores!M25)),COUNTIFS(R_Scores!$B$5:$B$44,2,R_Scores!$C$5:$C$44,"Paper condition",R_Scores!M$5:M$44,"&lt;"&amp;R_Scores!M25)+0.5*COUNTIFS(R_Scores!$B$5:$B$44,2,R_Scores!$C$5:$C$44,"Paper condition",R_Scores!M$5:M$44,R_Scores!M25),"")</f>
        <v/>
      </c>
      <c r="DA25" s="1" t="str">
        <f aca="false">IF(AND(R_Scores!$B25=2,OR(R_Scores!$C25="Tool condition",R_Scores!$C25="Paper condition"),ISNUMBER(R_Scores!M25)),(COUNTIFS(R_Scores!$B$5:$B$44,2,R_Scores!$C$5:$C$44,"Tool condition",R_Scores!M$5:M$44,R_Scores!M25)+COUNTIFS(R_Scores!$B$5:$B$44,2,R_Scores!$C$5:$C$44,"Paper condition",R_Scores!M$5:M$44,R_Scores!M25))^2-1,"")</f>
        <v/>
      </c>
      <c r="DB25" s="1" t="str">
        <f aca="false">IF(ISNUMBER(R_Scores!M25),R_Scores!M25^2,"")</f>
        <v/>
      </c>
      <c r="DC25" s="1" t="str">
        <f aca="false">IF(AND(R_Scores!$B25=1,R_Scores!$C25="Tool condition",ISNUMBER(R_Scores!N25)),COUNTIFS(R_Scores!$B$5:$B$44,1,R_Scores!$C$5:$C$44,"Paper condition",R_Scores!N$5:N$44,"&lt;"&amp;R_Scores!N25)+0.5*COUNTIFS(R_Scores!$B$5:$B$44,1,R_Scores!$C$5:$C$44,"Paper condition",R_Scores!N$5:N$44,R_Scores!N25),"")</f>
        <v/>
      </c>
      <c r="DD25" s="1" t="str">
        <f aca="false">IF(AND(R_Scores!$B25=1,OR(R_Scores!$C25="Tool condition",R_Scores!$C25="Paper condition"),ISNUMBER(R_Scores!N25)),(COUNTIFS(R_Scores!$B$5:$B$44,1,R_Scores!$C$5:$C$44,"Tool condition",R_Scores!N$5:N$44,R_Scores!N25)+COUNTIFS(R_Scores!$B$5:$B$44,1,R_Scores!$C$5:$C$44,"Paper condition",R_Scores!N$5:N$44,R_Scores!N25))^2-1,"")</f>
        <v/>
      </c>
      <c r="DE25" s="1" t="n">
        <f aca="false">IF(AND(R_Scores!$B25=2,R_Scores!$C25="Tool condition",ISNUMBER(R_Scores!N25)),COUNTIFS(R_Scores!$B$5:$B$44,2,R_Scores!$C$5:$C$44,"Paper condition",R_Scores!N$5:N$44,"&lt;"&amp;R_Scores!N25)+0.5*COUNTIFS(R_Scores!$B$5:$B$44,2,R_Scores!$C$5:$C$44,"Paper condition",R_Scores!N$5:N$44,R_Scores!N25),"")</f>
        <v>8</v>
      </c>
      <c r="DF25" s="1" t="n">
        <f aca="false">IF(AND(R_Scores!$B25=2,OR(R_Scores!$C25="Tool condition",R_Scores!$C25="Paper condition"),ISNUMBER(R_Scores!N25)),(COUNTIFS(R_Scores!$B$5:$B$44,2,R_Scores!$C$5:$C$44,"Tool condition",R_Scores!N$5:N$44,R_Scores!N25)+COUNTIFS(R_Scores!$B$5:$B$44,2,R_Scores!$C$5:$C$44,"Paper condition",R_Scores!N$5:N$44,R_Scores!N25))^2-1,"")</f>
        <v>143</v>
      </c>
      <c r="DG25" s="1" t="n">
        <f aca="false">IF(ISNUMBER(R_Scores!N25),R_Scores!N25^2,"")</f>
        <v>1</v>
      </c>
      <c r="DH25" s="1" t="str">
        <f aca="false">IF(AND(R_Scores!$B25=1,R_Scores!$C25="Tool condition",ISNUMBER(R_Scores!O25)),COUNTIFS(R_Scores!$B$5:$B$44,1,R_Scores!$C$5:$C$44,"Paper condition",R_Scores!O$5:O$44,"&lt;"&amp;R_Scores!O25)+0.5*COUNTIFS(R_Scores!$B$5:$B$44,1,R_Scores!$C$5:$C$44,"Paper condition",R_Scores!O$5:O$44,R_Scores!O25),"")</f>
        <v/>
      </c>
      <c r="DI25" s="1" t="str">
        <f aca="false">IF(AND(R_Scores!$B25=1,OR(R_Scores!$C25="Tool condition",R_Scores!$C25="Paper condition"),ISNUMBER(R_Scores!O25)),(COUNTIFS(R_Scores!$B$5:$B$44,1,R_Scores!$C$5:$C$44,"Tool condition",R_Scores!O$5:O$44,R_Scores!O25)+COUNTIFS(R_Scores!$B$5:$B$44,1,R_Scores!$C$5:$C$44,"Paper condition",R_Scores!O$5:O$44,R_Scores!O25))^2-1,"")</f>
        <v/>
      </c>
      <c r="DJ25" s="1" t="n">
        <f aca="false">IF(AND(R_Scores!$B25=2,R_Scores!$C25="Tool condition",ISNUMBER(R_Scores!O25)),COUNTIFS(R_Scores!$B$5:$B$44,2,R_Scores!$C$5:$C$44,"Paper condition",R_Scores!O$5:O$44,"&lt;"&amp;R_Scores!O25)+0.5*COUNTIFS(R_Scores!$B$5:$B$44,2,R_Scores!$C$5:$C$44,"Paper condition",R_Scores!O$5:O$44,R_Scores!O25),"")</f>
        <v>7</v>
      </c>
      <c r="DK25" s="1" t="n">
        <f aca="false">IF(AND(R_Scores!$B25=2,OR(R_Scores!$C25="Tool condition",R_Scores!$C25="Paper condition"),ISNUMBER(R_Scores!O25)),(COUNTIFS(R_Scores!$B$5:$B$44,2,R_Scores!$C$5:$C$44,"Tool condition",R_Scores!O$5:O$44,R_Scores!O25)+COUNTIFS(R_Scores!$B$5:$B$44,2,R_Scores!$C$5:$C$44,"Paper condition",R_Scores!O$5:O$44,R_Scores!O25))^2-1,"")</f>
        <v>168</v>
      </c>
      <c r="DL25" s="1" t="n">
        <f aca="false">IF(ISNUMBER(R_Scores!O25),R_Scores!O25^2,"")</f>
        <v>1</v>
      </c>
      <c r="DM25" s="1" t="str">
        <f aca="false">IF(AND(R_Scores!$B25=1,R_Scores!$C25="Tool condition",ISNUMBER(R_Scores!P25)),COUNTIFS(R_Scores!$B$5:$B$44,1,R_Scores!$C$5:$C$44,"Paper condition",R_Scores!P$5:P$44,"&lt;"&amp;R_Scores!P25)+0.5*COUNTIFS(R_Scores!$B$5:$B$44,1,R_Scores!$C$5:$C$44,"Paper condition",R_Scores!P$5:P$44,R_Scores!P25),"")</f>
        <v/>
      </c>
      <c r="DN25" s="1" t="str">
        <f aca="false">IF(AND(R_Scores!$B25=1,OR(R_Scores!$C25="Tool condition",R_Scores!$C25="Paper condition"),ISNUMBER(R_Scores!P25)),(COUNTIFS(R_Scores!$B$5:$B$44,1,R_Scores!$C$5:$C$44,"Tool condition",R_Scores!P$5:P$44,R_Scores!P25)+COUNTIFS(R_Scores!$B$5:$B$44,1,R_Scores!$C$5:$C$44,"Paper condition",R_Scores!P$5:P$44,R_Scores!P25))^2-1,"")</f>
        <v/>
      </c>
      <c r="DO25" s="1" t="n">
        <f aca="false">IF(AND(R_Scores!$B25=2,R_Scores!$C25="Tool condition",ISNUMBER(R_Scores!P25)),COUNTIFS(R_Scores!$B$5:$B$44,2,R_Scores!$C$5:$C$44,"Paper condition",R_Scores!P$5:P$44,"&lt;"&amp;R_Scores!P25)+0.5*COUNTIFS(R_Scores!$B$5:$B$44,2,R_Scores!$C$5:$C$44,"Paper condition",R_Scores!P$5:P$44,R_Scores!P25),"")</f>
        <v>9.5</v>
      </c>
      <c r="DP25" s="1" t="n">
        <f aca="false">IF(AND(R_Scores!$B25=2,OR(R_Scores!$C25="Tool condition",R_Scores!$C25="Paper condition"),ISNUMBER(R_Scores!P25)),(COUNTIFS(R_Scores!$B$5:$B$44,2,R_Scores!$C$5:$C$44,"Tool condition",R_Scores!P$5:P$44,R_Scores!P25)+COUNTIFS(R_Scores!$B$5:$B$44,2,R_Scores!$C$5:$C$44,"Paper condition",R_Scores!P$5:P$44,R_Scores!P25))^2-1,"")</f>
        <v>48</v>
      </c>
      <c r="DQ25" s="1" t="n">
        <f aca="false">IF(ISNUMBER(R_Scores!P25),R_Scores!P25^2,"")</f>
        <v>1</v>
      </c>
      <c r="DR25" s="1" t="str">
        <f aca="false">IF(AND(Scores!$B25=1,Scores!$C25="Tool condition",ISNUMBER(Scores!Q25)),COUNTIFS(Scores!$B$5:$B$44,1,Scores!$C$5:$C$44,"Paper condition",Scores!Q$5:Q$44,"&lt;"&amp;Scores!Q25)+0.5*COUNTIFS(Scores!$B$5:$B$44,1,Scores!$C$5:$C$44,"Paper condition",Scores!Q$5:Q$44,Scores!Q25),"")</f>
        <v/>
      </c>
      <c r="DS25" s="1" t="str">
        <f aca="false">IF(AND(Scores!$B25=1,OR(Scores!$C25="Tool condition",Scores!$C25="Paper condition"),ISNUMBER(Scores!Q25)),(COUNTIFS(Scores!$B$5:$B$44,1,Scores!$C$5:$C$44,"Tool condition",Scores!Q$5:Q$44,Scores!Q25)+COUNTIFS(Scores!$B$5:$B$44,1,Scores!$C$5:$C$44,"Paper condition",Scores!Q$5:Q$44,Scores!Q25))^2-1,"")</f>
        <v/>
      </c>
      <c r="DT25" s="1" t="n">
        <f aca="false">IF(AND(Scores!$B25=2,Scores!$C25="Tool condition",ISNUMBER(Scores!Q25)),COUNTIFS(Scores!$B$5:$B$44,2,Scores!$C$5:$C$44,"Paper condition",Scores!Q$5:Q$44,"&lt;"&amp;Scores!Q25)+0.5*COUNTIFS(Scores!$B$5:$B$44,2,Scores!$C$5:$C$44,"Paper condition",Scores!Q$5:Q$44,Scores!Q25),"")</f>
        <v>9</v>
      </c>
      <c r="DU25" s="1" t="n">
        <f aca="false">IF(AND(Scores!$B25=2,OR(Scores!$C25="Tool condition",Scores!$C25="Paper condition"),ISNUMBER(Scores!Q25)),(COUNTIFS(Scores!$B$5:$B$44,2,Scores!$C$5:$C$44,"Tool condition",Scores!Q$5:Q$44,Scores!Q25)+COUNTIFS(Scores!$B$5:$B$44,2,Scores!$C$5:$C$44,"Paper condition",Scores!Q$5:Q$44,Scores!Q25))^2-1,"")</f>
        <v>15</v>
      </c>
      <c r="DV25" s="1" t="n">
        <f aca="false">IF(ISNUMBER(Scores!Q25),Scores!Q25^2,"")</f>
        <v>324</v>
      </c>
      <c r="DW25" s="1" t="str">
        <f aca="false">IF(AND(Scores!$B25=1,Scores!$C25="Tool condition",ISNUMBER(Scores!R25)),COUNTIFS(Scores!$B$5:$B$44,1,Scores!$C$5:$C$44,"Paper condition",Scores!R$5:R$44,"&lt;"&amp;Scores!R25)+0.5*COUNTIFS(Scores!$B$5:$B$44,1,Scores!$C$5:$C$44,"Paper condition",Scores!R$5:R$44,Scores!R25),"")</f>
        <v/>
      </c>
      <c r="DX25" s="1" t="str">
        <f aca="false">IF(AND(Scores!$B25=1,OR(Scores!$C25="Tool condition",Scores!$C25="Paper condition"),ISNUMBER(Scores!R25)),(COUNTIFS(Scores!$B$5:$B$44,1,Scores!$C$5:$C$44,"Tool condition",Scores!R$5:R$44,Scores!R25)+COUNTIFS(Scores!$B$5:$B$44,1,Scores!$C$5:$C$44,"Paper condition",Scores!R$5:R$44,Scores!R25))^2-1,"")</f>
        <v/>
      </c>
      <c r="DY25" s="1" t="n">
        <f aca="false">IF(AND(Scores!$B25=2,Scores!$C25="Tool condition",ISNUMBER(Scores!R25)),COUNTIFS(Scores!$B$5:$B$44,2,Scores!$C$5:$C$44,"Paper condition",Scores!R$5:R$44,"&lt;"&amp;Scores!R25)+0.5*COUNTIFS(Scores!$B$5:$B$44,2,Scores!$C$5:$C$44,"Paper condition",Scores!R$5:R$44,Scores!R25),"")</f>
        <v>8.5</v>
      </c>
      <c r="DZ25" s="1" t="n">
        <f aca="false">IF(AND(Scores!$B25=2,OR(Scores!$C25="Tool condition",Scores!$C25="Paper condition"),ISNUMBER(Scores!R25)),(COUNTIFS(Scores!$B$5:$B$44,2,Scores!$C$5:$C$44,"Tool condition",Scores!R$5:R$44,Scores!R25)+COUNTIFS(Scores!$B$5:$B$44,2,Scores!$C$5:$C$44,"Paper condition",Scores!R$5:R$44,Scores!R25))^2-1,"")</f>
        <v>80</v>
      </c>
      <c r="EA25" s="1" t="n">
        <f aca="false">IF(ISNUMBER(Scores!R25),Scores!R25^2,"")</f>
        <v>100</v>
      </c>
      <c r="EB25" s="1" t="str">
        <f aca="false">IF(AND(Scores!$B25=1,Scores!$C25="Tool condition",ISNUMBER(Scores!S25)),COUNTIFS(Scores!$B$5:$B$44,1,Scores!$C$5:$C$44,"Paper condition",Scores!S$5:S$44,"&lt;"&amp;Scores!S25)+0.5*COUNTIFS(Scores!$B$5:$B$44,1,Scores!$C$5:$C$44,"Paper condition",Scores!S$5:S$44,Scores!S25),"")</f>
        <v/>
      </c>
      <c r="EC25" s="1" t="str">
        <f aca="false">IF(AND(Scores!$B25=1,OR(Scores!$C25="Tool condition",Scores!$C25="Paper condition"),ISNUMBER(Scores!S25)),(COUNTIFS(Scores!$B$5:$B$44,1,Scores!$C$5:$C$44,"Tool condition",Scores!S$5:S$44,Scores!S25)+COUNTIFS(Scores!$B$5:$B$44,1,Scores!$C$5:$C$44,"Paper condition",Scores!S$5:S$44,Scores!S25))^2-1,"")</f>
        <v/>
      </c>
      <c r="ED25" s="1" t="n">
        <f aca="false">IF(AND(Scores!$B25=2,Scores!$C25="Tool condition",ISNUMBER(Scores!S25)),COUNTIFS(Scores!$B$5:$B$44,2,Scores!$C$5:$C$44,"Paper condition",Scores!S$5:S$44,"&lt;"&amp;Scores!S25)+0.5*COUNTIFS(Scores!$B$5:$B$44,2,Scores!$C$5:$C$44,"Paper condition",Scores!S$5:S$44,Scores!S25),"")</f>
        <v>8</v>
      </c>
      <c r="EE25" s="1" t="n">
        <f aca="false">IF(AND(Scores!$B25=2,OR(Scores!$C25="Tool condition",Scores!$C25="Paper condition"),ISNUMBER(Scores!S25)),(COUNTIFS(Scores!$B$5:$B$44,2,Scores!$C$5:$C$44,"Tool condition",Scores!S$5:S$44,Scores!S25)+COUNTIFS(Scores!$B$5:$B$44,2,Scores!$C$5:$C$44,"Paper condition",Scores!S$5:S$44,Scores!S25))^2-1,"")</f>
        <v>63</v>
      </c>
      <c r="EF25" s="1" t="n">
        <f aca="false">IF(ISNUMBER(Scores!S25),Scores!S25^2,"")</f>
        <v>64</v>
      </c>
      <c r="EG25" s="1" t="str">
        <f aca="false">IF(AND(Scores!$B25=1,Scores!$C25="Tool condition",ISNUMBER(Scores!T25)),COUNTIFS(Scores!$B$5:$B$44,1,Scores!$C$5:$C$44,"Paper condition",Scores!T$5:T$44,"&lt;"&amp;Scores!T25)+0.5*COUNTIFS(Scores!$B$5:$B$44,1,Scores!$C$5:$C$44,"Paper condition",Scores!T$5:T$44,Scores!T25),"")</f>
        <v/>
      </c>
      <c r="EH25" s="1" t="str">
        <f aca="false">IF(AND(Scores!$B25=1,OR(Scores!$C25="Tool condition",Scores!$C25="Paper condition"),ISNUMBER(Scores!T25)),(COUNTIFS(Scores!$B$5:$B$44,1,Scores!$C$5:$C$44,"Tool condition",Scores!T$5:T$44,Scores!T25)+COUNTIFS(Scores!$B$5:$B$44,1,Scores!$C$5:$C$44,"Paper condition",Scores!T$5:T$44,Scores!T25))^2-1,"")</f>
        <v/>
      </c>
      <c r="EI25" s="1" t="n">
        <f aca="false">IF(AND(Scores!$B25=2,Scores!$C25="Tool condition",ISNUMBER(Scores!T25)),COUNTIFS(Scores!$B$5:$B$44,2,Scores!$C$5:$C$44,"Paper condition",Scores!T$5:T$44,"&lt;"&amp;Scores!T25)+0.5*COUNTIFS(Scores!$B$5:$B$44,2,Scores!$C$5:$C$44,"Paper condition",Scores!T$5:T$44,Scores!T25),"")</f>
        <v>6</v>
      </c>
      <c r="EJ25" s="1" t="n">
        <f aca="false">IF(AND(Scores!$B25=2,OR(Scores!$C25="Tool condition",Scores!$C25="Paper condition"),ISNUMBER(Scores!T25)),(COUNTIFS(Scores!$B$5:$B$44,2,Scores!$C$5:$C$44,"Tool condition",Scores!T$5:T$44,Scores!T25)+COUNTIFS(Scores!$B$5:$B$44,2,Scores!$C$5:$C$44,"Paper condition",Scores!T$5:T$44,Scores!T25))^2-1,"")</f>
        <v>80</v>
      </c>
      <c r="EK25" s="1" t="n">
        <f aca="false">IF(ISNUMBER(Scores!T25),Scores!T25^2,"")</f>
        <v>36</v>
      </c>
      <c r="EL25" s="1" t="str">
        <f aca="false">IF(AND(Scores!$B25=1,Scores!$C25="Tool condition",ISNUMBER(Scores!U25)),COUNTIFS(Scores!$B$5:$B$44,1,Scores!$C$5:$C$44,"Paper condition",Scores!U$5:U$44,"&lt;"&amp;Scores!U25)+0.5*COUNTIFS(Scores!$B$5:$B$44,1,Scores!$C$5:$C$44,"Paper condition",Scores!U$5:U$44,Scores!U25),"")</f>
        <v/>
      </c>
      <c r="EM25" s="1" t="str">
        <f aca="false">IF(AND(Scores!$B25=1,OR(Scores!$C25="Tool condition",Scores!$C25="Paper condition"),ISNUMBER(Scores!U25)),(COUNTIFS(Scores!$B$5:$B$44,1,Scores!$C$5:$C$44,"Tool condition",Scores!U$5:U$44,Scores!U25)+COUNTIFS(Scores!$B$5:$B$44,1,Scores!$C$5:$C$44,"Paper condition",Scores!U$5:U$44,Scores!U25))^2-1,"")</f>
        <v/>
      </c>
      <c r="EN25" s="1" t="n">
        <f aca="false">IF(AND(Scores!$B25=2,Scores!$C25="Tool condition",ISNUMBER(Scores!U25)),COUNTIFS(Scores!$B$5:$B$44,2,Scores!$C$5:$C$44,"Paper condition",Scores!U$5:U$44,"&lt;"&amp;Scores!U25)+0.5*COUNTIFS(Scores!$B$5:$B$44,2,Scores!$C$5:$C$44,"Paper condition",Scores!U$5:U$44,Scores!U25),"")</f>
        <v>9.5</v>
      </c>
      <c r="EO25" s="1" t="n">
        <f aca="false">IF(AND(Scores!$B25=2,OR(Scores!$C25="Tool condition",Scores!$C25="Paper condition"),ISNUMBER(Scores!U25)),(COUNTIFS(Scores!$B$5:$B$44,2,Scores!$C$5:$C$44,"Tool condition",Scores!U$5:U$44,Scores!U25)+COUNTIFS(Scores!$B$5:$B$44,2,Scores!$C$5:$C$44,"Paper condition",Scores!U$5:U$44,Scores!U25))^2-1,"")</f>
        <v>15</v>
      </c>
      <c r="EP25" s="1" t="n">
        <f aca="false">IF(ISNUMBER(Scores!U25),Scores!U25^2,"")</f>
        <v>25</v>
      </c>
      <c r="EQ25" s="1" t="str">
        <f aca="false">IF(AND(Scores!$B25=1,Scores!$C25="Tool condition",ISNUMBER(Scores!V25)),COUNTIFS(Scores!$B$5:$B$44,1,Scores!$C$5:$C$44,"Paper condition",Scores!V$5:V$44,"&lt;"&amp;Scores!V25)+0.5*COUNTIFS(Scores!$B$5:$B$44,1,Scores!$C$5:$C$44,"Paper condition",Scores!V$5:V$44,Scores!V25),"")</f>
        <v/>
      </c>
      <c r="ER25" s="1" t="str">
        <f aca="false">IF(AND(Scores!$B25=1,OR(Scores!$C25="Tool condition",Scores!$C25="Paper condition"),ISNUMBER(Scores!V25)),(COUNTIFS(Scores!$B$5:$B$44,1,Scores!$C$5:$C$44,"Tool condition",Scores!V$5:V$44,Scores!V25)+COUNTIFS(Scores!$B$5:$B$44,1,Scores!$C$5:$C$44,"Paper condition",Scores!V$5:V$44,Scores!V25))^2-1,"")</f>
        <v/>
      </c>
      <c r="ES25" s="1" t="n">
        <f aca="false">IF(AND(Scores!$B25=2,Scores!$C25="Tool condition",ISNUMBER(Scores!V25)),COUNTIFS(Scores!$B$5:$B$44,2,Scores!$C$5:$C$44,"Paper condition",Scores!V$5:V$44,"&lt;"&amp;Scores!V25)+0.5*COUNTIFS(Scores!$B$5:$B$44,2,Scores!$C$5:$C$44,"Paper condition",Scores!V$5:V$44,Scores!V25),"")</f>
        <v>8</v>
      </c>
      <c r="ET25" s="1" t="n">
        <f aca="false">IF(AND(Scores!$B25=2,OR(Scores!$C25="Tool condition",Scores!$C25="Paper condition"),ISNUMBER(Scores!V25)),(COUNTIFS(Scores!$B$5:$B$44,2,Scores!$C$5:$C$44,"Tool condition",Scores!V$5:V$44,Scores!V25)+COUNTIFS(Scores!$B$5:$B$44,2,Scores!$C$5:$C$44,"Paper condition",Scores!V$5:V$44,Scores!V25))^2-1,"")</f>
        <v>48</v>
      </c>
      <c r="EU25" s="1" t="n">
        <f aca="false">IF(ISNUMBER(Scores!V25),Scores!V25^2,"")</f>
        <v>49</v>
      </c>
      <c r="EV25" s="1" t="str">
        <f aca="false">IF(AND(R_Scores!$B25=1,R_Scores!$C25="Tool condition",ISNUMBER(R_Scores!Q25)),COUNTIFS(R_Scores!$B$5:$B$44,1,R_Scores!$C$5:$C$44,"Paper condition",R_Scores!Q$5:Q$44,"&lt;"&amp;R_Scores!Q25)+0.5*COUNTIFS(R_Scores!$B$5:$B$44,1,R_Scores!$C$5:$C$44,"Paper condition",R_Scores!Q$5:Q$44,R_Scores!Q25),"")</f>
        <v/>
      </c>
      <c r="EW25" s="1" t="str">
        <f aca="false">IF(AND(R_Scores!$B25=1,OR(R_Scores!$C25="Tool condition",R_Scores!$C25="Paper condition"),ISNUMBER(R_Scores!Q25)),(COUNTIFS(R_Scores!$B$5:$B$44,1,R_Scores!$C$5:$C$44,"Tool condition",R_Scores!Q$5:Q$44,R_Scores!Q25)+COUNTIFS(R_Scores!$B$5:$B$44,1,R_Scores!$C$5:$C$44,"Paper condition",R_Scores!Q$5:Q$44,R_Scores!Q25))^2-1,"")</f>
        <v/>
      </c>
      <c r="EX25" s="1" t="n">
        <f aca="false">IF(AND(R_Scores!$B25=2,R_Scores!$C25="Tool condition",ISNUMBER(R_Scores!Q25)),COUNTIFS(R_Scores!$B$5:$B$44,2,R_Scores!$C$5:$C$44,"Paper condition",R_Scores!Q$5:Q$44,"&lt;"&amp;R_Scores!Q25)+0.5*COUNTIFS(R_Scores!$B$5:$B$44,2,R_Scores!$C$5:$C$44,"Paper condition",R_Scores!Q$5:Q$44,R_Scores!Q25),"")</f>
        <v>10</v>
      </c>
      <c r="EY25" s="1" t="n">
        <f aca="false">IF(AND(R_Scores!$B25=2,OR(R_Scores!$C25="Tool condition",R_Scores!$C25="Paper condition"),ISNUMBER(R_Scores!Q25)),(COUNTIFS(R_Scores!$B$5:$B$44,2,R_Scores!$C$5:$C$44,"Tool condition",R_Scores!Q$5:Q$44,R_Scores!Q25)+COUNTIFS(R_Scores!$B$5:$B$44,2,R_Scores!$C$5:$C$44,"Paper condition",R_Scores!Q$5:Q$44,R_Scores!Q25))^2-1,"")</f>
        <v>0</v>
      </c>
      <c r="EZ25" s="1" t="n">
        <f aca="false">IF(ISNUMBER(R_Scores!Q25),R_Scores!Q25^2,"")</f>
        <v>49</v>
      </c>
      <c r="FA25" s="1" t="str">
        <f aca="false">IF(AND(R_Scores!$B25=1,R_Scores!$C25="Tool condition",ISNUMBER(R_Scores!R25)),COUNTIFS(R_Scores!$B$5:$B$44,1,R_Scores!$C$5:$C$44,"Paper condition",R_Scores!R$5:R$44,"&lt;"&amp;R_Scores!R25)+0.5*COUNTIFS(R_Scores!$B$5:$B$44,1,R_Scores!$C$5:$C$44,"Paper condition",R_Scores!R$5:R$44,R_Scores!R25),"")</f>
        <v/>
      </c>
      <c r="FB25" s="1" t="str">
        <f aca="false">IF(AND(R_Scores!$B25=1,OR(R_Scores!$C25="Tool condition",R_Scores!$C25="Paper condition"),ISNUMBER(R_Scores!R25)),(COUNTIFS(R_Scores!$B$5:$B$44,1,R_Scores!$C$5:$C$44,"Tool condition",R_Scores!R$5:R$44,R_Scores!R25)+COUNTIFS(R_Scores!$B$5:$B$44,1,R_Scores!$C$5:$C$44,"Paper condition",R_Scores!R$5:R$44,R_Scores!R25))^2-1,"")</f>
        <v/>
      </c>
      <c r="FC25" s="1" t="n">
        <f aca="false">IF(AND(R_Scores!$B25=2,R_Scores!$C25="Tool condition",ISNUMBER(R_Scores!R25)),COUNTIFS(R_Scores!$B$5:$B$44,2,R_Scores!$C$5:$C$44,"Paper condition",R_Scores!R$5:R$44,"&lt;"&amp;R_Scores!R25)+0.5*COUNTIFS(R_Scores!$B$5:$B$44,2,R_Scores!$C$5:$C$44,"Paper condition",R_Scores!R$5:R$44,R_Scores!R25),"")</f>
        <v>10</v>
      </c>
      <c r="FD25" s="1" t="n">
        <f aca="false">IF(AND(R_Scores!$B25=2,OR(R_Scores!$C25="Tool condition",R_Scores!$C25="Paper condition"),ISNUMBER(R_Scores!R25)),(COUNTIFS(R_Scores!$B$5:$B$44,2,R_Scores!$C$5:$C$44,"Tool condition",R_Scores!R$5:R$44,R_Scores!R25)+COUNTIFS(R_Scores!$B$5:$B$44,2,R_Scores!$C$5:$C$44,"Paper condition",R_Scores!R$5:R$44,R_Scores!R25))^2-1,"")</f>
        <v>0</v>
      </c>
      <c r="FE25" s="1" t="n">
        <f aca="false">IF(ISNUMBER(R_Scores!R25),R_Scores!R25^2,"")</f>
        <v>625</v>
      </c>
    </row>
    <row r="26" customFormat="false" ht="14.25" hidden="false" customHeight="true" outlineLevel="0" collapsed="false">
      <c r="B26" s="1" t="str">
        <f aca="false">IF(AND(Scores!$B26=1,Scores!$C26="Tool condition",ISNUMBER(Scores!E26)),COUNTIFS(Scores!$B$5:$B$44,1,Scores!$C$5:$C$44,"Paper condition",Scores!E$5:E$44,"&lt;"&amp;Scores!E26)+0.5*COUNTIFS(Scores!$B$5:$B$44,1,Scores!$C$5:$C$44,"Paper condition",Scores!E$5:E$44,Scores!E26),"")</f>
        <v/>
      </c>
      <c r="C26" s="1" t="str">
        <f aca="false">IF(AND(Scores!$B26=1,OR(Scores!$C26="Tool condition",Scores!$C26="Paper condition"),ISNUMBER(Scores!E26)),(COUNTIFS(Scores!$B$5:$B$44,1,Scores!$C$5:$C$44,"Tool condition",Scores!E$5:E$44,Scores!E26)+COUNTIFS(Scores!$B$5:$B$44,1,Scores!$C$5:$C$44,"Paper condition",Scores!E$5:E$44,Scores!E26))^2-1,"")</f>
        <v/>
      </c>
      <c r="D26" s="1" t="n">
        <f aca="false">IF(AND(Scores!$B26=2,Scores!$C26="Tool condition",ISNUMBER(Scores!E26)),COUNTIFS(Scores!$B$5:$B$44,2,Scores!$C$5:$C$44,"Paper condition",Scores!E$5:E$44,"&lt;"&amp;Scores!E26)+0.5*COUNTIFS(Scores!$B$5:$B$44,2,Scores!$C$5:$C$44,"Paper condition",Scores!E$5:E$44,Scores!E26),"")</f>
        <v>7.5</v>
      </c>
      <c r="E26" s="1" t="n">
        <f aca="false">IF(AND(Scores!$B26=2,OR(Scores!$C26="Tool condition",Scores!$C26="Paper condition"),ISNUMBER(Scores!E26)),(COUNTIFS(Scores!$B$5:$B$44,2,Scores!$C$5:$C$44,"Tool condition",Scores!E$5:E$44,Scores!E26)+COUNTIFS(Scores!$B$5:$B$44,2,Scores!$C$5:$C$44,"Paper condition",Scores!E$5:E$44,Scores!E26))^2-1,"")</f>
        <v>143</v>
      </c>
      <c r="F26" s="1" t="n">
        <f aca="false">IF(ISNUMBER(Scores!E26),Scores!E26^2,"")</f>
        <v>4</v>
      </c>
      <c r="G26" s="1" t="str">
        <f aca="false">IF(AND(Scores!$B26=1,Scores!$C26="Tool condition",ISNUMBER(Scores!F26)),COUNTIFS(Scores!$B$5:$B$44,1,Scores!$C$5:$C$44,"Paper condition",Scores!F$5:F$44,"&lt;"&amp;Scores!F26)+0.5*COUNTIFS(Scores!$B$5:$B$44,1,Scores!$C$5:$C$44,"Paper condition",Scores!F$5:F$44,Scores!F26),"")</f>
        <v/>
      </c>
      <c r="H26" s="1" t="str">
        <f aca="false">IF(AND(Scores!$B26=1,OR(Scores!$C26="Tool condition",Scores!$C26="Paper condition"),ISNUMBER(Scores!F26)),(COUNTIFS(Scores!$B$5:$B$44,1,Scores!$C$5:$C$44,"Tool condition",Scores!F$5:F$44,Scores!F26)+COUNTIFS(Scores!$B$5:$B$44,1,Scores!$C$5:$C$44,"Paper condition",Scores!F$5:F$44,Scores!F26))^2-1,"")</f>
        <v/>
      </c>
      <c r="I26" s="1" t="n">
        <f aca="false">IF(AND(Scores!$B26=2,Scores!$C26="Tool condition",ISNUMBER(Scores!F26)),COUNTIFS(Scores!$B$5:$B$44,2,Scores!$C$5:$C$44,"Paper condition",Scores!F$5:F$44,"&lt;"&amp;Scores!F26)+0.5*COUNTIFS(Scores!$B$5:$B$44,2,Scores!$C$5:$C$44,"Paper condition",Scores!F$5:F$44,Scores!F26),"")</f>
        <v>3.5</v>
      </c>
      <c r="J26" s="1" t="n">
        <f aca="false">IF(AND(Scores!$B26=2,OR(Scores!$C26="Tool condition",Scores!$C26="Paper condition"),ISNUMBER(Scores!F26)),(COUNTIFS(Scores!$B$5:$B$44,2,Scores!$C$5:$C$44,"Tool condition",Scores!F$5:F$44,Scores!F26)+COUNTIFS(Scores!$B$5:$B$44,2,Scores!$C$5:$C$44,"Paper condition",Scores!F$5:F$44,Scores!F26))^2-1,"")</f>
        <v>63</v>
      </c>
      <c r="K26" s="1" t="n">
        <f aca="false">IF(ISNUMBER(Scores!F26),Scores!F26^2,"")</f>
        <v>1</v>
      </c>
      <c r="L26" s="1" t="str">
        <f aca="false">IF(AND(Scores!$B26=1,Scores!$C26="Tool condition",ISNUMBER(Scores!G26)),COUNTIFS(Scores!$B$5:$B$44,1,Scores!$C$5:$C$44,"Paper condition",Scores!G$5:G$44,"&lt;"&amp;Scores!G26)+0.5*COUNTIFS(Scores!$B$5:$B$44,1,Scores!$C$5:$C$44,"Paper condition",Scores!G$5:G$44,Scores!G26),"")</f>
        <v/>
      </c>
      <c r="M26" s="1" t="str">
        <f aca="false">IF(AND(Scores!$B26=1,OR(Scores!$C26="Tool condition",Scores!$C26="Paper condition"),ISNUMBER(Scores!G26)),(COUNTIFS(Scores!$B$5:$B$44,1,Scores!$C$5:$C$44,"Tool condition",Scores!G$5:G$44,Scores!G26)+COUNTIFS(Scores!$B$5:$B$44,1,Scores!$C$5:$C$44,"Paper condition",Scores!G$5:G$44,Scores!G26))^2-1,"")</f>
        <v/>
      </c>
      <c r="N26" s="1" t="n">
        <f aca="false">IF(AND(Scores!$B26=2,Scores!$C26="Tool condition",ISNUMBER(Scores!G26)),COUNTIFS(Scores!$B$5:$B$44,2,Scores!$C$5:$C$44,"Paper condition",Scores!G$5:G$44,"&lt;"&amp;Scores!G26)+0.5*COUNTIFS(Scores!$B$5:$B$44,2,Scores!$C$5:$C$44,"Paper condition",Scores!G$5:G$44,Scores!G26),"")</f>
        <v>7</v>
      </c>
      <c r="O26" s="1" t="n">
        <f aca="false">IF(AND(Scores!$B26=2,OR(Scores!$C26="Tool condition",Scores!$C26="Paper condition"),ISNUMBER(Scores!G26)),(COUNTIFS(Scores!$B$5:$B$44,2,Scores!$C$5:$C$44,"Tool condition",Scores!G$5:G$44,Scores!G26)+COUNTIFS(Scores!$B$5:$B$44,2,Scores!$C$5:$C$44,"Paper condition",Scores!G$5:G$44,Scores!G26))^2-1,"")</f>
        <v>195</v>
      </c>
      <c r="P26" s="1" t="n">
        <f aca="false">IF(ISNUMBER(Scores!G26),Scores!G26^2,"")</f>
        <v>4</v>
      </c>
      <c r="Q26" s="1" t="str">
        <f aca="false">IF(AND(Scores!$B26=1,Scores!$C26="Tool condition",ISNUMBER(Scores!H26)),COUNTIFS(Scores!$B$5:$B$44,1,Scores!$C$5:$C$44,"Paper condition",Scores!H$5:H$44,"&lt;"&amp;Scores!H26)+0.5*COUNTIFS(Scores!$B$5:$B$44,1,Scores!$C$5:$C$44,"Paper condition",Scores!H$5:H$44,Scores!H26),"")</f>
        <v/>
      </c>
      <c r="R26" s="1" t="str">
        <f aca="false">IF(AND(Scores!$B26=1,OR(Scores!$C26="Tool condition",Scores!$C26="Paper condition"),ISNUMBER(Scores!H26)),(COUNTIFS(Scores!$B$5:$B$44,1,Scores!$C$5:$C$44,"Tool condition",Scores!H$5:H$44,Scores!H26)+COUNTIFS(Scores!$B$5:$B$44,1,Scores!$C$5:$C$44,"Paper condition",Scores!H$5:H$44,Scores!H26))^2-1,"")</f>
        <v/>
      </c>
      <c r="S26" s="1" t="n">
        <f aca="false">IF(AND(Scores!$B26=2,Scores!$C26="Tool condition",ISNUMBER(Scores!H26)),COUNTIFS(Scores!$B$5:$B$44,2,Scores!$C$5:$C$44,"Paper condition",Scores!H$5:H$44,"&lt;"&amp;Scores!H26)+0.5*COUNTIFS(Scores!$B$5:$B$44,2,Scores!$C$5:$C$44,"Paper condition",Scores!H$5:H$44,Scores!H26),"")</f>
        <v>8</v>
      </c>
      <c r="T26" s="1" t="n">
        <f aca="false">IF(AND(Scores!$B26=2,OR(Scores!$C26="Tool condition",Scores!$C26="Paper condition"),ISNUMBER(Scores!H26)),(COUNTIFS(Scores!$B$5:$B$44,2,Scores!$C$5:$C$44,"Tool condition",Scores!H$5:H$44,Scores!H26)+COUNTIFS(Scores!$B$5:$B$44,2,Scores!$C$5:$C$44,"Paper condition",Scores!H$5:H$44,Scores!H26))^2-1,"")</f>
        <v>99</v>
      </c>
      <c r="U26" s="1" t="n">
        <f aca="false">IF(ISNUMBER(Scores!H26),Scores!H26^2,"")</f>
        <v>4</v>
      </c>
      <c r="V26" s="1" t="str">
        <f aca="false">IF(AND(Scores!$B26=1,Scores!$C26="Tool condition",ISNUMBER(Scores!I26)),COUNTIFS(Scores!$B$5:$B$44,1,Scores!$C$5:$C$44,"Paper condition",Scores!I$5:I$44,"&lt;"&amp;Scores!I26)+0.5*COUNTIFS(Scores!$B$5:$B$44,1,Scores!$C$5:$C$44,"Paper condition",Scores!I$5:I$44,Scores!I26),"")</f>
        <v/>
      </c>
      <c r="W26" s="1" t="str">
        <f aca="false">IF(AND(Scores!$B26=1,OR(Scores!$C26="Tool condition",Scores!$C26="Paper condition"),ISNUMBER(Scores!I26)),(COUNTIFS(Scores!$B$5:$B$44,1,Scores!$C$5:$C$44,"Tool condition",Scores!I$5:I$44,Scores!I26)+COUNTIFS(Scores!$B$5:$B$44,1,Scores!$C$5:$C$44,"Paper condition",Scores!I$5:I$44,Scores!I26))^2-1,"")</f>
        <v/>
      </c>
      <c r="X26" s="1" t="n">
        <f aca="false">IF(AND(Scores!$B26=2,Scores!$C26="Tool condition",ISNUMBER(Scores!I26)),COUNTIFS(Scores!$B$5:$B$44,2,Scores!$C$5:$C$44,"Paper condition",Scores!I$5:I$44,"&lt;"&amp;Scores!I26)+0.5*COUNTIFS(Scores!$B$5:$B$44,2,Scores!$C$5:$C$44,"Paper condition",Scores!I$5:I$44,Scores!I26),"")</f>
        <v>4</v>
      </c>
      <c r="Y26" s="1" t="n">
        <f aca="false">IF(AND(Scores!$B26=2,OR(Scores!$C26="Tool condition",Scores!$C26="Paper condition"),ISNUMBER(Scores!I26)),(COUNTIFS(Scores!$B$5:$B$44,2,Scores!$C$5:$C$44,"Tool condition",Scores!I$5:I$44,Scores!I26)+COUNTIFS(Scores!$B$5:$B$44,2,Scores!$C$5:$C$44,"Paper condition",Scores!I$5:I$44,Scores!I26))^2-1,"")</f>
        <v>80</v>
      </c>
      <c r="Z26" s="1" t="n">
        <f aca="false">IF(ISNUMBER(Scores!I26),Scores!I26^2,"")</f>
        <v>1</v>
      </c>
      <c r="AA26" s="1" t="str">
        <f aca="false">IF(AND(Scores!$B26=1,Scores!$C26="Tool condition",ISNUMBER(Scores!J26)),COUNTIFS(Scores!$B$5:$B$44,1,Scores!$C$5:$C$44,"Paper condition",Scores!J$5:J$44,"&lt;"&amp;Scores!J26)+0.5*COUNTIFS(Scores!$B$5:$B$44,1,Scores!$C$5:$C$44,"Paper condition",Scores!J$5:J$44,Scores!J26),"")</f>
        <v/>
      </c>
      <c r="AB26" s="1" t="str">
        <f aca="false">IF(AND(Scores!$B26=1,OR(Scores!$C26="Tool condition",Scores!$C26="Paper condition"),ISNUMBER(Scores!J26)),(COUNTIFS(Scores!$B$5:$B$44,1,Scores!$C$5:$C$44,"Tool condition",Scores!J$5:J$44,Scores!J26)+COUNTIFS(Scores!$B$5:$B$44,1,Scores!$C$5:$C$44,"Paper condition",Scores!J$5:J$44,Scores!J26))^2-1,"")</f>
        <v/>
      </c>
      <c r="AC26" s="1" t="n">
        <f aca="false">IF(AND(Scores!$B26=2,Scores!$C26="Tool condition",ISNUMBER(Scores!J26)),COUNTIFS(Scores!$B$5:$B$44,2,Scores!$C$5:$C$44,"Paper condition",Scores!J$5:J$44,"&lt;"&amp;Scores!J26)+0.5*COUNTIFS(Scores!$B$5:$B$44,2,Scores!$C$5:$C$44,"Paper condition",Scores!J$5:J$44,Scores!J26),"")</f>
        <v>7.5</v>
      </c>
      <c r="AD26" s="1" t="n">
        <f aca="false">IF(AND(Scores!$B26=2,OR(Scores!$C26="Tool condition",Scores!$C26="Paper condition"),ISNUMBER(Scores!J26)),(COUNTIFS(Scores!$B$5:$B$44,2,Scores!$C$5:$C$44,"Tool condition",Scores!J$5:J$44,Scores!J26)+COUNTIFS(Scores!$B$5:$B$44,2,Scores!$C$5:$C$44,"Paper condition",Scores!J$5:J$44,Scores!J26))^2-1,"")</f>
        <v>120</v>
      </c>
      <c r="AE26" s="1" t="n">
        <f aca="false">IF(ISNUMBER(Scores!J26),Scores!J26^2,"")</f>
        <v>4</v>
      </c>
      <c r="AF26" s="1" t="str">
        <f aca="false">IF(AND(Scores!$B26=1,Scores!$C26="Tool condition",ISNUMBER(Scores!K26)),COUNTIFS(Scores!$B$5:$B$44,1,Scores!$C$5:$C$44,"Paper condition",Scores!K$5:K$44,"&lt;"&amp;Scores!K26)+0.5*COUNTIFS(Scores!$B$5:$B$44,1,Scores!$C$5:$C$44,"Paper condition",Scores!K$5:K$44,Scores!K26),"")</f>
        <v/>
      </c>
      <c r="AG26" s="1" t="str">
        <f aca="false">IF(AND(Scores!$B26=1,OR(Scores!$C26="Tool condition",Scores!$C26="Paper condition"),ISNUMBER(Scores!K26)),(COUNTIFS(Scores!$B$5:$B$44,1,Scores!$C$5:$C$44,"Tool condition",Scores!K$5:K$44,Scores!K26)+COUNTIFS(Scores!$B$5:$B$44,1,Scores!$C$5:$C$44,"Paper condition",Scores!K$5:K$44,Scores!K26))^2-1,"")</f>
        <v/>
      </c>
      <c r="AH26" s="1" t="n">
        <f aca="false">IF(AND(Scores!$B26=2,Scores!$C26="Tool condition",ISNUMBER(Scores!K26)),COUNTIFS(Scores!$B$5:$B$44,2,Scores!$C$5:$C$44,"Paper condition",Scores!K$5:K$44,"&lt;"&amp;Scores!K26)+0.5*COUNTIFS(Scores!$B$5:$B$44,2,Scores!$C$5:$C$44,"Paper condition",Scores!K$5:K$44,Scores!K26),"")</f>
        <v>8.5</v>
      </c>
      <c r="AI26" s="1" t="n">
        <f aca="false">IF(AND(Scores!$B26=2,OR(Scores!$C26="Tool condition",Scores!$C26="Paper condition"),ISNUMBER(Scores!K26)),(COUNTIFS(Scores!$B$5:$B$44,2,Scores!$C$5:$C$44,"Tool condition",Scores!K$5:K$44,Scores!K26)+COUNTIFS(Scores!$B$5:$B$44,2,Scores!$C$5:$C$44,"Paper condition",Scores!K$5:K$44,Scores!K26))^2-1,"")</f>
        <v>80</v>
      </c>
      <c r="AJ26" s="1" t="n">
        <f aca="false">IF(ISNUMBER(Scores!K26),Scores!K26^2,"")</f>
        <v>4</v>
      </c>
      <c r="AK26" s="1" t="str">
        <f aca="false">IF(AND(Scores!$B26=1,Scores!$C26="Tool condition",ISNUMBER(Scores!L26)),COUNTIFS(Scores!$B$5:$B$44,1,Scores!$C$5:$C$44,"Paper condition",Scores!L$5:L$44,"&lt;"&amp;Scores!L26)+0.5*COUNTIFS(Scores!$B$5:$B$44,1,Scores!$C$5:$C$44,"Paper condition",Scores!L$5:L$44,Scores!L26),"")</f>
        <v/>
      </c>
      <c r="AL26" s="1" t="str">
        <f aca="false">IF(AND(Scores!$B26=1,OR(Scores!$C26="Tool condition",Scores!$C26="Paper condition"),ISNUMBER(Scores!L26)),(COUNTIFS(Scores!$B$5:$B$44,1,Scores!$C$5:$C$44,"Tool condition",Scores!L$5:L$44,Scores!L26)+COUNTIFS(Scores!$B$5:$B$44,1,Scores!$C$5:$C$44,"Paper condition",Scores!L$5:L$44,Scores!L26))^2-1,"")</f>
        <v/>
      </c>
      <c r="AM26" s="1" t="n">
        <f aca="false">IF(AND(Scores!$B26=2,Scores!$C26="Tool condition",ISNUMBER(Scores!L26)),COUNTIFS(Scores!$B$5:$B$44,2,Scores!$C$5:$C$44,"Paper condition",Scores!L$5:L$44,"&lt;"&amp;Scores!L26)+0.5*COUNTIFS(Scores!$B$5:$B$44,2,Scores!$C$5:$C$44,"Paper condition",Scores!L$5:L$44,Scores!L26),"")</f>
        <v>2.5</v>
      </c>
      <c r="AN26" s="1" t="n">
        <f aca="false">IF(AND(Scores!$B26=2,OR(Scores!$C26="Tool condition",Scores!$C26="Paper condition"),ISNUMBER(Scores!L26)),(COUNTIFS(Scores!$B$5:$B$44,2,Scores!$C$5:$C$44,"Tool condition",Scores!L$5:L$44,Scores!L26)+COUNTIFS(Scores!$B$5:$B$44,2,Scores!$C$5:$C$44,"Paper condition",Scores!L$5:L$44,Scores!L26))^2-1,"")</f>
        <v>99</v>
      </c>
      <c r="AO26" s="1" t="n">
        <f aca="false">IF(ISNUMBER(Scores!L26),Scores!L26^2,"")</f>
        <v>1</v>
      </c>
      <c r="AP26" s="1" t="str">
        <f aca="false">IF(AND(Scores!$B26=1,Scores!$C26="Tool condition",ISNUMBER(Scores!M26)),COUNTIFS(Scores!$B$5:$B$44,1,Scores!$C$5:$C$44,"Paper condition",Scores!M$5:M$44,"&lt;"&amp;Scores!M26)+0.5*COUNTIFS(Scores!$B$5:$B$44,1,Scores!$C$5:$C$44,"Paper condition",Scores!M$5:M$44,Scores!M26),"")</f>
        <v/>
      </c>
      <c r="AQ26" s="1" t="str">
        <f aca="false">IF(AND(Scores!$B26=1,OR(Scores!$C26="Tool condition",Scores!$C26="Paper condition"),ISNUMBER(Scores!M26)),(COUNTIFS(Scores!$B$5:$B$44,1,Scores!$C$5:$C$44,"Tool condition",Scores!M$5:M$44,Scores!M26)+COUNTIFS(Scores!$B$5:$B$44,1,Scores!$C$5:$C$44,"Paper condition",Scores!M$5:M$44,Scores!M26))^2-1,"")</f>
        <v/>
      </c>
      <c r="AR26" s="1" t="n">
        <f aca="false">IF(AND(Scores!$B26=2,Scores!$C26="Tool condition",ISNUMBER(Scores!M26)),COUNTIFS(Scores!$B$5:$B$44,2,Scores!$C$5:$C$44,"Paper condition",Scores!M$5:M$44,"&lt;"&amp;Scores!M26)+0.5*COUNTIFS(Scores!$B$5:$B$44,2,Scores!$C$5:$C$44,"Paper condition",Scores!M$5:M$44,Scores!M26),"")</f>
        <v>8</v>
      </c>
      <c r="AS26" s="1" t="n">
        <f aca="false">IF(AND(Scores!$B26=2,OR(Scores!$C26="Tool condition",Scores!$C26="Paper condition"),ISNUMBER(Scores!M26)),(COUNTIFS(Scores!$B$5:$B$44,2,Scores!$C$5:$C$44,"Tool condition",Scores!M$5:M$44,Scores!M26)+COUNTIFS(Scores!$B$5:$B$44,2,Scores!$C$5:$C$44,"Paper condition",Scores!M$5:M$44,Scores!M26))^2-1,"")</f>
        <v>63</v>
      </c>
      <c r="AT26" s="1" t="n">
        <f aca="false">IF(ISNUMBER(Scores!M26),Scores!M26^2,"")</f>
        <v>4</v>
      </c>
      <c r="AU26" s="1" t="str">
        <f aca="false">IF(AND(Scores!$B26=1,Scores!$C26="Tool condition",ISNUMBER(Scores!N26)),COUNTIFS(Scores!$B$5:$B$44,1,Scores!$C$5:$C$44,"Paper condition",Scores!N$5:N$44,"&lt;"&amp;Scores!N26)+0.5*COUNTIFS(Scores!$B$5:$B$44,1,Scores!$C$5:$C$44,"Paper condition",Scores!N$5:N$44,Scores!N26),"")</f>
        <v/>
      </c>
      <c r="AV26" s="1" t="str">
        <f aca="false">IF(AND(Scores!$B26=1,OR(Scores!$C26="Tool condition",Scores!$C26="Paper condition"),ISNUMBER(Scores!N26)),(COUNTIFS(Scores!$B$5:$B$44,1,Scores!$C$5:$C$44,"Tool condition",Scores!N$5:N$44,Scores!N26)+COUNTIFS(Scores!$B$5:$B$44,1,Scores!$C$5:$C$44,"Paper condition",Scores!N$5:N$44,Scores!N26))^2-1,"")</f>
        <v/>
      </c>
      <c r="AW26" s="1" t="n">
        <f aca="false">IF(AND(Scores!$B26=2,Scores!$C26="Tool condition",ISNUMBER(Scores!N26)),COUNTIFS(Scores!$B$5:$B$44,2,Scores!$C$5:$C$44,"Paper condition",Scores!N$5:N$44,"&lt;"&amp;Scores!N26)+0.5*COUNTIFS(Scores!$B$5:$B$44,2,Scores!$C$5:$C$44,"Paper condition",Scores!N$5:N$44,Scores!N26),"")</f>
        <v>4.5</v>
      </c>
      <c r="AX26" s="1" t="n">
        <f aca="false">IF(AND(Scores!$B26=2,OR(Scores!$C26="Tool condition",Scores!$C26="Paper condition"),ISNUMBER(Scores!N26)),(COUNTIFS(Scores!$B$5:$B$44,2,Scores!$C$5:$C$44,"Tool condition",Scores!N$5:N$44,Scores!N26)+COUNTIFS(Scores!$B$5:$B$44,2,Scores!$C$5:$C$44,"Paper condition",Scores!N$5:N$44,Scores!N26))^2-1,"")</f>
        <v>80</v>
      </c>
      <c r="AY26" s="1" t="n">
        <f aca="false">IF(ISNUMBER(Scores!N26),Scores!N26^2,"")</f>
        <v>1</v>
      </c>
      <c r="AZ26" s="1" t="str">
        <f aca="false">IF(AND(Scores!$B26=1,Scores!$C26="Tool condition",ISNUMBER(Scores!O26)),COUNTIFS(Scores!$B$5:$B$44,1,Scores!$C$5:$C$44,"Paper condition",Scores!O$5:O$44,"&lt;"&amp;Scores!O26)+0.5*COUNTIFS(Scores!$B$5:$B$44,1,Scores!$C$5:$C$44,"Paper condition",Scores!O$5:O$44,Scores!O26),"")</f>
        <v/>
      </c>
      <c r="BA26" s="1" t="str">
        <f aca="false">IF(AND(Scores!$B26=1,OR(Scores!$C26="Tool condition",Scores!$C26="Paper condition"),ISNUMBER(Scores!O26)),(COUNTIFS(Scores!$B$5:$B$44,1,Scores!$C$5:$C$44,"Tool condition",Scores!O$5:O$44,Scores!O26)+COUNTIFS(Scores!$B$5:$B$44,1,Scores!$C$5:$C$44,"Paper condition",Scores!O$5:O$44,Scores!O26))^2-1,"")</f>
        <v/>
      </c>
      <c r="BB26" s="1" t="n">
        <f aca="false">IF(AND(Scores!$B26=2,Scores!$C26="Tool condition",ISNUMBER(Scores!O26)),COUNTIFS(Scores!$B$5:$B$44,2,Scores!$C$5:$C$44,"Paper condition",Scores!O$5:O$44,"&lt;"&amp;Scores!O26)+0.5*COUNTIFS(Scores!$B$5:$B$44,2,Scores!$C$5:$C$44,"Paper condition",Scores!O$5:O$44,Scores!O26),"")</f>
        <v>10</v>
      </c>
      <c r="BC26" s="1" t="n">
        <f aca="false">IF(AND(Scores!$B26=2,OR(Scores!$C26="Tool condition",Scores!$C26="Paper condition"),ISNUMBER(Scores!O26)),(COUNTIFS(Scores!$B$5:$B$44,2,Scores!$C$5:$C$44,"Tool condition",Scores!O$5:O$44,Scores!O26)+COUNTIFS(Scores!$B$5:$B$44,2,Scores!$C$5:$C$44,"Paper condition",Scores!O$5:O$44,Scores!O26))^2-1,"")</f>
        <v>15</v>
      </c>
      <c r="BD26" s="1" t="n">
        <f aca="false">IF(ISNUMBER(Scores!O26),Scores!O26^2,"")</f>
        <v>4</v>
      </c>
      <c r="BE26" s="1" t="str">
        <f aca="false">IF(AND(Scores!$B26=1,Scores!$C26="Tool condition",ISNUMBER(Scores!P26)),COUNTIFS(Scores!$B$5:$B$44,1,Scores!$C$5:$C$44,"Paper condition",Scores!P$5:P$44,"&lt;"&amp;Scores!P26)+0.5*COUNTIFS(Scores!$B$5:$B$44,1,Scores!$C$5:$C$44,"Paper condition",Scores!P$5:P$44,Scores!P26),"")</f>
        <v/>
      </c>
      <c r="BF26" s="1" t="str">
        <f aca="false">IF(AND(Scores!$B26=1,OR(Scores!$C26="Tool condition",Scores!$C26="Paper condition"),ISNUMBER(Scores!P26)),(COUNTIFS(Scores!$B$5:$B$44,1,Scores!$C$5:$C$44,"Tool condition",Scores!P$5:P$44,Scores!P26)+COUNTIFS(Scores!$B$5:$B$44,1,Scores!$C$5:$C$44,"Paper condition",Scores!P$5:P$44,Scores!P26))^2-1,"")</f>
        <v/>
      </c>
      <c r="BG26" s="1" t="n">
        <f aca="false">IF(AND(Scores!$B26=2,Scores!$C26="Tool condition",ISNUMBER(Scores!P26)),COUNTIFS(Scores!$B$5:$B$44,2,Scores!$C$5:$C$44,"Paper condition",Scores!P$5:P$44,"&lt;"&amp;Scores!P26)+0.5*COUNTIFS(Scores!$B$5:$B$44,2,Scores!$C$5:$C$44,"Paper condition",Scores!P$5:P$44,Scores!P26),"")</f>
        <v>7.5</v>
      </c>
      <c r="BH26" s="1" t="n">
        <f aca="false">IF(AND(Scores!$B26=2,OR(Scores!$C26="Tool condition",Scores!$C26="Paper condition"),ISNUMBER(Scores!P26)),(COUNTIFS(Scores!$B$5:$B$44,2,Scores!$C$5:$C$44,"Tool condition",Scores!P$5:P$44,Scores!P26)+COUNTIFS(Scores!$B$5:$B$44,2,Scores!$C$5:$C$44,"Paper condition",Scores!P$5:P$44,Scores!P26))^2-1,"")</f>
        <v>143</v>
      </c>
      <c r="BI26" s="1" t="n">
        <f aca="false">IF(ISNUMBER(Scores!P26),Scores!P26^2,"")</f>
        <v>1</v>
      </c>
      <c r="BJ26" s="1" t="str">
        <f aca="false">IF(AND(R_Scores!$B26=1,R_Scores!$C26="Tool condition",ISNUMBER(R_Scores!E26)),COUNTIFS(R_Scores!$B$5:$B$44,1,R_Scores!$C$5:$C$44,"Paper condition",R_Scores!E$5:E$44,"&lt;"&amp;R_Scores!E26)+0.5*COUNTIFS(R_Scores!$B$5:$B$44,1,R_Scores!$C$5:$C$44,"Paper condition",R_Scores!E$5:E$44,R_Scores!E26),"")</f>
        <v/>
      </c>
      <c r="BK26" s="1" t="str">
        <f aca="false">IF(AND(R_Scores!$B26=1,OR(R_Scores!$C26="Tool condition",R_Scores!$C26="Paper condition"),ISNUMBER(R_Scores!E26)),(COUNTIFS(R_Scores!$B$5:$B$44,1,R_Scores!$C$5:$C$44,"Tool condition",R_Scores!E$5:E$44,R_Scores!E26)+COUNTIFS(R_Scores!$B$5:$B$44,1,R_Scores!$C$5:$C$44,"Paper condition",R_Scores!E$5:E$44,R_Scores!E26))^2-1,"")</f>
        <v/>
      </c>
      <c r="BL26" s="1" t="n">
        <f aca="false">IF(AND(R_Scores!$B26=2,R_Scores!$C26="Tool condition",ISNUMBER(R_Scores!E26)),COUNTIFS(R_Scores!$B$5:$B$44,2,R_Scores!$C$5:$C$44,"Paper condition",R_Scores!E$5:E$44,"&lt;"&amp;R_Scores!E26)+0.5*COUNTIFS(R_Scores!$B$5:$B$44,2,R_Scores!$C$5:$C$44,"Paper condition",R_Scores!E$5:E$44,R_Scores!E26),"")</f>
        <v>6.5</v>
      </c>
      <c r="BM26" s="1" t="n">
        <f aca="false">IF(AND(R_Scores!$B26=2,OR(R_Scores!$C26="Tool condition",R_Scores!$C26="Paper condition"),ISNUMBER(R_Scores!E26)),(COUNTIFS(R_Scores!$B$5:$B$44,2,R_Scores!$C$5:$C$44,"Tool condition",R_Scores!E$5:E$44,R_Scores!E26)+COUNTIFS(R_Scores!$B$5:$B$44,2,R_Scores!$C$5:$C$44,"Paper condition",R_Scores!E$5:E$44,R_Scores!E26))^2-1,"")</f>
        <v>224</v>
      </c>
      <c r="BN26" s="1" t="n">
        <f aca="false">IF(ISNUMBER(R_Scores!E26),R_Scores!E26^2,"")</f>
        <v>1</v>
      </c>
      <c r="BO26" s="1" t="str">
        <f aca="false">IF(AND(R_Scores!$B26=1,R_Scores!$C26="Tool condition",ISNUMBER(R_Scores!F26)),COUNTIFS(R_Scores!$B$5:$B$44,1,R_Scores!$C$5:$C$44,"Paper condition",R_Scores!F$5:F$44,"&lt;"&amp;R_Scores!F26)+0.5*COUNTIFS(R_Scores!$B$5:$B$44,1,R_Scores!$C$5:$C$44,"Paper condition",R_Scores!F$5:F$44,R_Scores!F26),"")</f>
        <v/>
      </c>
      <c r="BP26" s="1" t="str">
        <f aca="false">IF(AND(R_Scores!$B26=1,OR(R_Scores!$C26="Tool condition",R_Scores!$C26="Paper condition"),ISNUMBER(R_Scores!F26)),(COUNTIFS(R_Scores!$B$5:$B$44,1,R_Scores!$C$5:$C$44,"Tool condition",R_Scores!F$5:F$44,R_Scores!F26)+COUNTIFS(R_Scores!$B$5:$B$44,1,R_Scores!$C$5:$C$44,"Paper condition",R_Scores!F$5:F$44,R_Scores!F26))^2-1,"")</f>
        <v/>
      </c>
      <c r="BQ26" s="1" t="n">
        <f aca="false">IF(AND(R_Scores!$B26=2,R_Scores!$C26="Tool condition",ISNUMBER(R_Scores!F26)),COUNTIFS(R_Scores!$B$5:$B$44,2,R_Scores!$C$5:$C$44,"Paper condition",R_Scores!F$5:F$44,"&lt;"&amp;R_Scores!F26)+0.5*COUNTIFS(R_Scores!$B$5:$B$44,2,R_Scores!$C$5:$C$44,"Paper condition",R_Scores!F$5:F$44,R_Scores!F26),"")</f>
        <v>6.5</v>
      </c>
      <c r="BR26" s="1" t="n">
        <f aca="false">IF(AND(R_Scores!$B26=2,OR(R_Scores!$C26="Tool condition",R_Scores!$C26="Paper condition"),ISNUMBER(R_Scores!F26)),(COUNTIFS(R_Scores!$B$5:$B$44,2,R_Scores!$C$5:$C$44,"Tool condition",R_Scores!F$5:F$44,R_Scores!F26)+COUNTIFS(R_Scores!$B$5:$B$44,2,R_Scores!$C$5:$C$44,"Paper condition",R_Scores!F$5:F$44,R_Scores!F26))^2-1,"")</f>
        <v>195</v>
      </c>
      <c r="BS26" s="1" t="n">
        <f aca="false">IF(ISNUMBER(R_Scores!F26),R_Scores!F26^2,"")</f>
        <v>1</v>
      </c>
      <c r="BT26" s="1" t="str">
        <f aca="false">IF(AND(R_Scores!$B26=1,R_Scores!$C26="Tool condition",ISNUMBER(R_Scores!G26)),COUNTIFS(R_Scores!$B$5:$B$44,1,R_Scores!$C$5:$C$44,"Paper condition",R_Scores!G$5:G$44,"&lt;"&amp;R_Scores!G26)+0.5*COUNTIFS(R_Scores!$B$5:$B$44,1,R_Scores!$C$5:$C$44,"Paper condition",R_Scores!G$5:G$44,R_Scores!G26),"")</f>
        <v/>
      </c>
      <c r="BU26" s="1" t="str">
        <f aca="false">IF(AND(R_Scores!$B26=1,OR(R_Scores!$C26="Tool condition",R_Scores!$C26="Paper condition"),ISNUMBER(R_Scores!G26)),(COUNTIFS(R_Scores!$B$5:$B$44,1,R_Scores!$C$5:$C$44,"Tool condition",R_Scores!G$5:G$44,R_Scores!G26)+COUNTIFS(R_Scores!$B$5:$B$44,1,R_Scores!$C$5:$C$44,"Paper condition",R_Scores!G$5:G$44,R_Scores!G26))^2-1,"")</f>
        <v/>
      </c>
      <c r="BV26" s="1" t="str">
        <f aca="false">IF(AND(R_Scores!$B26=2,R_Scores!$C26="Tool condition",ISNUMBER(R_Scores!G26)),COUNTIFS(R_Scores!$B$5:$B$44,2,R_Scores!$C$5:$C$44,"Paper condition",R_Scores!G$5:G$44,"&lt;"&amp;R_Scores!G26)+0.5*COUNTIFS(R_Scores!$B$5:$B$44,2,R_Scores!$C$5:$C$44,"Paper condition",R_Scores!G$5:G$44,R_Scores!G26),"")</f>
        <v/>
      </c>
      <c r="BW26" s="1" t="str">
        <f aca="false">IF(AND(R_Scores!$B26=2,OR(R_Scores!$C26="Tool condition",R_Scores!$C26="Paper condition"),ISNUMBER(R_Scores!G26)),(COUNTIFS(R_Scores!$B$5:$B$44,2,R_Scores!$C$5:$C$44,"Tool condition",R_Scores!G$5:G$44,R_Scores!G26)+COUNTIFS(R_Scores!$B$5:$B$44,2,R_Scores!$C$5:$C$44,"Paper condition",R_Scores!G$5:G$44,R_Scores!G26))^2-1,"")</f>
        <v/>
      </c>
      <c r="BX26" s="1" t="str">
        <f aca="false">IF(ISNUMBER(R_Scores!G26),R_Scores!G26^2,"")</f>
        <v/>
      </c>
      <c r="BY26" s="1" t="str">
        <f aca="false">IF(AND(R_Scores!$B26=1,R_Scores!$C26="Tool condition",ISNUMBER(R_Scores!H26)),COUNTIFS(R_Scores!$B$5:$B$44,1,R_Scores!$C$5:$C$44,"Paper condition",R_Scores!H$5:H$44,"&lt;"&amp;R_Scores!H26)+0.5*COUNTIFS(R_Scores!$B$5:$B$44,1,R_Scores!$C$5:$C$44,"Paper condition",R_Scores!H$5:H$44,R_Scores!H26),"")</f>
        <v/>
      </c>
      <c r="BZ26" s="1" t="str">
        <f aca="false">IF(AND(R_Scores!$B26=1,OR(R_Scores!$C26="Tool condition",R_Scores!$C26="Paper condition"),ISNUMBER(R_Scores!H26)),(COUNTIFS(R_Scores!$B$5:$B$44,1,R_Scores!$C$5:$C$44,"Tool condition",R_Scores!H$5:H$44,R_Scores!H26)+COUNTIFS(R_Scores!$B$5:$B$44,1,R_Scores!$C$5:$C$44,"Paper condition",R_Scores!H$5:H$44,R_Scores!H26))^2-1,"")</f>
        <v/>
      </c>
      <c r="CA26" s="1" t="str">
        <f aca="false">IF(AND(R_Scores!$B26=2,R_Scores!$C26="Tool condition",ISNUMBER(R_Scores!H26)),COUNTIFS(R_Scores!$B$5:$B$44,2,R_Scores!$C$5:$C$44,"Paper condition",R_Scores!H$5:H$44,"&lt;"&amp;R_Scores!H26)+0.5*COUNTIFS(R_Scores!$B$5:$B$44,2,R_Scores!$C$5:$C$44,"Paper condition",R_Scores!H$5:H$44,R_Scores!H26),"")</f>
        <v/>
      </c>
      <c r="CB26" s="1" t="str">
        <f aca="false">IF(AND(R_Scores!$B26=2,OR(R_Scores!$C26="Tool condition",R_Scores!$C26="Paper condition"),ISNUMBER(R_Scores!H26)),(COUNTIFS(R_Scores!$B$5:$B$44,2,R_Scores!$C$5:$C$44,"Tool condition",R_Scores!H$5:H$44,R_Scores!H26)+COUNTIFS(R_Scores!$B$5:$B$44,2,R_Scores!$C$5:$C$44,"Paper condition",R_Scores!H$5:H$44,R_Scores!H26))^2-1,"")</f>
        <v/>
      </c>
      <c r="CC26" s="1" t="str">
        <f aca="false">IF(ISNUMBER(R_Scores!H26),R_Scores!H26^2,"")</f>
        <v/>
      </c>
      <c r="CD26" s="1" t="str">
        <f aca="false">IF(AND(R_Scores!$B26=1,R_Scores!$C26="Tool condition",ISNUMBER(R_Scores!I26)),COUNTIFS(R_Scores!$B$5:$B$44,1,R_Scores!$C$5:$C$44,"Paper condition",R_Scores!I$5:I$44,"&lt;"&amp;R_Scores!I26)+0.5*COUNTIFS(R_Scores!$B$5:$B$44,1,R_Scores!$C$5:$C$44,"Paper condition",R_Scores!I$5:I$44,R_Scores!I26),"")</f>
        <v/>
      </c>
      <c r="CE26" s="1" t="str">
        <f aca="false">IF(AND(R_Scores!$B26=1,OR(R_Scores!$C26="Tool condition",R_Scores!$C26="Paper condition"),ISNUMBER(R_Scores!I26)),(COUNTIFS(R_Scores!$B$5:$B$44,1,R_Scores!$C$5:$C$44,"Tool condition",R_Scores!I$5:I$44,R_Scores!I26)+COUNTIFS(R_Scores!$B$5:$B$44,1,R_Scores!$C$5:$C$44,"Paper condition",R_Scores!I$5:I$44,R_Scores!I26))^2-1,"")</f>
        <v/>
      </c>
      <c r="CF26" s="1" t="n">
        <f aca="false">IF(AND(R_Scores!$B26=2,R_Scores!$C26="Tool condition",ISNUMBER(R_Scores!I26)),COUNTIFS(R_Scores!$B$5:$B$44,2,R_Scores!$C$5:$C$44,"Paper condition",R_Scores!I$5:I$44,"&lt;"&amp;R_Scores!I26)+0.5*COUNTIFS(R_Scores!$B$5:$B$44,2,R_Scores!$C$5:$C$44,"Paper condition",R_Scores!I$5:I$44,R_Scores!I26),"")</f>
        <v>6</v>
      </c>
      <c r="CG26" s="1" t="n">
        <f aca="false">IF(AND(R_Scores!$B26=2,OR(R_Scores!$C26="Tool condition",R_Scores!$C26="Paper condition"),ISNUMBER(R_Scores!I26)),(COUNTIFS(R_Scores!$B$5:$B$44,2,R_Scores!$C$5:$C$44,"Tool condition",R_Scores!I$5:I$44,R_Scores!I26)+COUNTIFS(R_Scores!$B$5:$B$44,2,R_Scores!$C$5:$C$44,"Paper condition",R_Scores!I$5:I$44,R_Scores!I26))^2-1,"")</f>
        <v>255</v>
      </c>
      <c r="CH26" s="1" t="n">
        <f aca="false">IF(ISNUMBER(R_Scores!I26),R_Scores!I26^2,"")</f>
        <v>1</v>
      </c>
      <c r="CI26" s="1" t="str">
        <f aca="false">IF(AND(R_Scores!$B26=1,R_Scores!$C26="Tool condition",ISNUMBER(R_Scores!J26)),COUNTIFS(R_Scores!$B$5:$B$44,1,R_Scores!$C$5:$C$44,"Paper condition",R_Scores!J$5:J$44,"&lt;"&amp;R_Scores!J26)+0.5*COUNTIFS(R_Scores!$B$5:$B$44,1,R_Scores!$C$5:$C$44,"Paper condition",R_Scores!J$5:J$44,R_Scores!J26),"")</f>
        <v/>
      </c>
      <c r="CJ26" s="1" t="str">
        <f aca="false">IF(AND(R_Scores!$B26=1,OR(R_Scores!$C26="Tool condition",R_Scores!$C26="Paper condition"),ISNUMBER(R_Scores!J26)),(COUNTIFS(R_Scores!$B$5:$B$44,1,R_Scores!$C$5:$C$44,"Tool condition",R_Scores!J$5:J$44,R_Scores!J26)+COUNTIFS(R_Scores!$B$5:$B$44,1,R_Scores!$C$5:$C$44,"Paper condition",R_Scores!J$5:J$44,R_Scores!J26))^2-1,"")</f>
        <v/>
      </c>
      <c r="CK26" s="1" t="n">
        <f aca="false">IF(AND(R_Scores!$B26=2,R_Scores!$C26="Tool condition",ISNUMBER(R_Scores!J26)),COUNTIFS(R_Scores!$B$5:$B$44,2,R_Scores!$C$5:$C$44,"Paper condition",R_Scores!J$5:J$44,"&lt;"&amp;R_Scores!J26)+0.5*COUNTIFS(R_Scores!$B$5:$B$44,2,R_Scores!$C$5:$C$44,"Paper condition",R_Scores!J$5:J$44,R_Scores!J26),"")</f>
        <v>2</v>
      </c>
      <c r="CL26" s="1" t="n">
        <f aca="false">IF(AND(R_Scores!$B26=2,OR(R_Scores!$C26="Tool condition",R_Scores!$C26="Paper condition"),ISNUMBER(R_Scores!J26)),(COUNTIFS(R_Scores!$B$5:$B$44,2,R_Scores!$C$5:$C$44,"Tool condition",R_Scores!J$5:J$44,R_Scores!J26)+COUNTIFS(R_Scores!$B$5:$B$44,2,R_Scores!$C$5:$C$44,"Paper condition",R_Scores!J$5:J$44,R_Scores!J26))^2-1,"")</f>
        <v>35</v>
      </c>
      <c r="CM26" s="1" t="n">
        <f aca="false">IF(ISNUMBER(R_Scores!J26),R_Scores!J26^2,"")</f>
        <v>0</v>
      </c>
      <c r="CN26" s="1" t="str">
        <f aca="false">IF(AND(R_Scores!$B26=1,R_Scores!$C26="Tool condition",ISNUMBER(R_Scores!K26)),COUNTIFS(R_Scores!$B$5:$B$44,1,R_Scores!$C$5:$C$44,"Paper condition",R_Scores!K$5:K$44,"&lt;"&amp;R_Scores!K26)+0.5*COUNTIFS(R_Scores!$B$5:$B$44,1,R_Scores!$C$5:$C$44,"Paper condition",R_Scores!K$5:K$44,R_Scores!K26),"")</f>
        <v/>
      </c>
      <c r="CO26" s="1" t="str">
        <f aca="false">IF(AND(R_Scores!$B26=1,OR(R_Scores!$C26="Tool condition",R_Scores!$C26="Paper condition"),ISNUMBER(R_Scores!K26)),(COUNTIFS(R_Scores!$B$5:$B$44,1,R_Scores!$C$5:$C$44,"Tool condition",R_Scores!K$5:K$44,R_Scores!K26)+COUNTIFS(R_Scores!$B$5:$B$44,1,R_Scores!$C$5:$C$44,"Paper condition",R_Scores!K$5:K$44,R_Scores!K26))^2-1,"")</f>
        <v/>
      </c>
      <c r="CP26" s="1" t="str">
        <f aca="false">IF(AND(R_Scores!$B26=2,R_Scores!$C26="Tool condition",ISNUMBER(R_Scores!K26)),COUNTIFS(R_Scores!$B$5:$B$44,2,R_Scores!$C$5:$C$44,"Paper condition",R_Scores!K$5:K$44,"&lt;"&amp;R_Scores!K26)+0.5*COUNTIFS(R_Scores!$B$5:$B$44,2,R_Scores!$C$5:$C$44,"Paper condition",R_Scores!K$5:K$44,R_Scores!K26),"")</f>
        <v/>
      </c>
      <c r="CQ26" s="1" t="str">
        <f aca="false">IF(AND(R_Scores!$B26=2,OR(R_Scores!$C26="Tool condition",R_Scores!$C26="Paper condition"),ISNUMBER(R_Scores!K26)),(COUNTIFS(R_Scores!$B$5:$B$44,2,R_Scores!$C$5:$C$44,"Tool condition",R_Scores!K$5:K$44,R_Scores!K26)+COUNTIFS(R_Scores!$B$5:$B$44,2,R_Scores!$C$5:$C$44,"Paper condition",R_Scores!K$5:K$44,R_Scores!K26))^2-1,"")</f>
        <v/>
      </c>
      <c r="CR26" s="1" t="str">
        <f aca="false">IF(ISNUMBER(R_Scores!K26),R_Scores!K26^2,"")</f>
        <v/>
      </c>
      <c r="CS26" s="1" t="str">
        <f aca="false">IF(AND(R_Scores!$B26=1,R_Scores!$C26="Tool condition",ISNUMBER(R_Scores!L26)),COUNTIFS(R_Scores!$B$5:$B$44,1,R_Scores!$C$5:$C$44,"Paper condition",R_Scores!L$5:L$44,"&lt;"&amp;R_Scores!L26)+0.5*COUNTIFS(R_Scores!$B$5:$B$44,1,R_Scores!$C$5:$C$44,"Paper condition",R_Scores!L$5:L$44,R_Scores!L26),"")</f>
        <v/>
      </c>
      <c r="CT26" s="1" t="str">
        <f aca="false">IF(AND(R_Scores!$B26=1,OR(R_Scores!$C26="Tool condition",R_Scores!$C26="Paper condition"),ISNUMBER(R_Scores!L26)),(COUNTIFS(R_Scores!$B$5:$B$44,1,R_Scores!$C$5:$C$44,"Tool condition",R_Scores!L$5:L$44,R_Scores!L26)+COUNTIFS(R_Scores!$B$5:$B$44,1,R_Scores!$C$5:$C$44,"Paper condition",R_Scores!L$5:L$44,R_Scores!L26))^2-1,"")</f>
        <v/>
      </c>
      <c r="CU26" s="1" t="str">
        <f aca="false">IF(AND(R_Scores!$B26=2,R_Scores!$C26="Tool condition",ISNUMBER(R_Scores!L26)),COUNTIFS(R_Scores!$B$5:$B$44,2,R_Scores!$C$5:$C$44,"Paper condition",R_Scores!L$5:L$44,"&lt;"&amp;R_Scores!L26)+0.5*COUNTIFS(R_Scores!$B$5:$B$44,2,R_Scores!$C$5:$C$44,"Paper condition",R_Scores!L$5:L$44,R_Scores!L26),"")</f>
        <v/>
      </c>
      <c r="CV26" s="1" t="str">
        <f aca="false">IF(AND(R_Scores!$B26=2,OR(R_Scores!$C26="Tool condition",R_Scores!$C26="Paper condition"),ISNUMBER(R_Scores!L26)),(COUNTIFS(R_Scores!$B$5:$B$44,2,R_Scores!$C$5:$C$44,"Tool condition",R_Scores!L$5:L$44,R_Scores!L26)+COUNTIFS(R_Scores!$B$5:$B$44,2,R_Scores!$C$5:$C$44,"Paper condition",R_Scores!L$5:L$44,R_Scores!L26))^2-1,"")</f>
        <v/>
      </c>
      <c r="CW26" s="1" t="str">
        <f aca="false">IF(ISNUMBER(R_Scores!L26),R_Scores!L26^2,"")</f>
        <v/>
      </c>
      <c r="CX26" s="1" t="str">
        <f aca="false">IF(AND(R_Scores!$B26=1,R_Scores!$C26="Tool condition",ISNUMBER(R_Scores!M26)),COUNTIFS(R_Scores!$B$5:$B$44,1,R_Scores!$C$5:$C$44,"Paper condition",R_Scores!M$5:M$44,"&lt;"&amp;R_Scores!M26)+0.5*COUNTIFS(R_Scores!$B$5:$B$44,1,R_Scores!$C$5:$C$44,"Paper condition",R_Scores!M$5:M$44,R_Scores!M26),"")</f>
        <v/>
      </c>
      <c r="CY26" s="1" t="str">
        <f aca="false">IF(AND(R_Scores!$B26=1,OR(R_Scores!$C26="Tool condition",R_Scores!$C26="Paper condition"),ISNUMBER(R_Scores!M26)),(COUNTIFS(R_Scores!$B$5:$B$44,1,R_Scores!$C$5:$C$44,"Tool condition",R_Scores!M$5:M$44,R_Scores!M26)+COUNTIFS(R_Scores!$B$5:$B$44,1,R_Scores!$C$5:$C$44,"Paper condition",R_Scores!M$5:M$44,R_Scores!M26))^2-1,"")</f>
        <v/>
      </c>
      <c r="CZ26" s="1" t="str">
        <f aca="false">IF(AND(R_Scores!$B26=2,R_Scores!$C26="Tool condition",ISNUMBER(R_Scores!M26)),COUNTIFS(R_Scores!$B$5:$B$44,2,R_Scores!$C$5:$C$44,"Paper condition",R_Scores!M$5:M$44,"&lt;"&amp;R_Scores!M26)+0.5*COUNTIFS(R_Scores!$B$5:$B$44,2,R_Scores!$C$5:$C$44,"Paper condition",R_Scores!M$5:M$44,R_Scores!M26),"")</f>
        <v/>
      </c>
      <c r="DA26" s="1" t="str">
        <f aca="false">IF(AND(R_Scores!$B26=2,OR(R_Scores!$C26="Tool condition",R_Scores!$C26="Paper condition"),ISNUMBER(R_Scores!M26)),(COUNTIFS(R_Scores!$B$5:$B$44,2,R_Scores!$C$5:$C$44,"Tool condition",R_Scores!M$5:M$44,R_Scores!M26)+COUNTIFS(R_Scores!$B$5:$B$44,2,R_Scores!$C$5:$C$44,"Paper condition",R_Scores!M$5:M$44,R_Scores!M26))^2-1,"")</f>
        <v/>
      </c>
      <c r="DB26" s="1" t="str">
        <f aca="false">IF(ISNUMBER(R_Scores!M26),R_Scores!M26^2,"")</f>
        <v/>
      </c>
      <c r="DC26" s="1" t="str">
        <f aca="false">IF(AND(R_Scores!$B26=1,R_Scores!$C26="Tool condition",ISNUMBER(R_Scores!N26)),COUNTIFS(R_Scores!$B$5:$B$44,1,R_Scores!$C$5:$C$44,"Paper condition",R_Scores!N$5:N$44,"&lt;"&amp;R_Scores!N26)+0.5*COUNTIFS(R_Scores!$B$5:$B$44,1,R_Scores!$C$5:$C$44,"Paper condition",R_Scores!N$5:N$44,R_Scores!N26),"")</f>
        <v/>
      </c>
      <c r="DD26" s="1" t="str">
        <f aca="false">IF(AND(R_Scores!$B26=1,OR(R_Scores!$C26="Tool condition",R_Scores!$C26="Paper condition"),ISNUMBER(R_Scores!N26)),(COUNTIFS(R_Scores!$B$5:$B$44,1,R_Scores!$C$5:$C$44,"Tool condition",R_Scores!N$5:N$44,R_Scores!N26)+COUNTIFS(R_Scores!$B$5:$B$44,1,R_Scores!$C$5:$C$44,"Paper condition",R_Scores!N$5:N$44,R_Scores!N26))^2-1,"")</f>
        <v/>
      </c>
      <c r="DE26" s="1" t="n">
        <f aca="false">IF(AND(R_Scores!$B26=2,R_Scores!$C26="Tool condition",ISNUMBER(R_Scores!N26)),COUNTIFS(R_Scores!$B$5:$B$44,2,R_Scores!$C$5:$C$44,"Paper condition",R_Scores!N$5:N$44,"&lt;"&amp;R_Scores!N26)+0.5*COUNTIFS(R_Scores!$B$5:$B$44,2,R_Scores!$C$5:$C$44,"Paper condition",R_Scores!N$5:N$44,R_Scores!N26),"")</f>
        <v>8</v>
      </c>
      <c r="DF26" s="1" t="n">
        <f aca="false">IF(AND(R_Scores!$B26=2,OR(R_Scores!$C26="Tool condition",R_Scores!$C26="Paper condition"),ISNUMBER(R_Scores!N26)),(COUNTIFS(R_Scores!$B$5:$B$44,2,R_Scores!$C$5:$C$44,"Tool condition",R_Scores!N$5:N$44,R_Scores!N26)+COUNTIFS(R_Scores!$B$5:$B$44,2,R_Scores!$C$5:$C$44,"Paper condition",R_Scores!N$5:N$44,R_Scores!N26))^2-1,"")</f>
        <v>143</v>
      </c>
      <c r="DG26" s="1" t="n">
        <f aca="false">IF(ISNUMBER(R_Scores!N26),R_Scores!N26^2,"")</f>
        <v>1</v>
      </c>
      <c r="DH26" s="1" t="str">
        <f aca="false">IF(AND(R_Scores!$B26=1,R_Scores!$C26="Tool condition",ISNUMBER(R_Scores!O26)),COUNTIFS(R_Scores!$B$5:$B$44,1,R_Scores!$C$5:$C$44,"Paper condition",R_Scores!O$5:O$44,"&lt;"&amp;R_Scores!O26)+0.5*COUNTIFS(R_Scores!$B$5:$B$44,1,R_Scores!$C$5:$C$44,"Paper condition",R_Scores!O$5:O$44,R_Scores!O26),"")</f>
        <v/>
      </c>
      <c r="DI26" s="1" t="str">
        <f aca="false">IF(AND(R_Scores!$B26=1,OR(R_Scores!$C26="Tool condition",R_Scores!$C26="Paper condition"),ISNUMBER(R_Scores!O26)),(COUNTIFS(R_Scores!$B$5:$B$44,1,R_Scores!$C$5:$C$44,"Tool condition",R_Scores!O$5:O$44,R_Scores!O26)+COUNTIFS(R_Scores!$B$5:$B$44,1,R_Scores!$C$5:$C$44,"Paper condition",R_Scores!O$5:O$44,R_Scores!O26))^2-1,"")</f>
        <v/>
      </c>
      <c r="DJ26" s="1" t="n">
        <f aca="false">IF(AND(R_Scores!$B26=2,R_Scores!$C26="Tool condition",ISNUMBER(R_Scores!O26)),COUNTIFS(R_Scores!$B$5:$B$44,2,R_Scores!$C$5:$C$44,"Paper condition",R_Scores!O$5:O$44,"&lt;"&amp;R_Scores!O26)+0.5*COUNTIFS(R_Scores!$B$5:$B$44,2,R_Scores!$C$5:$C$44,"Paper condition",R_Scores!O$5:O$44,R_Scores!O26),"")</f>
        <v>7</v>
      </c>
      <c r="DK26" s="1" t="n">
        <f aca="false">IF(AND(R_Scores!$B26=2,OR(R_Scores!$C26="Tool condition",R_Scores!$C26="Paper condition"),ISNUMBER(R_Scores!O26)),(COUNTIFS(R_Scores!$B$5:$B$44,2,R_Scores!$C$5:$C$44,"Tool condition",R_Scores!O$5:O$44,R_Scores!O26)+COUNTIFS(R_Scores!$B$5:$B$44,2,R_Scores!$C$5:$C$44,"Paper condition",R_Scores!O$5:O$44,R_Scores!O26))^2-1,"")</f>
        <v>168</v>
      </c>
      <c r="DL26" s="1" t="n">
        <f aca="false">IF(ISNUMBER(R_Scores!O26),R_Scores!O26^2,"")</f>
        <v>1</v>
      </c>
      <c r="DM26" s="1" t="str">
        <f aca="false">IF(AND(R_Scores!$B26=1,R_Scores!$C26="Tool condition",ISNUMBER(R_Scores!P26)),COUNTIFS(R_Scores!$B$5:$B$44,1,R_Scores!$C$5:$C$44,"Paper condition",R_Scores!P$5:P$44,"&lt;"&amp;R_Scores!P26)+0.5*COUNTIFS(R_Scores!$B$5:$B$44,1,R_Scores!$C$5:$C$44,"Paper condition",R_Scores!P$5:P$44,R_Scores!P26),"")</f>
        <v/>
      </c>
      <c r="DN26" s="1" t="str">
        <f aca="false">IF(AND(R_Scores!$B26=1,OR(R_Scores!$C26="Tool condition",R_Scores!$C26="Paper condition"),ISNUMBER(R_Scores!P26)),(COUNTIFS(R_Scores!$B$5:$B$44,1,R_Scores!$C$5:$C$44,"Tool condition",R_Scores!P$5:P$44,R_Scores!P26)+COUNTIFS(R_Scores!$B$5:$B$44,1,R_Scores!$C$5:$C$44,"Paper condition",R_Scores!P$5:P$44,R_Scores!P26))^2-1,"")</f>
        <v/>
      </c>
      <c r="DO26" s="1" t="n">
        <f aca="false">IF(AND(R_Scores!$B26=2,R_Scores!$C26="Tool condition",ISNUMBER(R_Scores!P26)),COUNTIFS(R_Scores!$B$5:$B$44,2,R_Scores!$C$5:$C$44,"Paper condition",R_Scores!P$5:P$44,"&lt;"&amp;R_Scores!P26)+0.5*COUNTIFS(R_Scores!$B$5:$B$44,2,R_Scores!$C$5:$C$44,"Paper condition",R_Scores!P$5:P$44,R_Scores!P26),"")</f>
        <v>4.5</v>
      </c>
      <c r="DP26" s="1" t="n">
        <f aca="false">IF(AND(R_Scores!$B26=2,OR(R_Scores!$C26="Tool condition",R_Scores!$C26="Paper condition"),ISNUMBER(R_Scores!P26)),(COUNTIFS(R_Scores!$B$5:$B$44,2,R_Scores!$C$5:$C$44,"Tool condition",R_Scores!P$5:P$44,R_Scores!P26)+COUNTIFS(R_Scores!$B$5:$B$44,2,R_Scores!$C$5:$C$44,"Paper condition",R_Scores!P$5:P$44,R_Scores!P26))^2-1,"")</f>
        <v>168</v>
      </c>
      <c r="DQ26" s="1" t="n">
        <f aca="false">IF(ISNUMBER(R_Scores!P26),R_Scores!P26^2,"")</f>
        <v>0</v>
      </c>
      <c r="DR26" s="1" t="str">
        <f aca="false">IF(AND(Scores!$B26=1,Scores!$C26="Tool condition",ISNUMBER(Scores!Q26)),COUNTIFS(Scores!$B$5:$B$44,1,Scores!$C$5:$C$44,"Paper condition",Scores!Q$5:Q$44,"&lt;"&amp;Scores!Q26)+0.5*COUNTIFS(Scores!$B$5:$B$44,1,Scores!$C$5:$C$44,"Paper condition",Scores!Q$5:Q$44,Scores!Q26),"")</f>
        <v/>
      </c>
      <c r="DS26" s="1" t="str">
        <f aca="false">IF(AND(Scores!$B26=1,OR(Scores!$C26="Tool condition",Scores!$C26="Paper condition"),ISNUMBER(Scores!Q26)),(COUNTIFS(Scores!$B$5:$B$44,1,Scores!$C$5:$C$44,"Tool condition",Scores!Q$5:Q$44,Scores!Q26)+COUNTIFS(Scores!$B$5:$B$44,1,Scores!$C$5:$C$44,"Paper condition",Scores!Q$5:Q$44,Scores!Q26))^2-1,"")</f>
        <v/>
      </c>
      <c r="DT26" s="1" t="n">
        <f aca="false">IF(AND(Scores!$B26=2,Scores!$C26="Tool condition",ISNUMBER(Scores!Q26)),COUNTIFS(Scores!$B$5:$B$44,2,Scores!$C$5:$C$44,"Paper condition",Scores!Q$5:Q$44,"&lt;"&amp;Scores!Q26)+0.5*COUNTIFS(Scores!$B$5:$B$44,2,Scores!$C$5:$C$44,"Paper condition",Scores!Q$5:Q$44,Scores!Q26),"")</f>
        <v>10</v>
      </c>
      <c r="DU26" s="1" t="n">
        <f aca="false">IF(AND(Scores!$B26=2,OR(Scores!$C26="Tool condition",Scores!$C26="Paper condition"),ISNUMBER(Scores!Q26)),(COUNTIFS(Scores!$B$5:$B$44,2,Scores!$C$5:$C$44,"Tool condition",Scores!Q$5:Q$44,Scores!Q26)+COUNTIFS(Scores!$B$5:$B$44,2,Scores!$C$5:$C$44,"Paper condition",Scores!Q$5:Q$44,Scores!Q26))^2-1,"")</f>
        <v>0</v>
      </c>
      <c r="DV26" s="1" t="n">
        <f aca="false">IF(ISNUMBER(Scores!Q26),Scores!Q26^2,"")</f>
        <v>361</v>
      </c>
      <c r="DW26" s="1" t="str">
        <f aca="false">IF(AND(Scores!$B26=1,Scores!$C26="Tool condition",ISNUMBER(Scores!R26)),COUNTIFS(Scores!$B$5:$B$44,1,Scores!$C$5:$C$44,"Paper condition",Scores!R$5:R$44,"&lt;"&amp;Scores!R26)+0.5*COUNTIFS(Scores!$B$5:$B$44,1,Scores!$C$5:$C$44,"Paper condition",Scores!R$5:R$44,Scores!R26),"")</f>
        <v/>
      </c>
      <c r="DX26" s="1" t="str">
        <f aca="false">IF(AND(Scores!$B26=1,OR(Scores!$C26="Tool condition",Scores!$C26="Paper condition"),ISNUMBER(Scores!R26)),(COUNTIFS(Scores!$B$5:$B$44,1,Scores!$C$5:$C$44,"Tool condition",Scores!R$5:R$44,Scores!R26)+COUNTIFS(Scores!$B$5:$B$44,1,Scores!$C$5:$C$44,"Paper condition",Scores!R$5:R$44,Scores!R26))^2-1,"")</f>
        <v/>
      </c>
      <c r="DY26" s="1" t="n">
        <f aca="false">IF(AND(Scores!$B26=2,Scores!$C26="Tool condition",ISNUMBER(Scores!R26)),COUNTIFS(Scores!$B$5:$B$44,2,Scores!$C$5:$C$44,"Paper condition",Scores!R$5:R$44,"&lt;"&amp;Scores!R26)+0.5*COUNTIFS(Scores!$B$5:$B$44,2,Scores!$C$5:$C$44,"Paper condition",Scores!R$5:R$44,Scores!R26),"")</f>
        <v>10</v>
      </c>
      <c r="DZ26" s="1" t="n">
        <f aca="false">IF(AND(Scores!$B26=2,OR(Scores!$C26="Tool condition",Scores!$C26="Paper condition"),ISNUMBER(Scores!R26)),(COUNTIFS(Scores!$B$5:$B$44,2,Scores!$C$5:$C$44,"Tool condition",Scores!R$5:R$44,Scores!R26)+COUNTIFS(Scores!$B$5:$B$44,2,Scores!$C$5:$C$44,"Paper condition",Scores!R$5:R$44,Scores!R26))^2-1,"")</f>
        <v>8</v>
      </c>
      <c r="EA26" s="1" t="n">
        <f aca="false">IF(ISNUMBER(Scores!R26),Scores!R26^2,"")</f>
        <v>121</v>
      </c>
      <c r="EB26" s="1" t="str">
        <f aca="false">IF(AND(Scores!$B26=1,Scores!$C26="Tool condition",ISNUMBER(Scores!S26)),COUNTIFS(Scores!$B$5:$B$44,1,Scores!$C$5:$C$44,"Paper condition",Scores!S$5:S$44,"&lt;"&amp;Scores!S26)+0.5*COUNTIFS(Scores!$B$5:$B$44,1,Scores!$C$5:$C$44,"Paper condition",Scores!S$5:S$44,Scores!S26),"")</f>
        <v/>
      </c>
      <c r="EC26" s="1" t="str">
        <f aca="false">IF(AND(Scores!$B26=1,OR(Scores!$C26="Tool condition",Scores!$C26="Paper condition"),ISNUMBER(Scores!S26)),(COUNTIFS(Scores!$B$5:$B$44,1,Scores!$C$5:$C$44,"Tool condition",Scores!S$5:S$44,Scores!S26)+COUNTIFS(Scores!$B$5:$B$44,1,Scores!$C$5:$C$44,"Paper condition",Scores!S$5:S$44,Scores!S26))^2-1,"")</f>
        <v/>
      </c>
      <c r="ED26" s="1" t="n">
        <f aca="false">IF(AND(Scores!$B26=2,Scores!$C26="Tool condition",ISNUMBER(Scores!S26)),COUNTIFS(Scores!$B$5:$B$44,2,Scores!$C$5:$C$44,"Paper condition",Scores!S$5:S$44,"&lt;"&amp;Scores!S26)+0.5*COUNTIFS(Scores!$B$5:$B$44,2,Scores!$C$5:$C$44,"Paper condition",Scores!S$5:S$44,Scores!S26),"")</f>
        <v>8</v>
      </c>
      <c r="EE26" s="1" t="n">
        <f aca="false">IF(AND(Scores!$B26=2,OR(Scores!$C26="Tool condition",Scores!$C26="Paper condition"),ISNUMBER(Scores!S26)),(COUNTIFS(Scores!$B$5:$B$44,2,Scores!$C$5:$C$44,"Tool condition",Scores!S$5:S$44,Scores!S26)+COUNTIFS(Scores!$B$5:$B$44,2,Scores!$C$5:$C$44,"Paper condition",Scores!S$5:S$44,Scores!S26))^2-1,"")</f>
        <v>63</v>
      </c>
      <c r="EF26" s="1" t="n">
        <f aca="false">IF(ISNUMBER(Scores!S26),Scores!S26^2,"")</f>
        <v>64</v>
      </c>
      <c r="EG26" s="1" t="str">
        <f aca="false">IF(AND(Scores!$B26=1,Scores!$C26="Tool condition",ISNUMBER(Scores!T26)),COUNTIFS(Scores!$B$5:$B$44,1,Scores!$C$5:$C$44,"Paper condition",Scores!T$5:T$44,"&lt;"&amp;Scores!T26)+0.5*COUNTIFS(Scores!$B$5:$B$44,1,Scores!$C$5:$C$44,"Paper condition",Scores!T$5:T$44,Scores!T26),"")</f>
        <v/>
      </c>
      <c r="EH26" s="1" t="str">
        <f aca="false">IF(AND(Scores!$B26=1,OR(Scores!$C26="Tool condition",Scores!$C26="Paper condition"),ISNUMBER(Scores!T26)),(COUNTIFS(Scores!$B$5:$B$44,1,Scores!$C$5:$C$44,"Tool condition",Scores!T$5:T$44,Scores!T26)+COUNTIFS(Scores!$B$5:$B$44,1,Scores!$C$5:$C$44,"Paper condition",Scores!T$5:T$44,Scores!T26))^2-1,"")</f>
        <v/>
      </c>
      <c r="EI26" s="1" t="n">
        <f aca="false">IF(AND(Scores!$B26=2,Scores!$C26="Tool condition",ISNUMBER(Scores!T26)),COUNTIFS(Scores!$B$5:$B$44,2,Scores!$C$5:$C$44,"Paper condition",Scores!T$5:T$44,"&lt;"&amp;Scores!T26)+0.5*COUNTIFS(Scores!$B$5:$B$44,2,Scores!$C$5:$C$44,"Paper condition",Scores!T$5:T$44,Scores!T26),"")</f>
        <v>9.5</v>
      </c>
      <c r="EJ26" s="1" t="n">
        <f aca="false">IF(AND(Scores!$B26=2,OR(Scores!$C26="Tool condition",Scores!$C26="Paper condition"),ISNUMBER(Scores!T26)),(COUNTIFS(Scores!$B$5:$B$44,2,Scores!$C$5:$C$44,"Tool condition",Scores!T$5:T$44,Scores!T26)+COUNTIFS(Scores!$B$5:$B$44,2,Scores!$C$5:$C$44,"Paper condition",Scores!T$5:T$44,Scores!T26))^2-1,"")</f>
        <v>8</v>
      </c>
      <c r="EK26" s="1" t="n">
        <f aca="false">IF(ISNUMBER(Scores!T26),Scores!T26^2,"")</f>
        <v>64</v>
      </c>
      <c r="EL26" s="1" t="str">
        <f aca="false">IF(AND(Scores!$B26=1,Scores!$C26="Tool condition",ISNUMBER(Scores!U26)),COUNTIFS(Scores!$B$5:$B$44,1,Scores!$C$5:$C$44,"Paper condition",Scores!U$5:U$44,"&lt;"&amp;Scores!U26)+0.5*COUNTIFS(Scores!$B$5:$B$44,1,Scores!$C$5:$C$44,"Paper condition",Scores!U$5:U$44,Scores!U26),"")</f>
        <v/>
      </c>
      <c r="EM26" s="1" t="str">
        <f aca="false">IF(AND(Scores!$B26=1,OR(Scores!$C26="Tool condition",Scores!$C26="Paper condition"),ISNUMBER(Scores!U26)),(COUNTIFS(Scores!$B$5:$B$44,1,Scores!$C$5:$C$44,"Tool condition",Scores!U$5:U$44,Scores!U26)+COUNTIFS(Scores!$B$5:$B$44,1,Scores!$C$5:$C$44,"Paper condition",Scores!U$5:U$44,Scores!U26))^2-1,"")</f>
        <v/>
      </c>
      <c r="EN26" s="1" t="n">
        <f aca="false">IF(AND(Scores!$B26=2,Scores!$C26="Tool condition",ISNUMBER(Scores!U26)),COUNTIFS(Scores!$B$5:$B$44,2,Scores!$C$5:$C$44,"Paper condition",Scores!U$5:U$44,"&lt;"&amp;Scores!U26)+0.5*COUNTIFS(Scores!$B$5:$B$44,2,Scores!$C$5:$C$44,"Paper condition",Scores!U$5:U$44,Scores!U26),"")</f>
        <v>7.5</v>
      </c>
      <c r="EO26" s="1" t="n">
        <f aca="false">IF(AND(Scores!$B26=2,OR(Scores!$C26="Tool condition",Scores!$C26="Paper condition"),ISNUMBER(Scores!U26)),(COUNTIFS(Scores!$B$5:$B$44,2,Scores!$C$5:$C$44,"Tool condition",Scores!U$5:U$44,Scores!U26)+COUNTIFS(Scores!$B$5:$B$44,2,Scores!$C$5:$C$44,"Paper condition",Scores!U$5:U$44,Scores!U26))^2-1,"")</f>
        <v>35</v>
      </c>
      <c r="EP26" s="1" t="n">
        <f aca="false">IF(ISNUMBER(Scores!U26),Scores!U26^2,"")</f>
        <v>16</v>
      </c>
      <c r="EQ26" s="1" t="str">
        <f aca="false">IF(AND(Scores!$B26=1,Scores!$C26="Tool condition",ISNUMBER(Scores!V26)),COUNTIFS(Scores!$B$5:$B$44,1,Scores!$C$5:$C$44,"Paper condition",Scores!V$5:V$44,"&lt;"&amp;Scores!V26)+0.5*COUNTIFS(Scores!$B$5:$B$44,1,Scores!$C$5:$C$44,"Paper condition",Scores!V$5:V$44,Scores!V26),"")</f>
        <v/>
      </c>
      <c r="ER26" s="1" t="str">
        <f aca="false">IF(AND(Scores!$B26=1,OR(Scores!$C26="Tool condition",Scores!$C26="Paper condition"),ISNUMBER(Scores!V26)),(COUNTIFS(Scores!$B$5:$B$44,1,Scores!$C$5:$C$44,"Tool condition",Scores!V$5:V$44,Scores!V26)+COUNTIFS(Scores!$B$5:$B$44,1,Scores!$C$5:$C$44,"Paper condition",Scores!V$5:V$44,Scores!V26))^2-1,"")</f>
        <v/>
      </c>
      <c r="ES26" s="1" t="n">
        <f aca="false">IF(AND(Scores!$B26=2,Scores!$C26="Tool condition",ISNUMBER(Scores!V26)),COUNTIFS(Scores!$B$5:$B$44,2,Scores!$C$5:$C$44,"Paper condition",Scores!V$5:V$44,"&lt;"&amp;Scores!V26)+0.5*COUNTIFS(Scores!$B$5:$B$44,2,Scores!$C$5:$C$44,"Paper condition",Scores!V$5:V$44,Scores!V26),"")</f>
        <v>8</v>
      </c>
      <c r="ET26" s="1" t="n">
        <f aca="false">IF(AND(Scores!$B26=2,OR(Scores!$C26="Tool condition",Scores!$C26="Paper condition"),ISNUMBER(Scores!V26)),(COUNTIFS(Scores!$B$5:$B$44,2,Scores!$C$5:$C$44,"Tool condition",Scores!V$5:V$44,Scores!V26)+COUNTIFS(Scores!$B$5:$B$44,2,Scores!$C$5:$C$44,"Paper condition",Scores!V$5:V$44,Scores!V26))^2-1,"")</f>
        <v>48</v>
      </c>
      <c r="EU26" s="1" t="n">
        <f aca="false">IF(ISNUMBER(Scores!V26),Scores!V26^2,"")</f>
        <v>49</v>
      </c>
      <c r="EV26" s="1" t="str">
        <f aca="false">IF(AND(R_Scores!$B26=1,R_Scores!$C26="Tool condition",ISNUMBER(R_Scores!Q26)),COUNTIFS(R_Scores!$B$5:$B$44,1,R_Scores!$C$5:$C$44,"Paper condition",R_Scores!Q$5:Q$44,"&lt;"&amp;R_Scores!Q26)+0.5*COUNTIFS(R_Scores!$B$5:$B$44,1,R_Scores!$C$5:$C$44,"Paper condition",R_Scores!Q$5:Q$44,R_Scores!Q26),"")</f>
        <v/>
      </c>
      <c r="EW26" s="1" t="str">
        <f aca="false">IF(AND(R_Scores!$B26=1,OR(R_Scores!$C26="Tool condition",R_Scores!$C26="Paper condition"),ISNUMBER(R_Scores!Q26)),(COUNTIFS(R_Scores!$B$5:$B$44,1,R_Scores!$C$5:$C$44,"Tool condition",R_Scores!Q$5:Q$44,R_Scores!Q26)+COUNTIFS(R_Scores!$B$5:$B$44,1,R_Scores!$C$5:$C$44,"Paper condition",R_Scores!Q$5:Q$44,R_Scores!Q26))^2-1,"")</f>
        <v/>
      </c>
      <c r="EX26" s="1" t="n">
        <f aca="false">IF(AND(R_Scores!$B26=2,R_Scores!$C26="Tool condition",ISNUMBER(R_Scores!Q26)),COUNTIFS(R_Scores!$B$5:$B$44,2,R_Scores!$C$5:$C$44,"Paper condition",R_Scores!Q$5:Q$44,"&lt;"&amp;R_Scores!Q26)+0.5*COUNTIFS(R_Scores!$B$5:$B$44,2,R_Scores!$C$5:$C$44,"Paper condition",R_Scores!Q$5:Q$44,R_Scores!Q26),"")</f>
        <v>8.5</v>
      </c>
      <c r="EY26" s="1" t="n">
        <f aca="false">IF(AND(R_Scores!$B26=2,OR(R_Scores!$C26="Tool condition",R_Scores!$C26="Paper condition"),ISNUMBER(R_Scores!Q26)),(COUNTIFS(R_Scores!$B$5:$B$44,2,R_Scores!$C$5:$C$44,"Tool condition",R_Scores!Q$5:Q$44,R_Scores!Q26)+COUNTIFS(R_Scores!$B$5:$B$44,2,R_Scores!$C$5:$C$44,"Paper condition",R_Scores!Q$5:Q$44,R_Scores!Q26))^2-1,"")</f>
        <v>143</v>
      </c>
      <c r="EZ26" s="1" t="n">
        <f aca="false">IF(ISNUMBER(R_Scores!Q26),R_Scores!Q26^2,"")</f>
        <v>25</v>
      </c>
      <c r="FA26" s="1" t="str">
        <f aca="false">IF(AND(R_Scores!$B26=1,R_Scores!$C26="Tool condition",ISNUMBER(R_Scores!R26)),COUNTIFS(R_Scores!$B$5:$B$44,1,R_Scores!$C$5:$C$44,"Paper condition",R_Scores!R$5:R$44,"&lt;"&amp;R_Scores!R26)+0.5*COUNTIFS(R_Scores!$B$5:$B$44,1,R_Scores!$C$5:$C$44,"Paper condition",R_Scores!R$5:R$44,R_Scores!R26),"")</f>
        <v/>
      </c>
      <c r="FB26" s="1" t="str">
        <f aca="false">IF(AND(R_Scores!$B26=1,OR(R_Scores!$C26="Tool condition",R_Scores!$C26="Paper condition"),ISNUMBER(R_Scores!R26)),(COUNTIFS(R_Scores!$B$5:$B$44,1,R_Scores!$C$5:$C$44,"Tool condition",R_Scores!R$5:R$44,R_Scores!R26)+COUNTIFS(R_Scores!$B$5:$B$44,1,R_Scores!$C$5:$C$44,"Paper condition",R_Scores!R$5:R$44,R_Scores!R26))^2-1,"")</f>
        <v/>
      </c>
      <c r="FC26" s="1" t="n">
        <f aca="false">IF(AND(R_Scores!$B26=2,R_Scores!$C26="Tool condition",ISNUMBER(R_Scores!R26)),COUNTIFS(R_Scores!$B$5:$B$44,2,R_Scores!$C$5:$C$44,"Paper condition",R_Scores!R$5:R$44,"&lt;"&amp;R_Scores!R26)+0.5*COUNTIFS(R_Scores!$B$5:$B$44,2,R_Scores!$C$5:$C$44,"Paper condition",R_Scores!R$5:R$44,R_Scores!R26),"")</f>
        <v>10</v>
      </c>
      <c r="FD26" s="1" t="n">
        <f aca="false">IF(AND(R_Scores!$B26=2,OR(R_Scores!$C26="Tool condition",R_Scores!$C26="Paper condition"),ISNUMBER(R_Scores!R26)),(COUNTIFS(R_Scores!$B$5:$B$44,2,R_Scores!$C$5:$C$44,"Tool condition",R_Scores!R$5:R$44,R_Scores!R26)+COUNTIFS(R_Scores!$B$5:$B$44,2,R_Scores!$C$5:$C$44,"Paper condition",R_Scores!R$5:R$44,R_Scores!R26))^2-1,"")</f>
        <v>0</v>
      </c>
      <c r="FE26" s="1" t="n">
        <f aca="false">IF(ISNUMBER(R_Scores!R26),R_Scores!R26^2,"")</f>
        <v>576</v>
      </c>
    </row>
    <row r="27" customFormat="false" ht="14.25" hidden="false" customHeight="true" outlineLevel="0" collapsed="false">
      <c r="B27" s="1" t="str">
        <f aca="false">IF(AND(Scores!$B27=1,Scores!$C27="Tool condition",ISNUMBER(Scores!E27)),COUNTIFS(Scores!$B$5:$B$44,1,Scores!$C$5:$C$44,"Paper condition",Scores!E$5:E$44,"&lt;"&amp;Scores!E27)+0.5*COUNTIFS(Scores!$B$5:$B$44,1,Scores!$C$5:$C$44,"Paper condition",Scores!E$5:E$44,Scores!E27),"")</f>
        <v/>
      </c>
      <c r="C27" s="1" t="str">
        <f aca="false">IF(AND(Scores!$B27=1,OR(Scores!$C27="Tool condition",Scores!$C27="Paper condition"),ISNUMBER(Scores!E27)),(COUNTIFS(Scores!$B$5:$B$44,1,Scores!$C$5:$C$44,"Tool condition",Scores!E$5:E$44,Scores!E27)+COUNTIFS(Scores!$B$5:$B$44,1,Scores!$C$5:$C$44,"Paper condition",Scores!E$5:E$44,Scores!E27))^2-1,"")</f>
        <v/>
      </c>
      <c r="D27" s="1" t="n">
        <f aca="false">IF(AND(Scores!$B27=2,Scores!$C27="Tool condition",ISNUMBER(Scores!E27)),COUNTIFS(Scores!$B$5:$B$44,2,Scores!$C$5:$C$44,"Paper condition",Scores!E$5:E$44,"&lt;"&amp;Scores!E27)+0.5*COUNTIFS(Scores!$B$5:$B$44,2,Scores!$C$5:$C$44,"Paper condition",Scores!E$5:E$44,Scores!E27),"")</f>
        <v>2.5</v>
      </c>
      <c r="E27" s="1" t="n">
        <f aca="false">IF(AND(Scores!$B27=2,OR(Scores!$C27="Tool condition",Scores!$C27="Paper condition"),ISNUMBER(Scores!E27)),(COUNTIFS(Scores!$B$5:$B$44,2,Scores!$C$5:$C$44,"Tool condition",Scores!E$5:E$44,Scores!E27)+COUNTIFS(Scores!$B$5:$B$44,2,Scores!$C$5:$C$44,"Paper condition",Scores!E$5:E$44,Scores!E27))^2-1,"")</f>
        <v>63</v>
      </c>
      <c r="F27" s="1" t="n">
        <f aca="false">IF(ISNUMBER(Scores!E27),Scores!E27^2,"")</f>
        <v>1</v>
      </c>
      <c r="G27" s="1" t="str">
        <f aca="false">IF(AND(Scores!$B27=1,Scores!$C27="Tool condition",ISNUMBER(Scores!F27)),COUNTIFS(Scores!$B$5:$B$44,1,Scores!$C$5:$C$44,"Paper condition",Scores!F$5:F$44,"&lt;"&amp;Scores!F27)+0.5*COUNTIFS(Scores!$B$5:$B$44,1,Scores!$C$5:$C$44,"Paper condition",Scores!F$5:F$44,Scores!F27),"")</f>
        <v/>
      </c>
      <c r="H27" s="1" t="str">
        <f aca="false">IF(AND(Scores!$B27=1,OR(Scores!$C27="Tool condition",Scores!$C27="Paper condition"),ISNUMBER(Scores!F27)),(COUNTIFS(Scores!$B$5:$B$44,1,Scores!$C$5:$C$44,"Tool condition",Scores!F$5:F$44,Scores!F27)+COUNTIFS(Scores!$B$5:$B$44,1,Scores!$C$5:$C$44,"Paper condition",Scores!F$5:F$44,Scores!F27))^2-1,"")</f>
        <v/>
      </c>
      <c r="I27" s="1" t="n">
        <f aca="false">IF(AND(Scores!$B27=2,Scores!$C27="Tool condition",ISNUMBER(Scores!F27)),COUNTIFS(Scores!$B$5:$B$44,2,Scores!$C$5:$C$44,"Paper condition",Scores!F$5:F$44,"&lt;"&amp;Scores!F27)+0.5*COUNTIFS(Scores!$B$5:$B$44,2,Scores!$C$5:$C$44,"Paper condition",Scores!F$5:F$44,Scores!F27),"")</f>
        <v>8</v>
      </c>
      <c r="J27" s="1" t="n">
        <f aca="false">IF(AND(Scores!$B27=2,OR(Scores!$C27="Tool condition",Scores!$C27="Paper condition"),ISNUMBER(Scores!F27)),(COUNTIFS(Scores!$B$5:$B$44,2,Scores!$C$5:$C$44,"Tool condition",Scores!F$5:F$44,Scores!F27)+COUNTIFS(Scores!$B$5:$B$44,2,Scores!$C$5:$C$44,"Paper condition",Scores!F$5:F$44,Scores!F27))^2-1,"")</f>
        <v>120</v>
      </c>
      <c r="K27" s="1" t="n">
        <f aca="false">IF(ISNUMBER(Scores!F27),Scores!F27^2,"")</f>
        <v>4</v>
      </c>
      <c r="L27" s="1" t="str">
        <f aca="false">IF(AND(Scores!$B27=1,Scores!$C27="Tool condition",ISNUMBER(Scores!G27)),COUNTIFS(Scores!$B$5:$B$44,1,Scores!$C$5:$C$44,"Paper condition",Scores!G$5:G$44,"&lt;"&amp;Scores!G27)+0.5*COUNTIFS(Scores!$B$5:$B$44,1,Scores!$C$5:$C$44,"Paper condition",Scores!G$5:G$44,Scores!G27),"")</f>
        <v/>
      </c>
      <c r="M27" s="1" t="str">
        <f aca="false">IF(AND(Scores!$B27=1,OR(Scores!$C27="Tool condition",Scores!$C27="Paper condition"),ISNUMBER(Scores!G27)),(COUNTIFS(Scores!$B$5:$B$44,1,Scores!$C$5:$C$44,"Tool condition",Scores!G$5:G$44,Scores!G27)+COUNTIFS(Scores!$B$5:$B$44,1,Scores!$C$5:$C$44,"Paper condition",Scores!G$5:G$44,Scores!G27))^2-1,"")</f>
        <v/>
      </c>
      <c r="N27" s="1" t="n">
        <f aca="false">IF(AND(Scores!$B27=2,Scores!$C27="Tool condition",ISNUMBER(Scores!G27)),COUNTIFS(Scores!$B$5:$B$44,2,Scores!$C$5:$C$44,"Paper condition",Scores!G$5:G$44,"&lt;"&amp;Scores!G27)+0.5*COUNTIFS(Scores!$B$5:$B$44,2,Scores!$C$5:$C$44,"Paper condition",Scores!G$5:G$44,Scores!G27),"")</f>
        <v>7</v>
      </c>
      <c r="O27" s="1" t="n">
        <f aca="false">IF(AND(Scores!$B27=2,OR(Scores!$C27="Tool condition",Scores!$C27="Paper condition"),ISNUMBER(Scores!G27)),(COUNTIFS(Scores!$B$5:$B$44,2,Scores!$C$5:$C$44,"Tool condition",Scores!G$5:G$44,Scores!G27)+COUNTIFS(Scores!$B$5:$B$44,2,Scores!$C$5:$C$44,"Paper condition",Scores!G$5:G$44,Scores!G27))^2-1,"")</f>
        <v>195</v>
      </c>
      <c r="P27" s="1" t="n">
        <f aca="false">IF(ISNUMBER(Scores!G27),Scores!G27^2,"")</f>
        <v>4</v>
      </c>
      <c r="Q27" s="1" t="str">
        <f aca="false">IF(AND(Scores!$B27=1,Scores!$C27="Tool condition",ISNUMBER(Scores!H27)),COUNTIFS(Scores!$B$5:$B$44,1,Scores!$C$5:$C$44,"Paper condition",Scores!H$5:H$44,"&lt;"&amp;Scores!H27)+0.5*COUNTIFS(Scores!$B$5:$B$44,1,Scores!$C$5:$C$44,"Paper condition",Scores!H$5:H$44,Scores!H27),"")</f>
        <v/>
      </c>
      <c r="R27" s="1" t="str">
        <f aca="false">IF(AND(Scores!$B27=1,OR(Scores!$C27="Tool condition",Scores!$C27="Paper condition"),ISNUMBER(Scores!H27)),(COUNTIFS(Scores!$B$5:$B$44,1,Scores!$C$5:$C$44,"Tool condition",Scores!H$5:H$44,Scores!H27)+COUNTIFS(Scores!$B$5:$B$44,1,Scores!$C$5:$C$44,"Paper condition",Scores!H$5:H$44,Scores!H27))^2-1,"")</f>
        <v/>
      </c>
      <c r="S27" s="1" t="n">
        <f aca="false">IF(AND(Scores!$B27=2,Scores!$C27="Tool condition",ISNUMBER(Scores!H27)),COUNTIFS(Scores!$B$5:$B$44,2,Scores!$C$5:$C$44,"Paper condition",Scores!H$5:H$44,"&lt;"&amp;Scores!H27)+0.5*COUNTIFS(Scores!$B$5:$B$44,2,Scores!$C$5:$C$44,"Paper condition",Scores!H$5:H$44,Scores!H27),"")</f>
        <v>8</v>
      </c>
      <c r="T27" s="1" t="n">
        <f aca="false">IF(AND(Scores!$B27=2,OR(Scores!$C27="Tool condition",Scores!$C27="Paper condition"),ISNUMBER(Scores!H27)),(COUNTIFS(Scores!$B$5:$B$44,2,Scores!$C$5:$C$44,"Tool condition",Scores!H$5:H$44,Scores!H27)+COUNTIFS(Scores!$B$5:$B$44,2,Scores!$C$5:$C$44,"Paper condition",Scores!H$5:H$44,Scores!H27))^2-1,"")</f>
        <v>99</v>
      </c>
      <c r="U27" s="1" t="n">
        <f aca="false">IF(ISNUMBER(Scores!H27),Scores!H27^2,"")</f>
        <v>4</v>
      </c>
      <c r="V27" s="1" t="str">
        <f aca="false">IF(AND(Scores!$B27=1,Scores!$C27="Tool condition",ISNUMBER(Scores!I27)),COUNTIFS(Scores!$B$5:$B$44,1,Scores!$C$5:$C$44,"Paper condition",Scores!I$5:I$44,"&lt;"&amp;Scores!I27)+0.5*COUNTIFS(Scores!$B$5:$B$44,1,Scores!$C$5:$C$44,"Paper condition",Scores!I$5:I$44,Scores!I27),"")</f>
        <v/>
      </c>
      <c r="W27" s="1" t="str">
        <f aca="false">IF(AND(Scores!$B27=1,OR(Scores!$C27="Tool condition",Scores!$C27="Paper condition"),ISNUMBER(Scores!I27)),(COUNTIFS(Scores!$B$5:$B$44,1,Scores!$C$5:$C$44,"Tool condition",Scores!I$5:I$44,Scores!I27)+COUNTIFS(Scores!$B$5:$B$44,1,Scores!$C$5:$C$44,"Paper condition",Scores!I$5:I$44,Scores!I27))^2-1,"")</f>
        <v/>
      </c>
      <c r="X27" s="1" t="n">
        <f aca="false">IF(AND(Scores!$B27=2,Scores!$C27="Tool condition",ISNUMBER(Scores!I27)),COUNTIFS(Scores!$B$5:$B$44,2,Scores!$C$5:$C$44,"Paper condition",Scores!I$5:I$44,"&lt;"&amp;Scores!I27)+0.5*COUNTIFS(Scores!$B$5:$B$44,2,Scores!$C$5:$C$44,"Paper condition",Scores!I$5:I$44,Scores!I27),"")</f>
        <v>8.5</v>
      </c>
      <c r="Y27" s="1" t="n">
        <f aca="false">IF(AND(Scores!$B27=2,OR(Scores!$C27="Tool condition",Scores!$C27="Paper condition"),ISNUMBER(Scores!I27)),(COUNTIFS(Scores!$B$5:$B$44,2,Scores!$C$5:$C$44,"Tool condition",Scores!I$5:I$44,Scores!I27)+COUNTIFS(Scores!$B$5:$B$44,2,Scores!$C$5:$C$44,"Paper condition",Scores!I$5:I$44,Scores!I27))^2-1,"")</f>
        <v>99</v>
      </c>
      <c r="Z27" s="1" t="n">
        <f aca="false">IF(ISNUMBER(Scores!I27),Scores!I27^2,"")</f>
        <v>4</v>
      </c>
      <c r="AA27" s="1" t="str">
        <f aca="false">IF(AND(Scores!$B27=1,Scores!$C27="Tool condition",ISNUMBER(Scores!J27)),COUNTIFS(Scores!$B$5:$B$44,1,Scores!$C$5:$C$44,"Paper condition",Scores!J$5:J$44,"&lt;"&amp;Scores!J27)+0.5*COUNTIFS(Scores!$B$5:$B$44,1,Scores!$C$5:$C$44,"Paper condition",Scores!J$5:J$44,Scores!J27),"")</f>
        <v/>
      </c>
      <c r="AB27" s="1" t="str">
        <f aca="false">IF(AND(Scores!$B27=1,OR(Scores!$C27="Tool condition",Scores!$C27="Paper condition"),ISNUMBER(Scores!J27)),(COUNTIFS(Scores!$B$5:$B$44,1,Scores!$C$5:$C$44,"Tool condition",Scores!J$5:J$44,Scores!J27)+COUNTIFS(Scores!$B$5:$B$44,1,Scores!$C$5:$C$44,"Paper condition",Scores!J$5:J$44,Scores!J27))^2-1,"")</f>
        <v/>
      </c>
      <c r="AC27" s="1" t="n">
        <f aca="false">IF(AND(Scores!$B27=2,Scores!$C27="Tool condition",ISNUMBER(Scores!J27)),COUNTIFS(Scores!$B$5:$B$44,2,Scores!$C$5:$C$44,"Paper condition",Scores!J$5:J$44,"&lt;"&amp;Scores!J27)+0.5*COUNTIFS(Scores!$B$5:$B$44,2,Scores!$C$5:$C$44,"Paper condition",Scores!J$5:J$44,Scores!J27),"")</f>
        <v>2.5</v>
      </c>
      <c r="AD27" s="1" t="n">
        <f aca="false">IF(AND(Scores!$B27=2,OR(Scores!$C27="Tool condition",Scores!$C27="Paper condition"),ISNUMBER(Scores!J27)),(COUNTIFS(Scores!$B$5:$B$44,2,Scores!$C$5:$C$44,"Tool condition",Scores!J$5:J$44,Scores!J27)+COUNTIFS(Scores!$B$5:$B$44,2,Scores!$C$5:$C$44,"Paper condition",Scores!J$5:J$44,Scores!J27))^2-1,"")</f>
        <v>80</v>
      </c>
      <c r="AE27" s="1" t="n">
        <f aca="false">IF(ISNUMBER(Scores!J27),Scores!J27^2,"")</f>
        <v>1</v>
      </c>
      <c r="AF27" s="1" t="str">
        <f aca="false">IF(AND(Scores!$B27=1,Scores!$C27="Tool condition",ISNUMBER(Scores!K27)),COUNTIFS(Scores!$B$5:$B$44,1,Scores!$C$5:$C$44,"Paper condition",Scores!K$5:K$44,"&lt;"&amp;Scores!K27)+0.5*COUNTIFS(Scores!$B$5:$B$44,1,Scores!$C$5:$C$44,"Paper condition",Scores!K$5:K$44,Scores!K27),"")</f>
        <v/>
      </c>
      <c r="AG27" s="1" t="str">
        <f aca="false">IF(AND(Scores!$B27=1,OR(Scores!$C27="Tool condition",Scores!$C27="Paper condition"),ISNUMBER(Scores!K27)),(COUNTIFS(Scores!$B$5:$B$44,1,Scores!$C$5:$C$44,"Tool condition",Scores!K$5:K$44,Scores!K27)+COUNTIFS(Scores!$B$5:$B$44,1,Scores!$C$5:$C$44,"Paper condition",Scores!K$5:K$44,Scores!K27))^2-1,"")</f>
        <v/>
      </c>
      <c r="AH27" s="1" t="n">
        <f aca="false">IF(AND(Scores!$B27=2,Scores!$C27="Tool condition",ISNUMBER(Scores!K27)),COUNTIFS(Scores!$B$5:$B$44,2,Scores!$C$5:$C$44,"Paper condition",Scores!K$5:K$44,"&lt;"&amp;Scores!K27)+0.5*COUNTIFS(Scores!$B$5:$B$44,2,Scores!$C$5:$C$44,"Paper condition",Scores!K$5:K$44,Scores!K27),"")</f>
        <v>8.5</v>
      </c>
      <c r="AI27" s="1" t="n">
        <f aca="false">IF(AND(Scores!$B27=2,OR(Scores!$C27="Tool condition",Scores!$C27="Paper condition"),ISNUMBER(Scores!K27)),(COUNTIFS(Scores!$B$5:$B$44,2,Scores!$C$5:$C$44,"Tool condition",Scores!K$5:K$44,Scores!K27)+COUNTIFS(Scores!$B$5:$B$44,2,Scores!$C$5:$C$44,"Paper condition",Scores!K$5:K$44,Scores!K27))^2-1,"")</f>
        <v>80</v>
      </c>
      <c r="AJ27" s="1" t="n">
        <f aca="false">IF(ISNUMBER(Scores!K27),Scores!K27^2,"")</f>
        <v>4</v>
      </c>
      <c r="AK27" s="1" t="str">
        <f aca="false">IF(AND(Scores!$B27=1,Scores!$C27="Tool condition",ISNUMBER(Scores!L27)),COUNTIFS(Scores!$B$5:$B$44,1,Scores!$C$5:$C$44,"Paper condition",Scores!L$5:L$44,"&lt;"&amp;Scores!L27)+0.5*COUNTIFS(Scores!$B$5:$B$44,1,Scores!$C$5:$C$44,"Paper condition",Scores!L$5:L$44,Scores!L27),"")</f>
        <v/>
      </c>
      <c r="AL27" s="1" t="str">
        <f aca="false">IF(AND(Scores!$B27=1,OR(Scores!$C27="Tool condition",Scores!$C27="Paper condition"),ISNUMBER(Scores!L27)),(COUNTIFS(Scores!$B$5:$B$44,1,Scores!$C$5:$C$44,"Tool condition",Scores!L$5:L$44,Scores!L27)+COUNTIFS(Scores!$B$5:$B$44,1,Scores!$C$5:$C$44,"Paper condition",Scores!L$5:L$44,Scores!L27))^2-1,"")</f>
        <v/>
      </c>
      <c r="AM27" s="1" t="n">
        <f aca="false">IF(AND(Scores!$B27=2,Scores!$C27="Tool condition",ISNUMBER(Scores!L27)),COUNTIFS(Scores!$B$5:$B$44,2,Scores!$C$5:$C$44,"Paper condition",Scores!L$5:L$44,"&lt;"&amp;Scores!L27)+0.5*COUNTIFS(Scores!$B$5:$B$44,2,Scores!$C$5:$C$44,"Paper condition",Scores!L$5:L$44,Scores!L27),"")</f>
        <v>2.5</v>
      </c>
      <c r="AN27" s="1" t="n">
        <f aca="false">IF(AND(Scores!$B27=2,OR(Scores!$C27="Tool condition",Scores!$C27="Paper condition"),ISNUMBER(Scores!L27)),(COUNTIFS(Scores!$B$5:$B$44,2,Scores!$C$5:$C$44,"Tool condition",Scores!L$5:L$44,Scores!L27)+COUNTIFS(Scores!$B$5:$B$44,2,Scores!$C$5:$C$44,"Paper condition",Scores!L$5:L$44,Scores!L27))^2-1,"")</f>
        <v>99</v>
      </c>
      <c r="AO27" s="1" t="n">
        <f aca="false">IF(ISNUMBER(Scores!L27),Scores!L27^2,"")</f>
        <v>1</v>
      </c>
      <c r="AP27" s="1" t="str">
        <f aca="false">IF(AND(Scores!$B27=1,Scores!$C27="Tool condition",ISNUMBER(Scores!M27)),COUNTIFS(Scores!$B$5:$B$44,1,Scores!$C$5:$C$44,"Paper condition",Scores!M$5:M$44,"&lt;"&amp;Scores!M27)+0.5*COUNTIFS(Scores!$B$5:$B$44,1,Scores!$C$5:$C$44,"Paper condition",Scores!M$5:M$44,Scores!M27),"")</f>
        <v/>
      </c>
      <c r="AQ27" s="1" t="str">
        <f aca="false">IF(AND(Scores!$B27=1,OR(Scores!$C27="Tool condition",Scores!$C27="Paper condition"),ISNUMBER(Scores!M27)),(COUNTIFS(Scores!$B$5:$B$44,1,Scores!$C$5:$C$44,"Tool condition",Scores!M$5:M$44,Scores!M27)+COUNTIFS(Scores!$B$5:$B$44,1,Scores!$C$5:$C$44,"Paper condition",Scores!M$5:M$44,Scores!M27))^2-1,"")</f>
        <v/>
      </c>
      <c r="AR27" s="1" t="n">
        <f aca="false">IF(AND(Scores!$B27=2,Scores!$C27="Tool condition",ISNUMBER(Scores!M27)),COUNTIFS(Scores!$B$5:$B$44,2,Scores!$C$5:$C$44,"Paper condition",Scores!M$5:M$44,"&lt;"&amp;Scores!M27)+0.5*COUNTIFS(Scores!$B$5:$B$44,2,Scores!$C$5:$C$44,"Paper condition",Scores!M$5:M$44,Scores!M27),"")</f>
        <v>3.5</v>
      </c>
      <c r="AS27" s="1" t="n">
        <f aca="false">IF(AND(Scores!$B27=2,OR(Scores!$C27="Tool condition",Scores!$C27="Paper condition"),ISNUMBER(Scores!M27)),(COUNTIFS(Scores!$B$5:$B$44,2,Scores!$C$5:$C$44,"Tool condition",Scores!M$5:M$44,Scores!M27)+COUNTIFS(Scores!$B$5:$B$44,2,Scores!$C$5:$C$44,"Paper condition",Scores!M$5:M$44,Scores!M27))^2-1,"")</f>
        <v>80</v>
      </c>
      <c r="AT27" s="1" t="n">
        <f aca="false">IF(ISNUMBER(Scores!M27),Scores!M27^2,"")</f>
        <v>1</v>
      </c>
      <c r="AU27" s="1" t="str">
        <f aca="false">IF(AND(Scores!$B27=1,Scores!$C27="Tool condition",ISNUMBER(Scores!N27)),COUNTIFS(Scores!$B$5:$B$44,1,Scores!$C$5:$C$44,"Paper condition",Scores!N$5:N$44,"&lt;"&amp;Scores!N27)+0.5*COUNTIFS(Scores!$B$5:$B$44,1,Scores!$C$5:$C$44,"Paper condition",Scores!N$5:N$44,Scores!N27),"")</f>
        <v/>
      </c>
      <c r="AV27" s="1" t="str">
        <f aca="false">IF(AND(Scores!$B27=1,OR(Scores!$C27="Tool condition",Scores!$C27="Paper condition"),ISNUMBER(Scores!N27)),(COUNTIFS(Scores!$B$5:$B$44,1,Scores!$C$5:$C$44,"Tool condition",Scores!N$5:N$44,Scores!N27)+COUNTIFS(Scores!$B$5:$B$44,1,Scores!$C$5:$C$44,"Paper condition",Scores!N$5:N$44,Scores!N27))^2-1,"")</f>
        <v/>
      </c>
      <c r="AW27" s="1" t="n">
        <f aca="false">IF(AND(Scores!$B27=2,Scores!$C27="Tool condition",ISNUMBER(Scores!N27)),COUNTIFS(Scores!$B$5:$B$44,2,Scores!$C$5:$C$44,"Paper condition",Scores!N$5:N$44,"&lt;"&amp;Scores!N27)+0.5*COUNTIFS(Scores!$B$5:$B$44,2,Scores!$C$5:$C$44,"Paper condition",Scores!N$5:N$44,Scores!N27),"")</f>
        <v>1</v>
      </c>
      <c r="AX27" s="1" t="n">
        <f aca="false">IF(AND(Scores!$B27=2,OR(Scores!$C27="Tool condition",Scores!$C27="Paper condition"),ISNUMBER(Scores!N27)),(COUNTIFS(Scores!$B$5:$B$44,2,Scores!$C$5:$C$44,"Tool condition",Scores!N$5:N$44,Scores!N27)+COUNTIFS(Scores!$B$5:$B$44,2,Scores!$C$5:$C$44,"Paper condition",Scores!N$5:N$44,Scores!N27))^2-1,"")</f>
        <v>24</v>
      </c>
      <c r="AY27" s="1" t="n">
        <f aca="false">IF(ISNUMBER(Scores!N27),Scores!N27^2,"")</f>
        <v>0</v>
      </c>
      <c r="AZ27" s="1" t="str">
        <f aca="false">IF(AND(Scores!$B27=1,Scores!$C27="Tool condition",ISNUMBER(Scores!O27)),COUNTIFS(Scores!$B$5:$B$44,1,Scores!$C$5:$C$44,"Paper condition",Scores!O$5:O$44,"&lt;"&amp;Scores!O27)+0.5*COUNTIFS(Scores!$B$5:$B$44,1,Scores!$C$5:$C$44,"Paper condition",Scores!O$5:O$44,Scores!O27),"")</f>
        <v/>
      </c>
      <c r="BA27" s="1" t="str">
        <f aca="false">IF(AND(Scores!$B27=1,OR(Scores!$C27="Tool condition",Scores!$C27="Paper condition"),ISNUMBER(Scores!O27)),(COUNTIFS(Scores!$B$5:$B$44,1,Scores!$C$5:$C$44,"Tool condition",Scores!O$5:O$44,Scores!O27)+COUNTIFS(Scores!$B$5:$B$44,1,Scores!$C$5:$C$44,"Paper condition",Scores!O$5:O$44,Scores!O27))^2-1,"")</f>
        <v/>
      </c>
      <c r="BB27" s="1" t="n">
        <f aca="false">IF(AND(Scores!$B27=2,Scores!$C27="Tool condition",ISNUMBER(Scores!O27)),COUNTIFS(Scores!$B$5:$B$44,2,Scores!$C$5:$C$44,"Paper condition",Scores!O$5:O$44,"&lt;"&amp;Scores!O27)+0.5*COUNTIFS(Scores!$B$5:$B$44,2,Scores!$C$5:$C$44,"Paper condition",Scores!O$5:O$44,Scores!O27),"")</f>
        <v>10</v>
      </c>
      <c r="BC27" s="1" t="n">
        <f aca="false">IF(AND(Scores!$B27=2,OR(Scores!$C27="Tool condition",Scores!$C27="Paper condition"),ISNUMBER(Scores!O27)),(COUNTIFS(Scores!$B$5:$B$44,2,Scores!$C$5:$C$44,"Tool condition",Scores!O$5:O$44,Scores!O27)+COUNTIFS(Scores!$B$5:$B$44,2,Scores!$C$5:$C$44,"Paper condition",Scores!O$5:O$44,Scores!O27))^2-1,"")</f>
        <v>15</v>
      </c>
      <c r="BD27" s="1" t="n">
        <f aca="false">IF(ISNUMBER(Scores!O27),Scores!O27^2,"")</f>
        <v>4</v>
      </c>
      <c r="BE27" s="1" t="str">
        <f aca="false">IF(AND(Scores!$B27=1,Scores!$C27="Tool condition",ISNUMBER(Scores!P27)),COUNTIFS(Scores!$B$5:$B$44,1,Scores!$C$5:$C$44,"Paper condition",Scores!P$5:P$44,"&lt;"&amp;Scores!P27)+0.5*COUNTIFS(Scores!$B$5:$B$44,1,Scores!$C$5:$C$44,"Paper condition",Scores!P$5:P$44,Scores!P27),"")</f>
        <v/>
      </c>
      <c r="BF27" s="1" t="str">
        <f aca="false">IF(AND(Scores!$B27=1,OR(Scores!$C27="Tool condition",Scores!$C27="Paper condition"),ISNUMBER(Scores!P27)),(COUNTIFS(Scores!$B$5:$B$44,1,Scores!$C$5:$C$44,"Tool condition",Scores!P$5:P$44,Scores!P27)+COUNTIFS(Scores!$B$5:$B$44,1,Scores!$C$5:$C$44,"Paper condition",Scores!P$5:P$44,Scores!P27))^2-1,"")</f>
        <v/>
      </c>
      <c r="BG27" s="1" t="n">
        <f aca="false">IF(AND(Scores!$B27=2,Scores!$C27="Tool condition",ISNUMBER(Scores!P27)),COUNTIFS(Scores!$B$5:$B$44,2,Scores!$C$5:$C$44,"Paper condition",Scores!P$5:P$44,"&lt;"&amp;Scores!P27)+0.5*COUNTIFS(Scores!$B$5:$B$44,2,Scores!$C$5:$C$44,"Paper condition",Scores!P$5:P$44,Scores!P27),"")</f>
        <v>7.5</v>
      </c>
      <c r="BH27" s="1" t="n">
        <f aca="false">IF(AND(Scores!$B27=2,OR(Scores!$C27="Tool condition",Scores!$C27="Paper condition"),ISNUMBER(Scores!P27)),(COUNTIFS(Scores!$B$5:$B$44,2,Scores!$C$5:$C$44,"Tool condition",Scores!P$5:P$44,Scores!P27)+COUNTIFS(Scores!$B$5:$B$44,2,Scores!$C$5:$C$44,"Paper condition",Scores!P$5:P$44,Scores!P27))^2-1,"")</f>
        <v>143</v>
      </c>
      <c r="BI27" s="1" t="n">
        <f aca="false">IF(ISNUMBER(Scores!P27),Scores!P27^2,"")</f>
        <v>1</v>
      </c>
      <c r="BJ27" s="1" t="str">
        <f aca="false">IF(AND(R_Scores!$B27=1,R_Scores!$C27="Tool condition",ISNUMBER(R_Scores!E27)),COUNTIFS(R_Scores!$B$5:$B$44,1,R_Scores!$C$5:$C$44,"Paper condition",R_Scores!E$5:E$44,"&lt;"&amp;R_Scores!E27)+0.5*COUNTIFS(R_Scores!$B$5:$B$44,1,R_Scores!$C$5:$C$44,"Paper condition",R_Scores!E$5:E$44,R_Scores!E27),"")</f>
        <v/>
      </c>
      <c r="BK27" s="1" t="str">
        <f aca="false">IF(AND(R_Scores!$B27=1,OR(R_Scores!$C27="Tool condition",R_Scores!$C27="Paper condition"),ISNUMBER(R_Scores!E27)),(COUNTIFS(R_Scores!$B$5:$B$44,1,R_Scores!$C$5:$C$44,"Tool condition",R_Scores!E$5:E$44,R_Scores!E27)+COUNTIFS(R_Scores!$B$5:$B$44,1,R_Scores!$C$5:$C$44,"Paper condition",R_Scores!E$5:E$44,R_Scores!E27))^2-1,"")</f>
        <v/>
      </c>
      <c r="BL27" s="1" t="n">
        <f aca="false">IF(AND(R_Scores!$B27=2,R_Scores!$C27="Tool condition",ISNUMBER(R_Scores!E27)),COUNTIFS(R_Scores!$B$5:$B$44,2,R_Scores!$C$5:$C$44,"Paper condition",R_Scores!E$5:E$44,"&lt;"&amp;R_Scores!E27)+0.5*COUNTIFS(R_Scores!$B$5:$B$44,2,R_Scores!$C$5:$C$44,"Paper condition",R_Scores!E$5:E$44,R_Scores!E27),"")</f>
        <v>6.5</v>
      </c>
      <c r="BM27" s="1" t="n">
        <f aca="false">IF(AND(R_Scores!$B27=2,OR(R_Scores!$C27="Tool condition",R_Scores!$C27="Paper condition"),ISNUMBER(R_Scores!E27)),(COUNTIFS(R_Scores!$B$5:$B$44,2,R_Scores!$C$5:$C$44,"Tool condition",R_Scores!E$5:E$44,R_Scores!E27)+COUNTIFS(R_Scores!$B$5:$B$44,2,R_Scores!$C$5:$C$44,"Paper condition",R_Scores!E$5:E$44,R_Scores!E27))^2-1,"")</f>
        <v>224</v>
      </c>
      <c r="BN27" s="1" t="n">
        <f aca="false">IF(ISNUMBER(R_Scores!E27),R_Scores!E27^2,"")</f>
        <v>1</v>
      </c>
      <c r="BO27" s="1" t="str">
        <f aca="false">IF(AND(R_Scores!$B27=1,R_Scores!$C27="Tool condition",ISNUMBER(R_Scores!F27)),COUNTIFS(R_Scores!$B$5:$B$44,1,R_Scores!$C$5:$C$44,"Paper condition",R_Scores!F$5:F$44,"&lt;"&amp;R_Scores!F27)+0.5*COUNTIFS(R_Scores!$B$5:$B$44,1,R_Scores!$C$5:$C$44,"Paper condition",R_Scores!F$5:F$44,R_Scores!F27),"")</f>
        <v/>
      </c>
      <c r="BP27" s="1" t="str">
        <f aca="false">IF(AND(R_Scores!$B27=1,OR(R_Scores!$C27="Tool condition",R_Scores!$C27="Paper condition"),ISNUMBER(R_Scores!F27)),(COUNTIFS(R_Scores!$B$5:$B$44,1,R_Scores!$C$5:$C$44,"Tool condition",R_Scores!F$5:F$44,R_Scores!F27)+COUNTIFS(R_Scores!$B$5:$B$44,1,R_Scores!$C$5:$C$44,"Paper condition",R_Scores!F$5:F$44,R_Scores!F27))^2-1,"")</f>
        <v/>
      </c>
      <c r="BQ27" s="1" t="n">
        <f aca="false">IF(AND(R_Scores!$B27=2,R_Scores!$C27="Tool condition",ISNUMBER(R_Scores!F27)),COUNTIFS(R_Scores!$B$5:$B$44,2,R_Scores!$C$5:$C$44,"Paper condition",R_Scores!F$5:F$44,"&lt;"&amp;R_Scores!F27)+0.5*COUNTIFS(R_Scores!$B$5:$B$44,2,R_Scores!$C$5:$C$44,"Paper condition",R_Scores!F$5:F$44,R_Scores!F27),"")</f>
        <v>1.5</v>
      </c>
      <c r="BR27" s="1" t="n">
        <f aca="false">IF(AND(R_Scores!$B27=2,OR(R_Scores!$C27="Tool condition",R_Scores!$C27="Paper condition"),ISNUMBER(R_Scores!F27)),(COUNTIFS(R_Scores!$B$5:$B$44,2,R_Scores!$C$5:$C$44,"Tool condition",R_Scores!F$5:F$44,R_Scores!F27)+COUNTIFS(R_Scores!$B$5:$B$44,2,R_Scores!$C$5:$C$44,"Paper condition",R_Scores!F$5:F$44,R_Scores!F27))^2-1,"")</f>
        <v>35</v>
      </c>
      <c r="BS27" s="1" t="n">
        <f aca="false">IF(ISNUMBER(R_Scores!F27),R_Scores!F27^2,"")</f>
        <v>0</v>
      </c>
      <c r="BT27" s="1" t="str">
        <f aca="false">IF(AND(R_Scores!$B27=1,R_Scores!$C27="Tool condition",ISNUMBER(R_Scores!G27)),COUNTIFS(R_Scores!$B$5:$B$44,1,R_Scores!$C$5:$C$44,"Paper condition",R_Scores!G$5:G$44,"&lt;"&amp;R_Scores!G27)+0.5*COUNTIFS(R_Scores!$B$5:$B$44,1,R_Scores!$C$5:$C$44,"Paper condition",R_Scores!G$5:G$44,R_Scores!G27),"")</f>
        <v/>
      </c>
      <c r="BU27" s="1" t="str">
        <f aca="false">IF(AND(R_Scores!$B27=1,OR(R_Scores!$C27="Tool condition",R_Scores!$C27="Paper condition"),ISNUMBER(R_Scores!G27)),(COUNTIFS(R_Scores!$B$5:$B$44,1,R_Scores!$C$5:$C$44,"Tool condition",R_Scores!G$5:G$44,R_Scores!G27)+COUNTIFS(R_Scores!$B$5:$B$44,1,R_Scores!$C$5:$C$44,"Paper condition",R_Scores!G$5:G$44,R_Scores!G27))^2-1,"")</f>
        <v/>
      </c>
      <c r="BV27" s="1" t="str">
        <f aca="false">IF(AND(R_Scores!$B27=2,R_Scores!$C27="Tool condition",ISNUMBER(R_Scores!G27)),COUNTIFS(R_Scores!$B$5:$B$44,2,R_Scores!$C$5:$C$44,"Paper condition",R_Scores!G$5:G$44,"&lt;"&amp;R_Scores!G27)+0.5*COUNTIFS(R_Scores!$B$5:$B$44,2,R_Scores!$C$5:$C$44,"Paper condition",R_Scores!G$5:G$44,R_Scores!G27),"")</f>
        <v/>
      </c>
      <c r="BW27" s="1" t="str">
        <f aca="false">IF(AND(R_Scores!$B27=2,OR(R_Scores!$C27="Tool condition",R_Scores!$C27="Paper condition"),ISNUMBER(R_Scores!G27)),(COUNTIFS(R_Scores!$B$5:$B$44,2,R_Scores!$C$5:$C$44,"Tool condition",R_Scores!G$5:G$44,R_Scores!G27)+COUNTIFS(R_Scores!$B$5:$B$44,2,R_Scores!$C$5:$C$44,"Paper condition",R_Scores!G$5:G$44,R_Scores!G27))^2-1,"")</f>
        <v/>
      </c>
      <c r="BX27" s="1" t="str">
        <f aca="false">IF(ISNUMBER(R_Scores!G27),R_Scores!G27^2,"")</f>
        <v/>
      </c>
      <c r="BY27" s="1" t="str">
        <f aca="false">IF(AND(R_Scores!$B27=1,R_Scores!$C27="Tool condition",ISNUMBER(R_Scores!H27)),COUNTIFS(R_Scores!$B$5:$B$44,1,R_Scores!$C$5:$C$44,"Paper condition",R_Scores!H$5:H$44,"&lt;"&amp;R_Scores!H27)+0.5*COUNTIFS(R_Scores!$B$5:$B$44,1,R_Scores!$C$5:$C$44,"Paper condition",R_Scores!H$5:H$44,R_Scores!H27),"")</f>
        <v/>
      </c>
      <c r="BZ27" s="1" t="str">
        <f aca="false">IF(AND(R_Scores!$B27=1,OR(R_Scores!$C27="Tool condition",R_Scores!$C27="Paper condition"),ISNUMBER(R_Scores!H27)),(COUNTIFS(R_Scores!$B$5:$B$44,1,R_Scores!$C$5:$C$44,"Tool condition",R_Scores!H$5:H$44,R_Scores!H27)+COUNTIFS(R_Scores!$B$5:$B$44,1,R_Scores!$C$5:$C$44,"Paper condition",R_Scores!H$5:H$44,R_Scores!H27))^2-1,"")</f>
        <v/>
      </c>
      <c r="CA27" s="1" t="str">
        <f aca="false">IF(AND(R_Scores!$B27=2,R_Scores!$C27="Tool condition",ISNUMBER(R_Scores!H27)),COUNTIFS(R_Scores!$B$5:$B$44,2,R_Scores!$C$5:$C$44,"Paper condition",R_Scores!H$5:H$44,"&lt;"&amp;R_Scores!H27)+0.5*COUNTIFS(R_Scores!$B$5:$B$44,2,R_Scores!$C$5:$C$44,"Paper condition",R_Scores!H$5:H$44,R_Scores!H27),"")</f>
        <v/>
      </c>
      <c r="CB27" s="1" t="str">
        <f aca="false">IF(AND(R_Scores!$B27=2,OR(R_Scores!$C27="Tool condition",R_Scores!$C27="Paper condition"),ISNUMBER(R_Scores!H27)),(COUNTIFS(R_Scores!$B$5:$B$44,2,R_Scores!$C$5:$C$44,"Tool condition",R_Scores!H$5:H$44,R_Scores!H27)+COUNTIFS(R_Scores!$B$5:$B$44,2,R_Scores!$C$5:$C$44,"Paper condition",R_Scores!H$5:H$44,R_Scores!H27))^2-1,"")</f>
        <v/>
      </c>
      <c r="CC27" s="1" t="str">
        <f aca="false">IF(ISNUMBER(R_Scores!H27),R_Scores!H27^2,"")</f>
        <v/>
      </c>
      <c r="CD27" s="1" t="str">
        <f aca="false">IF(AND(R_Scores!$B27=1,R_Scores!$C27="Tool condition",ISNUMBER(R_Scores!I27)),COUNTIFS(R_Scores!$B$5:$B$44,1,R_Scores!$C$5:$C$44,"Paper condition",R_Scores!I$5:I$44,"&lt;"&amp;R_Scores!I27)+0.5*COUNTIFS(R_Scores!$B$5:$B$44,1,R_Scores!$C$5:$C$44,"Paper condition",R_Scores!I$5:I$44,R_Scores!I27),"")</f>
        <v/>
      </c>
      <c r="CE27" s="1" t="str">
        <f aca="false">IF(AND(R_Scores!$B27=1,OR(R_Scores!$C27="Tool condition",R_Scores!$C27="Paper condition"),ISNUMBER(R_Scores!I27)),(COUNTIFS(R_Scores!$B$5:$B$44,1,R_Scores!$C$5:$C$44,"Tool condition",R_Scores!I$5:I$44,R_Scores!I27)+COUNTIFS(R_Scores!$B$5:$B$44,1,R_Scores!$C$5:$C$44,"Paper condition",R_Scores!I$5:I$44,R_Scores!I27))^2-1,"")</f>
        <v/>
      </c>
      <c r="CF27" s="1" t="n">
        <f aca="false">IF(AND(R_Scores!$B27=2,R_Scores!$C27="Tool condition",ISNUMBER(R_Scores!I27)),COUNTIFS(R_Scores!$B$5:$B$44,2,R_Scores!$C$5:$C$44,"Paper condition",R_Scores!I$5:I$44,"&lt;"&amp;R_Scores!I27)+0.5*COUNTIFS(R_Scores!$B$5:$B$44,2,R_Scores!$C$5:$C$44,"Paper condition",R_Scores!I$5:I$44,R_Scores!I27),"")</f>
        <v>1</v>
      </c>
      <c r="CG27" s="1" t="n">
        <f aca="false">IF(AND(R_Scores!$B27=2,OR(R_Scores!$C27="Tool condition",R_Scores!$C27="Paper condition"),ISNUMBER(R_Scores!I27)),(COUNTIFS(R_Scores!$B$5:$B$44,2,R_Scores!$C$5:$C$44,"Tool condition",R_Scores!I$5:I$44,R_Scores!I27)+COUNTIFS(R_Scores!$B$5:$B$44,2,R_Scores!$C$5:$C$44,"Paper condition",R_Scores!I$5:I$44,R_Scores!I27))^2-1,"")</f>
        <v>15</v>
      </c>
      <c r="CH27" s="1" t="n">
        <f aca="false">IF(ISNUMBER(R_Scores!I27),R_Scores!I27^2,"")</f>
        <v>0</v>
      </c>
      <c r="CI27" s="1" t="str">
        <f aca="false">IF(AND(R_Scores!$B27=1,R_Scores!$C27="Tool condition",ISNUMBER(R_Scores!J27)),COUNTIFS(R_Scores!$B$5:$B$44,1,R_Scores!$C$5:$C$44,"Paper condition",R_Scores!J$5:J$44,"&lt;"&amp;R_Scores!J27)+0.5*COUNTIFS(R_Scores!$B$5:$B$44,1,R_Scores!$C$5:$C$44,"Paper condition",R_Scores!J$5:J$44,R_Scores!J27),"")</f>
        <v/>
      </c>
      <c r="CJ27" s="1" t="str">
        <f aca="false">IF(AND(R_Scores!$B27=1,OR(R_Scores!$C27="Tool condition",R_Scores!$C27="Paper condition"),ISNUMBER(R_Scores!J27)),(COUNTIFS(R_Scores!$B$5:$B$44,1,R_Scores!$C$5:$C$44,"Tool condition",R_Scores!J$5:J$44,R_Scores!J27)+COUNTIFS(R_Scores!$B$5:$B$44,1,R_Scores!$C$5:$C$44,"Paper condition",R_Scores!J$5:J$44,R_Scores!J27))^2-1,"")</f>
        <v/>
      </c>
      <c r="CK27" s="1" t="n">
        <f aca="false">IF(AND(R_Scores!$B27=2,R_Scores!$C27="Tool condition",ISNUMBER(R_Scores!J27)),COUNTIFS(R_Scores!$B$5:$B$44,2,R_Scores!$C$5:$C$44,"Paper condition",R_Scores!J$5:J$44,"&lt;"&amp;R_Scores!J27)+0.5*COUNTIFS(R_Scores!$B$5:$B$44,2,R_Scores!$C$5:$C$44,"Paper condition",R_Scores!J$5:J$44,R_Scores!J27),"")</f>
        <v>7</v>
      </c>
      <c r="CL27" s="1" t="n">
        <f aca="false">IF(AND(R_Scores!$B27=2,OR(R_Scores!$C27="Tool condition",R_Scores!$C27="Paper condition"),ISNUMBER(R_Scores!J27)),(COUNTIFS(R_Scores!$B$5:$B$44,2,R_Scores!$C$5:$C$44,"Tool condition",R_Scores!J$5:J$44,R_Scores!J27)+COUNTIFS(R_Scores!$B$5:$B$44,2,R_Scores!$C$5:$C$44,"Paper condition",R_Scores!J$5:J$44,R_Scores!J27))^2-1,"")</f>
        <v>195</v>
      </c>
      <c r="CM27" s="1" t="n">
        <f aca="false">IF(ISNUMBER(R_Scores!J27),R_Scores!J27^2,"")</f>
        <v>1</v>
      </c>
      <c r="CN27" s="1" t="str">
        <f aca="false">IF(AND(R_Scores!$B27=1,R_Scores!$C27="Tool condition",ISNUMBER(R_Scores!K27)),COUNTIFS(R_Scores!$B$5:$B$44,1,R_Scores!$C$5:$C$44,"Paper condition",R_Scores!K$5:K$44,"&lt;"&amp;R_Scores!K27)+0.5*COUNTIFS(R_Scores!$B$5:$B$44,1,R_Scores!$C$5:$C$44,"Paper condition",R_Scores!K$5:K$44,R_Scores!K27),"")</f>
        <v/>
      </c>
      <c r="CO27" s="1" t="str">
        <f aca="false">IF(AND(R_Scores!$B27=1,OR(R_Scores!$C27="Tool condition",R_Scores!$C27="Paper condition"),ISNUMBER(R_Scores!K27)),(COUNTIFS(R_Scores!$B$5:$B$44,1,R_Scores!$C$5:$C$44,"Tool condition",R_Scores!K$5:K$44,R_Scores!K27)+COUNTIFS(R_Scores!$B$5:$B$44,1,R_Scores!$C$5:$C$44,"Paper condition",R_Scores!K$5:K$44,R_Scores!K27))^2-1,"")</f>
        <v/>
      </c>
      <c r="CP27" s="1" t="str">
        <f aca="false">IF(AND(R_Scores!$B27=2,R_Scores!$C27="Tool condition",ISNUMBER(R_Scores!K27)),COUNTIFS(R_Scores!$B$5:$B$44,2,R_Scores!$C$5:$C$44,"Paper condition",R_Scores!K$5:K$44,"&lt;"&amp;R_Scores!K27)+0.5*COUNTIFS(R_Scores!$B$5:$B$44,2,R_Scores!$C$5:$C$44,"Paper condition",R_Scores!K$5:K$44,R_Scores!K27),"")</f>
        <v/>
      </c>
      <c r="CQ27" s="1" t="str">
        <f aca="false">IF(AND(R_Scores!$B27=2,OR(R_Scores!$C27="Tool condition",R_Scores!$C27="Paper condition"),ISNUMBER(R_Scores!K27)),(COUNTIFS(R_Scores!$B$5:$B$44,2,R_Scores!$C$5:$C$44,"Tool condition",R_Scores!K$5:K$44,R_Scores!K27)+COUNTIFS(R_Scores!$B$5:$B$44,2,R_Scores!$C$5:$C$44,"Paper condition",R_Scores!K$5:K$44,R_Scores!K27))^2-1,"")</f>
        <v/>
      </c>
      <c r="CR27" s="1" t="str">
        <f aca="false">IF(ISNUMBER(R_Scores!K27),R_Scores!K27^2,"")</f>
        <v/>
      </c>
      <c r="CS27" s="1" t="str">
        <f aca="false">IF(AND(R_Scores!$B27=1,R_Scores!$C27="Tool condition",ISNUMBER(R_Scores!L27)),COUNTIFS(R_Scores!$B$5:$B$44,1,R_Scores!$C$5:$C$44,"Paper condition",R_Scores!L$5:L$44,"&lt;"&amp;R_Scores!L27)+0.5*COUNTIFS(R_Scores!$B$5:$B$44,1,R_Scores!$C$5:$C$44,"Paper condition",R_Scores!L$5:L$44,R_Scores!L27),"")</f>
        <v/>
      </c>
      <c r="CT27" s="1" t="str">
        <f aca="false">IF(AND(R_Scores!$B27=1,OR(R_Scores!$C27="Tool condition",R_Scores!$C27="Paper condition"),ISNUMBER(R_Scores!L27)),(COUNTIFS(R_Scores!$B$5:$B$44,1,R_Scores!$C$5:$C$44,"Tool condition",R_Scores!L$5:L$44,R_Scores!L27)+COUNTIFS(R_Scores!$B$5:$B$44,1,R_Scores!$C$5:$C$44,"Paper condition",R_Scores!L$5:L$44,R_Scores!L27))^2-1,"")</f>
        <v/>
      </c>
      <c r="CU27" s="1" t="str">
        <f aca="false">IF(AND(R_Scores!$B27=2,R_Scores!$C27="Tool condition",ISNUMBER(R_Scores!L27)),COUNTIFS(R_Scores!$B$5:$B$44,2,R_Scores!$C$5:$C$44,"Paper condition",R_Scores!L$5:L$44,"&lt;"&amp;R_Scores!L27)+0.5*COUNTIFS(R_Scores!$B$5:$B$44,2,R_Scores!$C$5:$C$44,"Paper condition",R_Scores!L$5:L$44,R_Scores!L27),"")</f>
        <v/>
      </c>
      <c r="CV27" s="1" t="str">
        <f aca="false">IF(AND(R_Scores!$B27=2,OR(R_Scores!$C27="Tool condition",R_Scores!$C27="Paper condition"),ISNUMBER(R_Scores!L27)),(COUNTIFS(R_Scores!$B$5:$B$44,2,R_Scores!$C$5:$C$44,"Tool condition",R_Scores!L$5:L$44,R_Scores!L27)+COUNTIFS(R_Scores!$B$5:$B$44,2,R_Scores!$C$5:$C$44,"Paper condition",R_Scores!L$5:L$44,R_Scores!L27))^2-1,"")</f>
        <v/>
      </c>
      <c r="CW27" s="1" t="str">
        <f aca="false">IF(ISNUMBER(R_Scores!L27),R_Scores!L27^2,"")</f>
        <v/>
      </c>
      <c r="CX27" s="1" t="str">
        <f aca="false">IF(AND(R_Scores!$B27=1,R_Scores!$C27="Tool condition",ISNUMBER(R_Scores!M27)),COUNTIFS(R_Scores!$B$5:$B$44,1,R_Scores!$C$5:$C$44,"Paper condition",R_Scores!M$5:M$44,"&lt;"&amp;R_Scores!M27)+0.5*COUNTIFS(R_Scores!$B$5:$B$44,1,R_Scores!$C$5:$C$44,"Paper condition",R_Scores!M$5:M$44,R_Scores!M27),"")</f>
        <v/>
      </c>
      <c r="CY27" s="1" t="str">
        <f aca="false">IF(AND(R_Scores!$B27=1,OR(R_Scores!$C27="Tool condition",R_Scores!$C27="Paper condition"),ISNUMBER(R_Scores!M27)),(COUNTIFS(R_Scores!$B$5:$B$44,1,R_Scores!$C$5:$C$44,"Tool condition",R_Scores!M$5:M$44,R_Scores!M27)+COUNTIFS(R_Scores!$B$5:$B$44,1,R_Scores!$C$5:$C$44,"Paper condition",R_Scores!M$5:M$44,R_Scores!M27))^2-1,"")</f>
        <v/>
      </c>
      <c r="CZ27" s="1" t="str">
        <f aca="false">IF(AND(R_Scores!$B27=2,R_Scores!$C27="Tool condition",ISNUMBER(R_Scores!M27)),COUNTIFS(R_Scores!$B$5:$B$44,2,R_Scores!$C$5:$C$44,"Paper condition",R_Scores!M$5:M$44,"&lt;"&amp;R_Scores!M27)+0.5*COUNTIFS(R_Scores!$B$5:$B$44,2,R_Scores!$C$5:$C$44,"Paper condition",R_Scores!M$5:M$44,R_Scores!M27),"")</f>
        <v/>
      </c>
      <c r="DA27" s="1" t="str">
        <f aca="false">IF(AND(R_Scores!$B27=2,OR(R_Scores!$C27="Tool condition",R_Scores!$C27="Paper condition"),ISNUMBER(R_Scores!M27)),(COUNTIFS(R_Scores!$B$5:$B$44,2,R_Scores!$C$5:$C$44,"Tool condition",R_Scores!M$5:M$44,R_Scores!M27)+COUNTIFS(R_Scores!$B$5:$B$44,2,R_Scores!$C$5:$C$44,"Paper condition",R_Scores!M$5:M$44,R_Scores!M27))^2-1,"")</f>
        <v/>
      </c>
      <c r="DB27" s="1" t="str">
        <f aca="false">IF(ISNUMBER(R_Scores!M27),R_Scores!M27^2,"")</f>
        <v/>
      </c>
      <c r="DC27" s="1" t="str">
        <f aca="false">IF(AND(R_Scores!$B27=1,R_Scores!$C27="Tool condition",ISNUMBER(R_Scores!N27)),COUNTIFS(R_Scores!$B$5:$B$44,1,R_Scores!$C$5:$C$44,"Paper condition",R_Scores!N$5:N$44,"&lt;"&amp;R_Scores!N27)+0.5*COUNTIFS(R_Scores!$B$5:$B$44,1,R_Scores!$C$5:$C$44,"Paper condition",R_Scores!N$5:N$44,R_Scores!N27),"")</f>
        <v/>
      </c>
      <c r="DD27" s="1" t="str">
        <f aca="false">IF(AND(R_Scores!$B27=1,OR(R_Scores!$C27="Tool condition",R_Scores!$C27="Paper condition"),ISNUMBER(R_Scores!N27)),(COUNTIFS(R_Scores!$B$5:$B$44,1,R_Scores!$C$5:$C$44,"Tool condition",R_Scores!N$5:N$44,R_Scores!N27)+COUNTIFS(R_Scores!$B$5:$B$44,1,R_Scores!$C$5:$C$44,"Paper condition",R_Scores!N$5:N$44,R_Scores!N27))^2-1,"")</f>
        <v/>
      </c>
      <c r="DE27" s="1" t="n">
        <f aca="false">IF(AND(R_Scores!$B27=2,R_Scores!$C27="Tool condition",ISNUMBER(R_Scores!N27)),COUNTIFS(R_Scores!$B$5:$B$44,2,R_Scores!$C$5:$C$44,"Paper condition",R_Scores!N$5:N$44,"&lt;"&amp;R_Scores!N27)+0.5*COUNTIFS(R_Scores!$B$5:$B$44,2,R_Scores!$C$5:$C$44,"Paper condition",R_Scores!N$5:N$44,R_Scores!N27),"")</f>
        <v>8</v>
      </c>
      <c r="DF27" s="1" t="n">
        <f aca="false">IF(AND(R_Scores!$B27=2,OR(R_Scores!$C27="Tool condition",R_Scores!$C27="Paper condition"),ISNUMBER(R_Scores!N27)),(COUNTIFS(R_Scores!$B$5:$B$44,2,R_Scores!$C$5:$C$44,"Tool condition",R_Scores!N$5:N$44,R_Scores!N27)+COUNTIFS(R_Scores!$B$5:$B$44,2,R_Scores!$C$5:$C$44,"Paper condition",R_Scores!N$5:N$44,R_Scores!N27))^2-1,"")</f>
        <v>143</v>
      </c>
      <c r="DG27" s="1" t="n">
        <f aca="false">IF(ISNUMBER(R_Scores!N27),R_Scores!N27^2,"")</f>
        <v>1</v>
      </c>
      <c r="DH27" s="1" t="str">
        <f aca="false">IF(AND(R_Scores!$B27=1,R_Scores!$C27="Tool condition",ISNUMBER(R_Scores!O27)),COUNTIFS(R_Scores!$B$5:$B$44,1,R_Scores!$C$5:$C$44,"Paper condition",R_Scores!O$5:O$44,"&lt;"&amp;R_Scores!O27)+0.5*COUNTIFS(R_Scores!$B$5:$B$44,1,R_Scores!$C$5:$C$44,"Paper condition",R_Scores!O$5:O$44,R_Scores!O27),"")</f>
        <v/>
      </c>
      <c r="DI27" s="1" t="str">
        <f aca="false">IF(AND(R_Scores!$B27=1,OR(R_Scores!$C27="Tool condition",R_Scores!$C27="Paper condition"),ISNUMBER(R_Scores!O27)),(COUNTIFS(R_Scores!$B$5:$B$44,1,R_Scores!$C$5:$C$44,"Tool condition",R_Scores!O$5:O$44,R_Scores!O27)+COUNTIFS(R_Scores!$B$5:$B$44,1,R_Scores!$C$5:$C$44,"Paper condition",R_Scores!O$5:O$44,R_Scores!O27))^2-1,"")</f>
        <v/>
      </c>
      <c r="DJ27" s="1" t="n">
        <f aca="false">IF(AND(R_Scores!$B27=2,R_Scores!$C27="Tool condition",ISNUMBER(R_Scores!O27)),COUNTIFS(R_Scores!$B$5:$B$44,2,R_Scores!$C$5:$C$44,"Paper condition",R_Scores!O$5:O$44,"&lt;"&amp;R_Scores!O27)+0.5*COUNTIFS(R_Scores!$B$5:$B$44,2,R_Scores!$C$5:$C$44,"Paper condition",R_Scores!O$5:O$44,R_Scores!O27),"")</f>
        <v>7</v>
      </c>
      <c r="DK27" s="1" t="n">
        <f aca="false">IF(AND(R_Scores!$B27=2,OR(R_Scores!$C27="Tool condition",R_Scores!$C27="Paper condition"),ISNUMBER(R_Scores!O27)),(COUNTIFS(R_Scores!$B$5:$B$44,2,R_Scores!$C$5:$C$44,"Tool condition",R_Scores!O$5:O$44,R_Scores!O27)+COUNTIFS(R_Scores!$B$5:$B$44,2,R_Scores!$C$5:$C$44,"Paper condition",R_Scores!O$5:O$44,R_Scores!O27))^2-1,"")</f>
        <v>168</v>
      </c>
      <c r="DL27" s="1" t="n">
        <f aca="false">IF(ISNUMBER(R_Scores!O27),R_Scores!O27^2,"")</f>
        <v>1</v>
      </c>
      <c r="DM27" s="1" t="str">
        <f aca="false">IF(AND(R_Scores!$B27=1,R_Scores!$C27="Tool condition",ISNUMBER(R_Scores!P27)),COUNTIFS(R_Scores!$B$5:$B$44,1,R_Scores!$C$5:$C$44,"Paper condition",R_Scores!P$5:P$44,"&lt;"&amp;R_Scores!P27)+0.5*COUNTIFS(R_Scores!$B$5:$B$44,1,R_Scores!$C$5:$C$44,"Paper condition",R_Scores!P$5:P$44,R_Scores!P27),"")</f>
        <v/>
      </c>
      <c r="DN27" s="1" t="str">
        <f aca="false">IF(AND(R_Scores!$B27=1,OR(R_Scores!$C27="Tool condition",R_Scores!$C27="Paper condition"),ISNUMBER(R_Scores!P27)),(COUNTIFS(R_Scores!$B$5:$B$44,1,R_Scores!$C$5:$C$44,"Tool condition",R_Scores!P$5:P$44,R_Scores!P27)+COUNTIFS(R_Scores!$B$5:$B$44,1,R_Scores!$C$5:$C$44,"Paper condition",R_Scores!P$5:P$44,R_Scores!P27))^2-1,"")</f>
        <v/>
      </c>
      <c r="DO27" s="1" t="n">
        <f aca="false">IF(AND(R_Scores!$B27=2,R_Scores!$C27="Tool condition",ISNUMBER(R_Scores!P27)),COUNTIFS(R_Scores!$B$5:$B$44,2,R_Scores!$C$5:$C$44,"Paper condition",R_Scores!P$5:P$44,"&lt;"&amp;R_Scores!P27)+0.5*COUNTIFS(R_Scores!$B$5:$B$44,2,R_Scores!$C$5:$C$44,"Paper condition",R_Scores!P$5:P$44,R_Scores!P27),"")</f>
        <v>9.5</v>
      </c>
      <c r="DP27" s="1" t="n">
        <f aca="false">IF(AND(R_Scores!$B27=2,OR(R_Scores!$C27="Tool condition",R_Scores!$C27="Paper condition"),ISNUMBER(R_Scores!P27)),(COUNTIFS(R_Scores!$B$5:$B$44,2,R_Scores!$C$5:$C$44,"Tool condition",R_Scores!P$5:P$44,R_Scores!P27)+COUNTIFS(R_Scores!$B$5:$B$44,2,R_Scores!$C$5:$C$44,"Paper condition",R_Scores!P$5:P$44,R_Scores!P27))^2-1,"")</f>
        <v>48</v>
      </c>
      <c r="DQ27" s="1" t="n">
        <f aca="false">IF(ISNUMBER(R_Scores!P27),R_Scores!P27^2,"")</f>
        <v>1</v>
      </c>
      <c r="DR27" s="1" t="str">
        <f aca="false">IF(AND(Scores!$B27=1,Scores!$C27="Tool condition",ISNUMBER(Scores!Q27)),COUNTIFS(Scores!$B$5:$B$44,1,Scores!$C$5:$C$44,"Paper condition",Scores!Q$5:Q$44,"&lt;"&amp;Scores!Q27)+0.5*COUNTIFS(Scores!$B$5:$B$44,1,Scores!$C$5:$C$44,"Paper condition",Scores!Q$5:Q$44,Scores!Q27),"")</f>
        <v/>
      </c>
      <c r="DS27" s="1" t="str">
        <f aca="false">IF(AND(Scores!$B27=1,OR(Scores!$C27="Tool condition",Scores!$C27="Paper condition"),ISNUMBER(Scores!Q27)),(COUNTIFS(Scores!$B$5:$B$44,1,Scores!$C$5:$C$44,"Tool condition",Scores!Q$5:Q$44,Scores!Q27)+COUNTIFS(Scores!$B$5:$B$44,1,Scores!$C$5:$C$44,"Paper condition",Scores!Q$5:Q$44,Scores!Q27))^2-1,"")</f>
        <v/>
      </c>
      <c r="DT27" s="1" t="n">
        <f aca="false">IF(AND(Scores!$B27=2,Scores!$C27="Tool condition",ISNUMBER(Scores!Q27)),COUNTIFS(Scores!$B$5:$B$44,2,Scores!$C$5:$C$44,"Paper condition",Scores!Q$5:Q$44,"&lt;"&amp;Scores!Q27)+0.5*COUNTIFS(Scores!$B$5:$B$44,2,Scores!$C$5:$C$44,"Paper condition",Scores!Q$5:Q$44,Scores!Q27),"")</f>
        <v>8</v>
      </c>
      <c r="DU27" s="1" t="n">
        <f aca="false">IF(AND(Scores!$B27=2,OR(Scores!$C27="Tool condition",Scores!$C27="Paper condition"),ISNUMBER(Scores!Q27)),(COUNTIFS(Scores!$B$5:$B$44,2,Scores!$C$5:$C$44,"Tool condition",Scores!Q$5:Q$44,Scores!Q27)+COUNTIFS(Scores!$B$5:$B$44,2,Scores!$C$5:$C$44,"Paper condition",Scores!Q$5:Q$44,Scores!Q27))^2-1,"")</f>
        <v>35</v>
      </c>
      <c r="DV27" s="1" t="n">
        <f aca="false">IF(ISNUMBER(Scores!Q27),Scores!Q27^2,"")</f>
        <v>289</v>
      </c>
      <c r="DW27" s="1" t="str">
        <f aca="false">IF(AND(Scores!$B27=1,Scores!$C27="Tool condition",ISNUMBER(Scores!R27)),COUNTIFS(Scores!$B$5:$B$44,1,Scores!$C$5:$C$44,"Paper condition",Scores!R$5:R$44,"&lt;"&amp;Scores!R27)+0.5*COUNTIFS(Scores!$B$5:$B$44,1,Scores!$C$5:$C$44,"Paper condition",Scores!R$5:R$44,Scores!R27),"")</f>
        <v/>
      </c>
      <c r="DX27" s="1" t="str">
        <f aca="false">IF(AND(Scores!$B27=1,OR(Scores!$C27="Tool condition",Scores!$C27="Paper condition"),ISNUMBER(Scores!R27)),(COUNTIFS(Scores!$B$5:$B$44,1,Scores!$C$5:$C$44,"Tool condition",Scores!R$5:R$44,Scores!R27)+COUNTIFS(Scores!$B$5:$B$44,1,Scores!$C$5:$C$44,"Paper condition",Scores!R$5:R$44,Scores!R27))^2-1,"")</f>
        <v/>
      </c>
      <c r="DY27" s="1" t="n">
        <f aca="false">IF(AND(Scores!$B27=2,Scores!$C27="Tool condition",ISNUMBER(Scores!R27)),COUNTIFS(Scores!$B$5:$B$44,2,Scores!$C$5:$C$44,"Paper condition",Scores!R$5:R$44,"&lt;"&amp;Scores!R27)+0.5*COUNTIFS(Scores!$B$5:$B$44,2,Scores!$C$5:$C$44,"Paper condition",Scores!R$5:R$44,Scores!R27),"")</f>
        <v>10</v>
      </c>
      <c r="DZ27" s="1" t="n">
        <f aca="false">IF(AND(Scores!$B27=2,OR(Scores!$C27="Tool condition",Scores!$C27="Paper condition"),ISNUMBER(Scores!R27)),(COUNTIFS(Scores!$B$5:$B$44,2,Scores!$C$5:$C$44,"Tool condition",Scores!R$5:R$44,Scores!R27)+COUNTIFS(Scores!$B$5:$B$44,2,Scores!$C$5:$C$44,"Paper condition",Scores!R$5:R$44,Scores!R27))^2-1,"")</f>
        <v>8</v>
      </c>
      <c r="EA27" s="1" t="n">
        <f aca="false">IF(ISNUMBER(Scores!R27),Scores!R27^2,"")</f>
        <v>121</v>
      </c>
      <c r="EB27" s="1" t="str">
        <f aca="false">IF(AND(Scores!$B27=1,Scores!$C27="Tool condition",ISNUMBER(Scores!S27)),COUNTIFS(Scores!$B$5:$B$44,1,Scores!$C$5:$C$44,"Paper condition",Scores!S$5:S$44,"&lt;"&amp;Scores!S27)+0.5*COUNTIFS(Scores!$B$5:$B$44,1,Scores!$C$5:$C$44,"Paper condition",Scores!S$5:S$44,Scores!S27),"")</f>
        <v/>
      </c>
      <c r="EC27" s="1" t="str">
        <f aca="false">IF(AND(Scores!$B27=1,OR(Scores!$C27="Tool condition",Scores!$C27="Paper condition"),ISNUMBER(Scores!S27)),(COUNTIFS(Scores!$B$5:$B$44,1,Scores!$C$5:$C$44,"Tool condition",Scores!S$5:S$44,Scores!S27)+COUNTIFS(Scores!$B$5:$B$44,1,Scores!$C$5:$C$44,"Paper condition",Scores!S$5:S$44,Scores!S27))^2-1,"")</f>
        <v/>
      </c>
      <c r="ED27" s="1" t="n">
        <f aca="false">IF(AND(Scores!$B27=2,Scores!$C27="Tool condition",ISNUMBER(Scores!S27)),COUNTIFS(Scores!$B$5:$B$44,2,Scores!$C$5:$C$44,"Paper condition",Scores!S$5:S$44,"&lt;"&amp;Scores!S27)+0.5*COUNTIFS(Scores!$B$5:$B$44,2,Scores!$C$5:$C$44,"Paper condition",Scores!S$5:S$44,Scores!S27),"")</f>
        <v>3</v>
      </c>
      <c r="EE27" s="1" t="n">
        <f aca="false">IF(AND(Scores!$B27=2,OR(Scores!$C27="Tool condition",Scores!$C27="Paper condition"),ISNUMBER(Scores!S27)),(COUNTIFS(Scores!$B$5:$B$44,2,Scores!$C$5:$C$44,"Tool condition",Scores!S$5:S$44,Scores!S27)+COUNTIFS(Scores!$B$5:$B$44,2,Scores!$C$5:$C$44,"Paper condition",Scores!S$5:S$44,Scores!S27))^2-1,"")</f>
        <v>24</v>
      </c>
      <c r="EF27" s="1" t="n">
        <f aca="false">IF(ISNUMBER(Scores!S27),Scores!S27^2,"")</f>
        <v>36</v>
      </c>
      <c r="EG27" s="1" t="str">
        <f aca="false">IF(AND(Scores!$B27=1,Scores!$C27="Tool condition",ISNUMBER(Scores!T27)),COUNTIFS(Scores!$B$5:$B$44,1,Scores!$C$5:$C$44,"Paper condition",Scores!T$5:T$44,"&lt;"&amp;Scores!T27)+0.5*COUNTIFS(Scores!$B$5:$B$44,1,Scores!$C$5:$C$44,"Paper condition",Scores!T$5:T$44,Scores!T27),"")</f>
        <v/>
      </c>
      <c r="EH27" s="1" t="str">
        <f aca="false">IF(AND(Scores!$B27=1,OR(Scores!$C27="Tool condition",Scores!$C27="Paper condition"),ISNUMBER(Scores!T27)),(COUNTIFS(Scores!$B$5:$B$44,1,Scores!$C$5:$C$44,"Tool condition",Scores!T$5:T$44,Scores!T27)+COUNTIFS(Scores!$B$5:$B$44,1,Scores!$C$5:$C$44,"Paper condition",Scores!T$5:T$44,Scores!T27))^2-1,"")</f>
        <v/>
      </c>
      <c r="EI27" s="1" t="n">
        <f aca="false">IF(AND(Scores!$B27=2,Scores!$C27="Tool condition",ISNUMBER(Scores!T27)),COUNTIFS(Scores!$B$5:$B$44,2,Scores!$C$5:$C$44,"Paper condition",Scores!T$5:T$44,"&lt;"&amp;Scores!T27)+0.5*COUNTIFS(Scores!$B$5:$B$44,2,Scores!$C$5:$C$44,"Paper condition",Scores!T$5:T$44,Scores!T27),"")</f>
        <v>9</v>
      </c>
      <c r="EJ27" s="1" t="n">
        <f aca="false">IF(AND(Scores!$B27=2,OR(Scores!$C27="Tool condition",Scores!$C27="Paper condition"),ISNUMBER(Scores!T27)),(COUNTIFS(Scores!$B$5:$B$44,2,Scores!$C$5:$C$44,"Tool condition",Scores!T$5:T$44,Scores!T27)+COUNTIFS(Scores!$B$5:$B$44,2,Scores!$C$5:$C$44,"Paper condition",Scores!T$5:T$44,Scores!T27))^2-1,"")</f>
        <v>15</v>
      </c>
      <c r="EK27" s="1" t="n">
        <f aca="false">IF(ISNUMBER(Scores!T27),Scores!T27^2,"")</f>
        <v>49</v>
      </c>
      <c r="EL27" s="1" t="str">
        <f aca="false">IF(AND(Scores!$B27=1,Scores!$C27="Tool condition",ISNUMBER(Scores!U27)),COUNTIFS(Scores!$B$5:$B$44,1,Scores!$C$5:$C$44,"Paper condition",Scores!U$5:U$44,"&lt;"&amp;Scores!U27)+0.5*COUNTIFS(Scores!$B$5:$B$44,1,Scores!$C$5:$C$44,"Paper condition",Scores!U$5:U$44,Scores!U27),"")</f>
        <v/>
      </c>
      <c r="EM27" s="1" t="str">
        <f aca="false">IF(AND(Scores!$B27=1,OR(Scores!$C27="Tool condition",Scores!$C27="Paper condition"),ISNUMBER(Scores!U27)),(COUNTIFS(Scores!$B$5:$B$44,1,Scores!$C$5:$C$44,"Tool condition",Scores!U$5:U$44,Scores!U27)+COUNTIFS(Scores!$B$5:$B$44,1,Scores!$C$5:$C$44,"Paper condition",Scores!U$5:U$44,Scores!U27))^2-1,"")</f>
        <v/>
      </c>
      <c r="EN27" s="1" t="n">
        <f aca="false">IF(AND(Scores!$B27=2,Scores!$C27="Tool condition",ISNUMBER(Scores!U27)),COUNTIFS(Scores!$B$5:$B$44,2,Scores!$C$5:$C$44,"Paper condition",Scores!U$5:U$44,"&lt;"&amp;Scores!U27)+0.5*COUNTIFS(Scores!$B$5:$B$44,2,Scores!$C$5:$C$44,"Paper condition",Scores!U$5:U$44,Scores!U27),"")</f>
        <v>9.5</v>
      </c>
      <c r="EO27" s="1" t="n">
        <f aca="false">IF(AND(Scores!$B27=2,OR(Scores!$C27="Tool condition",Scores!$C27="Paper condition"),ISNUMBER(Scores!U27)),(COUNTIFS(Scores!$B$5:$B$44,2,Scores!$C$5:$C$44,"Tool condition",Scores!U$5:U$44,Scores!U27)+COUNTIFS(Scores!$B$5:$B$44,2,Scores!$C$5:$C$44,"Paper condition",Scores!U$5:U$44,Scores!U27))^2-1,"")</f>
        <v>15</v>
      </c>
      <c r="EP27" s="1" t="n">
        <f aca="false">IF(ISNUMBER(Scores!U27),Scores!U27^2,"")</f>
        <v>25</v>
      </c>
      <c r="EQ27" s="1" t="str">
        <f aca="false">IF(AND(Scores!$B27=1,Scores!$C27="Tool condition",ISNUMBER(Scores!V27)),COUNTIFS(Scores!$B$5:$B$44,1,Scores!$C$5:$C$44,"Paper condition",Scores!V$5:V$44,"&lt;"&amp;Scores!V27)+0.5*COUNTIFS(Scores!$B$5:$B$44,1,Scores!$C$5:$C$44,"Paper condition",Scores!V$5:V$44,Scores!V27),"")</f>
        <v/>
      </c>
      <c r="ER27" s="1" t="str">
        <f aca="false">IF(AND(Scores!$B27=1,OR(Scores!$C27="Tool condition",Scores!$C27="Paper condition"),ISNUMBER(Scores!V27)),(COUNTIFS(Scores!$B$5:$B$44,1,Scores!$C$5:$C$44,"Tool condition",Scores!V$5:V$44,Scores!V27)+COUNTIFS(Scores!$B$5:$B$44,1,Scores!$C$5:$C$44,"Paper condition",Scores!V$5:V$44,Scores!V27))^2-1,"")</f>
        <v/>
      </c>
      <c r="ES27" s="1" t="n">
        <f aca="false">IF(AND(Scores!$B27=2,Scores!$C27="Tool condition",ISNUMBER(Scores!V27)),COUNTIFS(Scores!$B$5:$B$44,2,Scores!$C$5:$C$44,"Paper condition",Scores!V$5:V$44,"&lt;"&amp;Scores!V27)+0.5*COUNTIFS(Scores!$B$5:$B$44,2,Scores!$C$5:$C$44,"Paper condition",Scores!V$5:V$44,Scores!V27),"")</f>
        <v>3</v>
      </c>
      <c r="ET27" s="1" t="n">
        <f aca="false">IF(AND(Scores!$B27=2,OR(Scores!$C27="Tool condition",Scores!$C27="Paper condition"),ISNUMBER(Scores!V27)),(COUNTIFS(Scores!$B$5:$B$44,2,Scores!$C$5:$C$44,"Tool condition",Scores!V$5:V$44,Scores!V27)+COUNTIFS(Scores!$B$5:$B$44,2,Scores!$C$5:$C$44,"Paper condition",Scores!V$5:V$44,Scores!V27))^2-1,"")</f>
        <v>15</v>
      </c>
      <c r="EU27" s="1" t="n">
        <f aca="false">IF(ISNUMBER(Scores!V27),Scores!V27^2,"")</f>
        <v>25</v>
      </c>
      <c r="EV27" s="1" t="str">
        <f aca="false">IF(AND(R_Scores!$B27=1,R_Scores!$C27="Tool condition",ISNUMBER(R_Scores!Q27)),COUNTIFS(R_Scores!$B$5:$B$44,1,R_Scores!$C$5:$C$44,"Paper condition",R_Scores!Q$5:Q$44,"&lt;"&amp;R_Scores!Q27)+0.5*COUNTIFS(R_Scores!$B$5:$B$44,1,R_Scores!$C$5:$C$44,"Paper condition",R_Scores!Q$5:Q$44,R_Scores!Q27),"")</f>
        <v/>
      </c>
      <c r="EW27" s="1" t="str">
        <f aca="false">IF(AND(R_Scores!$B27=1,OR(R_Scores!$C27="Tool condition",R_Scores!$C27="Paper condition"),ISNUMBER(R_Scores!Q27)),(COUNTIFS(R_Scores!$B$5:$B$44,1,R_Scores!$C$5:$C$44,"Tool condition",R_Scores!Q$5:Q$44,R_Scores!Q27)+COUNTIFS(R_Scores!$B$5:$B$44,1,R_Scores!$C$5:$C$44,"Paper condition",R_Scores!Q$5:Q$44,R_Scores!Q27))^2-1,"")</f>
        <v/>
      </c>
      <c r="EX27" s="1" t="n">
        <f aca="false">IF(AND(R_Scores!$B27=2,R_Scores!$C27="Tool condition",ISNUMBER(R_Scores!Q27)),COUNTIFS(R_Scores!$B$5:$B$44,2,R_Scores!$C$5:$C$44,"Paper condition",R_Scores!Q$5:Q$44,"&lt;"&amp;R_Scores!Q27)+0.5*COUNTIFS(R_Scores!$B$5:$B$44,2,R_Scores!$C$5:$C$44,"Paper condition",R_Scores!Q$5:Q$44,R_Scores!Q27),"")</f>
        <v>8.5</v>
      </c>
      <c r="EY27" s="1" t="n">
        <f aca="false">IF(AND(R_Scores!$B27=2,OR(R_Scores!$C27="Tool condition",R_Scores!$C27="Paper condition"),ISNUMBER(R_Scores!Q27)),(COUNTIFS(R_Scores!$B$5:$B$44,2,R_Scores!$C$5:$C$44,"Tool condition",R_Scores!Q$5:Q$44,R_Scores!Q27)+COUNTIFS(R_Scores!$B$5:$B$44,2,R_Scores!$C$5:$C$44,"Paper condition",R_Scores!Q$5:Q$44,R_Scores!Q27))^2-1,"")</f>
        <v>143</v>
      </c>
      <c r="EZ27" s="1" t="n">
        <f aca="false">IF(ISNUMBER(R_Scores!Q27),R_Scores!Q27^2,"")</f>
        <v>25</v>
      </c>
      <c r="FA27" s="1" t="str">
        <f aca="false">IF(AND(R_Scores!$B27=1,R_Scores!$C27="Tool condition",ISNUMBER(R_Scores!R27)),COUNTIFS(R_Scores!$B$5:$B$44,1,R_Scores!$C$5:$C$44,"Paper condition",R_Scores!R$5:R$44,"&lt;"&amp;R_Scores!R27)+0.5*COUNTIFS(R_Scores!$B$5:$B$44,1,R_Scores!$C$5:$C$44,"Paper condition",R_Scores!R$5:R$44,R_Scores!R27),"")</f>
        <v/>
      </c>
      <c r="FB27" s="1" t="str">
        <f aca="false">IF(AND(R_Scores!$B27=1,OR(R_Scores!$C27="Tool condition",R_Scores!$C27="Paper condition"),ISNUMBER(R_Scores!R27)),(COUNTIFS(R_Scores!$B$5:$B$44,1,R_Scores!$C$5:$C$44,"Tool condition",R_Scores!R$5:R$44,R_Scores!R27)+COUNTIFS(R_Scores!$B$5:$B$44,1,R_Scores!$C$5:$C$44,"Paper condition",R_Scores!R$5:R$44,R_Scores!R27))^2-1,"")</f>
        <v/>
      </c>
      <c r="FC27" s="1" t="n">
        <f aca="false">IF(AND(R_Scores!$B27=2,R_Scores!$C27="Tool condition",ISNUMBER(R_Scores!R27)),COUNTIFS(R_Scores!$B$5:$B$44,2,R_Scores!$C$5:$C$44,"Paper condition",R_Scores!R$5:R$44,"&lt;"&amp;R_Scores!R27)+0.5*COUNTIFS(R_Scores!$B$5:$B$44,2,R_Scores!$C$5:$C$44,"Paper condition",R_Scores!R$5:R$44,R_Scores!R27),"")</f>
        <v>8</v>
      </c>
      <c r="FD27" s="1" t="n">
        <f aca="false">IF(AND(R_Scores!$B27=2,OR(R_Scores!$C27="Tool condition",R_Scores!$C27="Paper condition"),ISNUMBER(R_Scores!R27)),(COUNTIFS(R_Scores!$B$5:$B$44,2,R_Scores!$C$5:$C$44,"Tool condition",R_Scores!R$5:R$44,R_Scores!R27)+COUNTIFS(R_Scores!$B$5:$B$44,2,R_Scores!$C$5:$C$44,"Paper condition",R_Scores!R$5:R$44,R_Scores!R27))^2-1,"")</f>
        <v>35</v>
      </c>
      <c r="FE27" s="1" t="n">
        <f aca="false">IF(ISNUMBER(R_Scores!R27),R_Scores!R27^2,"")</f>
        <v>484</v>
      </c>
    </row>
    <row r="28" customFormat="false" ht="14.25" hidden="false" customHeight="true" outlineLevel="0" collapsed="false">
      <c r="B28" s="1" t="str">
        <f aca="false">IF(AND(Scores!$B28=1,Scores!$C28="Tool condition",ISNUMBER(Scores!E28)),COUNTIFS(Scores!$B$5:$B$44,1,Scores!$C$5:$C$44,"Paper condition",Scores!E$5:E$44,"&lt;"&amp;Scores!E28)+0.5*COUNTIFS(Scores!$B$5:$B$44,1,Scores!$C$5:$C$44,"Paper condition",Scores!E$5:E$44,Scores!E28),"")</f>
        <v/>
      </c>
      <c r="C28" s="1" t="str">
        <f aca="false">IF(AND(Scores!$B28=1,OR(Scores!$C28="Tool condition",Scores!$C28="Paper condition"),ISNUMBER(Scores!E28)),(COUNTIFS(Scores!$B$5:$B$44,1,Scores!$C$5:$C$44,"Tool condition",Scores!E$5:E$44,Scores!E28)+COUNTIFS(Scores!$B$5:$B$44,1,Scores!$C$5:$C$44,"Paper condition",Scores!E$5:E$44,Scores!E28))^2-1,"")</f>
        <v/>
      </c>
      <c r="D28" s="1" t="n">
        <f aca="false">IF(AND(Scores!$B28=2,Scores!$C28="Tool condition",ISNUMBER(Scores!E28)),COUNTIFS(Scores!$B$5:$B$44,2,Scores!$C$5:$C$44,"Paper condition",Scores!E$5:E$44,"&lt;"&amp;Scores!E28)+0.5*COUNTIFS(Scores!$B$5:$B$44,2,Scores!$C$5:$C$44,"Paper condition",Scores!E$5:E$44,Scores!E28),"")</f>
        <v>7.5</v>
      </c>
      <c r="E28" s="1" t="n">
        <f aca="false">IF(AND(Scores!$B28=2,OR(Scores!$C28="Tool condition",Scores!$C28="Paper condition"),ISNUMBER(Scores!E28)),(COUNTIFS(Scores!$B$5:$B$44,2,Scores!$C$5:$C$44,"Tool condition",Scores!E$5:E$44,Scores!E28)+COUNTIFS(Scores!$B$5:$B$44,2,Scores!$C$5:$C$44,"Paper condition",Scores!E$5:E$44,Scores!E28))^2-1,"")</f>
        <v>143</v>
      </c>
      <c r="F28" s="1" t="n">
        <f aca="false">IF(ISNUMBER(Scores!E28),Scores!E28^2,"")</f>
        <v>4</v>
      </c>
      <c r="G28" s="1" t="str">
        <f aca="false">IF(AND(Scores!$B28=1,Scores!$C28="Tool condition",ISNUMBER(Scores!F28)),COUNTIFS(Scores!$B$5:$B$44,1,Scores!$C$5:$C$44,"Paper condition",Scores!F$5:F$44,"&lt;"&amp;Scores!F28)+0.5*COUNTIFS(Scores!$B$5:$B$44,1,Scores!$C$5:$C$44,"Paper condition",Scores!F$5:F$44,Scores!F28),"")</f>
        <v/>
      </c>
      <c r="H28" s="1" t="str">
        <f aca="false">IF(AND(Scores!$B28=1,OR(Scores!$C28="Tool condition",Scores!$C28="Paper condition"),ISNUMBER(Scores!F28)),(COUNTIFS(Scores!$B$5:$B$44,1,Scores!$C$5:$C$44,"Tool condition",Scores!F$5:F$44,Scores!F28)+COUNTIFS(Scores!$B$5:$B$44,1,Scores!$C$5:$C$44,"Paper condition",Scores!F$5:F$44,Scores!F28))^2-1,"")</f>
        <v/>
      </c>
      <c r="I28" s="1" t="n">
        <f aca="false">IF(AND(Scores!$B28=2,Scores!$C28="Tool condition",ISNUMBER(Scores!F28)),COUNTIFS(Scores!$B$5:$B$44,2,Scores!$C$5:$C$44,"Paper condition",Scores!F$5:F$44,"&lt;"&amp;Scores!F28)+0.5*COUNTIFS(Scores!$B$5:$B$44,2,Scores!$C$5:$C$44,"Paper condition",Scores!F$5:F$44,Scores!F28),"")</f>
        <v>8</v>
      </c>
      <c r="J28" s="1" t="n">
        <f aca="false">IF(AND(Scores!$B28=2,OR(Scores!$C28="Tool condition",Scores!$C28="Paper condition"),ISNUMBER(Scores!F28)),(COUNTIFS(Scores!$B$5:$B$44,2,Scores!$C$5:$C$44,"Tool condition",Scores!F$5:F$44,Scores!F28)+COUNTIFS(Scores!$B$5:$B$44,2,Scores!$C$5:$C$44,"Paper condition",Scores!F$5:F$44,Scores!F28))^2-1,"")</f>
        <v>120</v>
      </c>
      <c r="K28" s="1" t="n">
        <f aca="false">IF(ISNUMBER(Scores!F28),Scores!F28^2,"")</f>
        <v>4</v>
      </c>
      <c r="L28" s="1" t="str">
        <f aca="false">IF(AND(Scores!$B28=1,Scores!$C28="Tool condition",ISNUMBER(Scores!G28)),COUNTIFS(Scores!$B$5:$B$44,1,Scores!$C$5:$C$44,"Paper condition",Scores!G$5:G$44,"&lt;"&amp;Scores!G28)+0.5*COUNTIFS(Scores!$B$5:$B$44,1,Scores!$C$5:$C$44,"Paper condition",Scores!G$5:G$44,Scores!G28),"")</f>
        <v/>
      </c>
      <c r="M28" s="1" t="str">
        <f aca="false">IF(AND(Scores!$B28=1,OR(Scores!$C28="Tool condition",Scores!$C28="Paper condition"),ISNUMBER(Scores!G28)),(COUNTIFS(Scores!$B$5:$B$44,1,Scores!$C$5:$C$44,"Tool condition",Scores!G$5:G$44,Scores!G28)+COUNTIFS(Scores!$B$5:$B$44,1,Scores!$C$5:$C$44,"Paper condition",Scores!G$5:G$44,Scores!G28))^2-1,"")</f>
        <v/>
      </c>
      <c r="N28" s="1" t="n">
        <f aca="false">IF(AND(Scores!$B28=2,Scores!$C28="Tool condition",ISNUMBER(Scores!G28)),COUNTIFS(Scores!$B$5:$B$44,2,Scores!$C$5:$C$44,"Paper condition",Scores!G$5:G$44,"&lt;"&amp;Scores!G28)+0.5*COUNTIFS(Scores!$B$5:$B$44,2,Scores!$C$5:$C$44,"Paper condition",Scores!G$5:G$44,Scores!G28),"")</f>
        <v>2</v>
      </c>
      <c r="O28" s="1" t="n">
        <f aca="false">IF(AND(Scores!$B28=2,OR(Scores!$C28="Tool condition",Scores!$C28="Paper condition"),ISNUMBER(Scores!G28)),(COUNTIFS(Scores!$B$5:$B$44,2,Scores!$C$5:$C$44,"Tool condition",Scores!G$5:G$44,Scores!G28)+COUNTIFS(Scores!$B$5:$B$44,2,Scores!$C$5:$C$44,"Paper condition",Scores!G$5:G$44,Scores!G28))^2-1,"")</f>
        <v>35</v>
      </c>
      <c r="P28" s="1" t="n">
        <f aca="false">IF(ISNUMBER(Scores!G28),Scores!G28^2,"")</f>
        <v>1</v>
      </c>
      <c r="Q28" s="1" t="str">
        <f aca="false">IF(AND(Scores!$B28=1,Scores!$C28="Tool condition",ISNUMBER(Scores!H28)),COUNTIFS(Scores!$B$5:$B$44,1,Scores!$C$5:$C$44,"Paper condition",Scores!H$5:H$44,"&lt;"&amp;Scores!H28)+0.5*COUNTIFS(Scores!$B$5:$B$44,1,Scores!$C$5:$C$44,"Paper condition",Scores!H$5:H$44,Scores!H28),"")</f>
        <v/>
      </c>
      <c r="R28" s="1" t="str">
        <f aca="false">IF(AND(Scores!$B28=1,OR(Scores!$C28="Tool condition",Scores!$C28="Paper condition"),ISNUMBER(Scores!H28)),(COUNTIFS(Scores!$B$5:$B$44,1,Scores!$C$5:$C$44,"Tool condition",Scores!H$5:H$44,Scores!H28)+COUNTIFS(Scores!$B$5:$B$44,1,Scores!$C$5:$C$44,"Paper condition",Scores!H$5:H$44,Scores!H28))^2-1,"")</f>
        <v/>
      </c>
      <c r="S28" s="1" t="n">
        <f aca="false">IF(AND(Scores!$B28=2,Scores!$C28="Tool condition",ISNUMBER(Scores!H28)),COUNTIFS(Scores!$B$5:$B$44,2,Scores!$C$5:$C$44,"Paper condition",Scores!H$5:H$44,"&lt;"&amp;Scores!H28)+0.5*COUNTIFS(Scores!$B$5:$B$44,2,Scores!$C$5:$C$44,"Paper condition",Scores!H$5:H$44,Scores!H28),"")</f>
        <v>8</v>
      </c>
      <c r="T28" s="1" t="n">
        <f aca="false">IF(AND(Scores!$B28=2,OR(Scores!$C28="Tool condition",Scores!$C28="Paper condition"),ISNUMBER(Scores!H28)),(COUNTIFS(Scores!$B$5:$B$44,2,Scores!$C$5:$C$44,"Tool condition",Scores!H$5:H$44,Scores!H28)+COUNTIFS(Scores!$B$5:$B$44,2,Scores!$C$5:$C$44,"Paper condition",Scores!H$5:H$44,Scores!H28))^2-1,"")</f>
        <v>99</v>
      </c>
      <c r="U28" s="1" t="n">
        <f aca="false">IF(ISNUMBER(Scores!H28),Scores!H28^2,"")</f>
        <v>4</v>
      </c>
      <c r="V28" s="1" t="str">
        <f aca="false">IF(AND(Scores!$B28=1,Scores!$C28="Tool condition",ISNUMBER(Scores!I28)),COUNTIFS(Scores!$B$5:$B$44,1,Scores!$C$5:$C$44,"Paper condition",Scores!I$5:I$44,"&lt;"&amp;Scores!I28)+0.5*COUNTIFS(Scores!$B$5:$B$44,1,Scores!$C$5:$C$44,"Paper condition",Scores!I$5:I$44,Scores!I28),"")</f>
        <v/>
      </c>
      <c r="W28" s="1" t="str">
        <f aca="false">IF(AND(Scores!$B28=1,OR(Scores!$C28="Tool condition",Scores!$C28="Paper condition"),ISNUMBER(Scores!I28)),(COUNTIFS(Scores!$B$5:$B$44,1,Scores!$C$5:$C$44,"Tool condition",Scores!I$5:I$44,Scores!I28)+COUNTIFS(Scores!$B$5:$B$44,1,Scores!$C$5:$C$44,"Paper condition",Scores!I$5:I$44,Scores!I28))^2-1,"")</f>
        <v/>
      </c>
      <c r="X28" s="1" t="n">
        <f aca="false">IF(AND(Scores!$B28=2,Scores!$C28="Tool condition",ISNUMBER(Scores!I28)),COUNTIFS(Scores!$B$5:$B$44,2,Scores!$C$5:$C$44,"Paper condition",Scores!I$5:I$44,"&lt;"&amp;Scores!I28)+0.5*COUNTIFS(Scores!$B$5:$B$44,2,Scores!$C$5:$C$44,"Paper condition",Scores!I$5:I$44,Scores!I28),"")</f>
        <v>4</v>
      </c>
      <c r="Y28" s="1" t="n">
        <f aca="false">IF(AND(Scores!$B28=2,OR(Scores!$C28="Tool condition",Scores!$C28="Paper condition"),ISNUMBER(Scores!I28)),(COUNTIFS(Scores!$B$5:$B$44,2,Scores!$C$5:$C$44,"Tool condition",Scores!I$5:I$44,Scores!I28)+COUNTIFS(Scores!$B$5:$B$44,2,Scores!$C$5:$C$44,"Paper condition",Scores!I$5:I$44,Scores!I28))^2-1,"")</f>
        <v>80</v>
      </c>
      <c r="Z28" s="1" t="n">
        <f aca="false">IF(ISNUMBER(Scores!I28),Scores!I28^2,"")</f>
        <v>1</v>
      </c>
      <c r="AA28" s="1" t="str">
        <f aca="false">IF(AND(Scores!$B28=1,Scores!$C28="Tool condition",ISNUMBER(Scores!J28)),COUNTIFS(Scores!$B$5:$B$44,1,Scores!$C$5:$C$44,"Paper condition",Scores!J$5:J$44,"&lt;"&amp;Scores!J28)+0.5*COUNTIFS(Scores!$B$5:$B$44,1,Scores!$C$5:$C$44,"Paper condition",Scores!J$5:J$44,Scores!J28),"")</f>
        <v/>
      </c>
      <c r="AB28" s="1" t="str">
        <f aca="false">IF(AND(Scores!$B28=1,OR(Scores!$C28="Tool condition",Scores!$C28="Paper condition"),ISNUMBER(Scores!J28)),(COUNTIFS(Scores!$B$5:$B$44,1,Scores!$C$5:$C$44,"Tool condition",Scores!J$5:J$44,Scores!J28)+COUNTIFS(Scores!$B$5:$B$44,1,Scores!$C$5:$C$44,"Paper condition",Scores!J$5:J$44,Scores!J28))^2-1,"")</f>
        <v/>
      </c>
      <c r="AC28" s="1" t="n">
        <f aca="false">IF(AND(Scores!$B28=2,Scores!$C28="Tool condition",ISNUMBER(Scores!J28)),COUNTIFS(Scores!$B$5:$B$44,2,Scores!$C$5:$C$44,"Paper condition",Scores!J$5:J$44,"&lt;"&amp;Scores!J28)+0.5*COUNTIFS(Scores!$B$5:$B$44,2,Scores!$C$5:$C$44,"Paper condition",Scores!J$5:J$44,Scores!J28),"")</f>
        <v>7.5</v>
      </c>
      <c r="AD28" s="1" t="n">
        <f aca="false">IF(AND(Scores!$B28=2,OR(Scores!$C28="Tool condition",Scores!$C28="Paper condition"),ISNUMBER(Scores!J28)),(COUNTIFS(Scores!$B$5:$B$44,2,Scores!$C$5:$C$44,"Tool condition",Scores!J$5:J$44,Scores!J28)+COUNTIFS(Scores!$B$5:$B$44,2,Scores!$C$5:$C$44,"Paper condition",Scores!J$5:J$44,Scores!J28))^2-1,"")</f>
        <v>120</v>
      </c>
      <c r="AE28" s="1" t="n">
        <f aca="false">IF(ISNUMBER(Scores!J28),Scores!J28^2,"")</f>
        <v>4</v>
      </c>
      <c r="AF28" s="1" t="str">
        <f aca="false">IF(AND(Scores!$B28=1,Scores!$C28="Tool condition",ISNUMBER(Scores!K28)),COUNTIFS(Scores!$B$5:$B$44,1,Scores!$C$5:$C$44,"Paper condition",Scores!K$5:K$44,"&lt;"&amp;Scores!K28)+0.5*COUNTIFS(Scores!$B$5:$B$44,1,Scores!$C$5:$C$44,"Paper condition",Scores!K$5:K$44,Scores!K28),"")</f>
        <v/>
      </c>
      <c r="AG28" s="1" t="str">
        <f aca="false">IF(AND(Scores!$B28=1,OR(Scores!$C28="Tool condition",Scores!$C28="Paper condition"),ISNUMBER(Scores!K28)),(COUNTIFS(Scores!$B$5:$B$44,1,Scores!$C$5:$C$44,"Tool condition",Scores!K$5:K$44,Scores!K28)+COUNTIFS(Scores!$B$5:$B$44,1,Scores!$C$5:$C$44,"Paper condition",Scores!K$5:K$44,Scores!K28))^2-1,"")</f>
        <v/>
      </c>
      <c r="AH28" s="1" t="n">
        <f aca="false">IF(AND(Scores!$B28=2,Scores!$C28="Tool condition",ISNUMBER(Scores!K28)),COUNTIFS(Scores!$B$5:$B$44,2,Scores!$C$5:$C$44,"Paper condition",Scores!K$5:K$44,"&lt;"&amp;Scores!K28)+0.5*COUNTIFS(Scores!$B$5:$B$44,2,Scores!$C$5:$C$44,"Paper condition",Scores!K$5:K$44,Scores!K28),"")</f>
        <v>3.5</v>
      </c>
      <c r="AI28" s="1" t="n">
        <f aca="false">IF(AND(Scores!$B28=2,OR(Scores!$C28="Tool condition",Scores!$C28="Paper condition"),ISNUMBER(Scores!K28)),(COUNTIFS(Scores!$B$5:$B$44,2,Scores!$C$5:$C$44,"Tool condition",Scores!K$5:K$44,Scores!K28)+COUNTIFS(Scores!$B$5:$B$44,2,Scores!$C$5:$C$44,"Paper condition",Scores!K$5:K$44,Scores!K28))^2-1,"")</f>
        <v>120</v>
      </c>
      <c r="AJ28" s="1" t="n">
        <f aca="false">IF(ISNUMBER(Scores!K28),Scores!K28^2,"")</f>
        <v>1</v>
      </c>
      <c r="AK28" s="1" t="str">
        <f aca="false">IF(AND(Scores!$B28=1,Scores!$C28="Tool condition",ISNUMBER(Scores!L28)),COUNTIFS(Scores!$B$5:$B$44,1,Scores!$C$5:$C$44,"Paper condition",Scores!L$5:L$44,"&lt;"&amp;Scores!L28)+0.5*COUNTIFS(Scores!$B$5:$B$44,1,Scores!$C$5:$C$44,"Paper condition",Scores!L$5:L$44,Scores!L28),"")</f>
        <v/>
      </c>
      <c r="AL28" s="1" t="str">
        <f aca="false">IF(AND(Scores!$B28=1,OR(Scores!$C28="Tool condition",Scores!$C28="Paper condition"),ISNUMBER(Scores!L28)),(COUNTIFS(Scores!$B$5:$B$44,1,Scores!$C$5:$C$44,"Tool condition",Scores!L$5:L$44,Scores!L28)+COUNTIFS(Scores!$B$5:$B$44,1,Scores!$C$5:$C$44,"Paper condition",Scores!L$5:L$44,Scores!L28))^2-1,"")</f>
        <v/>
      </c>
      <c r="AM28" s="1" t="n">
        <f aca="false">IF(AND(Scores!$B28=2,Scores!$C28="Tool condition",ISNUMBER(Scores!L28)),COUNTIFS(Scores!$B$5:$B$44,2,Scores!$C$5:$C$44,"Paper condition",Scores!L$5:L$44,"&lt;"&amp;Scores!L28)+0.5*COUNTIFS(Scores!$B$5:$B$44,2,Scores!$C$5:$C$44,"Paper condition",Scores!L$5:L$44,Scores!L28),"")</f>
        <v>7.5</v>
      </c>
      <c r="AN28" s="1" t="n">
        <f aca="false">IF(AND(Scores!$B28=2,OR(Scores!$C28="Tool condition",Scores!$C28="Paper condition"),ISNUMBER(Scores!L28)),(COUNTIFS(Scores!$B$5:$B$44,2,Scores!$C$5:$C$44,"Tool condition",Scores!L$5:L$44,Scores!L28)+COUNTIFS(Scores!$B$5:$B$44,2,Scores!$C$5:$C$44,"Paper condition",Scores!L$5:L$44,Scores!L28))^2-1,"")</f>
        <v>99</v>
      </c>
      <c r="AO28" s="1" t="n">
        <f aca="false">IF(ISNUMBER(Scores!L28),Scores!L28^2,"")</f>
        <v>4</v>
      </c>
      <c r="AP28" s="1" t="str">
        <f aca="false">IF(AND(Scores!$B28=1,Scores!$C28="Tool condition",ISNUMBER(Scores!M28)),COUNTIFS(Scores!$B$5:$B$44,1,Scores!$C$5:$C$44,"Paper condition",Scores!M$5:M$44,"&lt;"&amp;Scores!M28)+0.5*COUNTIFS(Scores!$B$5:$B$44,1,Scores!$C$5:$C$44,"Paper condition",Scores!M$5:M$44,Scores!M28),"")</f>
        <v/>
      </c>
      <c r="AQ28" s="1" t="str">
        <f aca="false">IF(AND(Scores!$B28=1,OR(Scores!$C28="Tool condition",Scores!$C28="Paper condition"),ISNUMBER(Scores!M28)),(COUNTIFS(Scores!$B$5:$B$44,1,Scores!$C$5:$C$44,"Tool condition",Scores!M$5:M$44,Scores!M28)+COUNTIFS(Scores!$B$5:$B$44,1,Scores!$C$5:$C$44,"Paper condition",Scores!M$5:M$44,Scores!M28))^2-1,"")</f>
        <v/>
      </c>
      <c r="AR28" s="1" t="n">
        <f aca="false">IF(AND(Scores!$B28=2,Scores!$C28="Tool condition",ISNUMBER(Scores!M28)),COUNTIFS(Scores!$B$5:$B$44,2,Scores!$C$5:$C$44,"Paper condition",Scores!M$5:M$44,"&lt;"&amp;Scores!M28)+0.5*COUNTIFS(Scores!$B$5:$B$44,2,Scores!$C$5:$C$44,"Paper condition",Scores!M$5:M$44,Scores!M28),"")</f>
        <v>8</v>
      </c>
      <c r="AS28" s="1" t="n">
        <f aca="false">IF(AND(Scores!$B28=2,OR(Scores!$C28="Tool condition",Scores!$C28="Paper condition"),ISNUMBER(Scores!M28)),(COUNTIFS(Scores!$B$5:$B$44,2,Scores!$C$5:$C$44,"Tool condition",Scores!M$5:M$44,Scores!M28)+COUNTIFS(Scores!$B$5:$B$44,2,Scores!$C$5:$C$44,"Paper condition",Scores!M$5:M$44,Scores!M28))^2-1,"")</f>
        <v>63</v>
      </c>
      <c r="AT28" s="1" t="n">
        <f aca="false">IF(ISNUMBER(Scores!M28),Scores!M28^2,"")</f>
        <v>4</v>
      </c>
      <c r="AU28" s="1" t="str">
        <f aca="false">IF(AND(Scores!$B28=1,Scores!$C28="Tool condition",ISNUMBER(Scores!N28)),COUNTIFS(Scores!$B$5:$B$44,1,Scores!$C$5:$C$44,"Paper condition",Scores!N$5:N$44,"&lt;"&amp;Scores!N28)+0.5*COUNTIFS(Scores!$B$5:$B$44,1,Scores!$C$5:$C$44,"Paper condition",Scores!N$5:N$44,Scores!N28),"")</f>
        <v/>
      </c>
      <c r="AV28" s="1" t="str">
        <f aca="false">IF(AND(Scores!$B28=1,OR(Scores!$C28="Tool condition",Scores!$C28="Paper condition"),ISNUMBER(Scores!N28)),(COUNTIFS(Scores!$B$5:$B$44,1,Scores!$C$5:$C$44,"Tool condition",Scores!N$5:N$44,Scores!N28)+COUNTIFS(Scores!$B$5:$B$44,1,Scores!$C$5:$C$44,"Paper condition",Scores!N$5:N$44,Scores!N28))^2-1,"")</f>
        <v/>
      </c>
      <c r="AW28" s="1" t="n">
        <f aca="false">IF(AND(Scores!$B28=2,Scores!$C28="Tool condition",ISNUMBER(Scores!N28)),COUNTIFS(Scores!$B$5:$B$44,2,Scores!$C$5:$C$44,"Paper condition",Scores!N$5:N$44,"&lt;"&amp;Scores!N28)+0.5*COUNTIFS(Scores!$B$5:$B$44,2,Scores!$C$5:$C$44,"Paper condition",Scores!N$5:N$44,Scores!N28),"")</f>
        <v>4.5</v>
      </c>
      <c r="AX28" s="1" t="n">
        <f aca="false">IF(AND(Scores!$B28=2,OR(Scores!$C28="Tool condition",Scores!$C28="Paper condition"),ISNUMBER(Scores!N28)),(COUNTIFS(Scores!$B$5:$B$44,2,Scores!$C$5:$C$44,"Tool condition",Scores!N$5:N$44,Scores!N28)+COUNTIFS(Scores!$B$5:$B$44,2,Scores!$C$5:$C$44,"Paper condition",Scores!N$5:N$44,Scores!N28))^2-1,"")</f>
        <v>80</v>
      </c>
      <c r="AY28" s="1" t="n">
        <f aca="false">IF(ISNUMBER(Scores!N28),Scores!N28^2,"")</f>
        <v>1</v>
      </c>
      <c r="AZ28" s="1" t="str">
        <f aca="false">IF(AND(Scores!$B28=1,Scores!$C28="Tool condition",ISNUMBER(Scores!O28)),COUNTIFS(Scores!$B$5:$B$44,1,Scores!$C$5:$C$44,"Paper condition",Scores!O$5:O$44,"&lt;"&amp;Scores!O28)+0.5*COUNTIFS(Scores!$B$5:$B$44,1,Scores!$C$5:$C$44,"Paper condition",Scores!O$5:O$44,Scores!O28),"")</f>
        <v/>
      </c>
      <c r="BA28" s="1" t="str">
        <f aca="false">IF(AND(Scores!$B28=1,OR(Scores!$C28="Tool condition",Scores!$C28="Paper condition"),ISNUMBER(Scores!O28)),(COUNTIFS(Scores!$B$5:$B$44,1,Scores!$C$5:$C$44,"Tool condition",Scores!O$5:O$44,Scores!O28)+COUNTIFS(Scores!$B$5:$B$44,1,Scores!$C$5:$C$44,"Paper condition",Scores!O$5:O$44,Scores!O28))^2-1,"")</f>
        <v/>
      </c>
      <c r="BB28" s="1" t="n">
        <f aca="false">IF(AND(Scores!$B28=2,Scores!$C28="Tool condition",ISNUMBER(Scores!O28)),COUNTIFS(Scores!$B$5:$B$44,2,Scores!$C$5:$C$44,"Paper condition",Scores!O$5:O$44,"&lt;"&amp;Scores!O28)+0.5*COUNTIFS(Scores!$B$5:$B$44,2,Scores!$C$5:$C$44,"Paper condition",Scores!O$5:O$44,Scores!O28),"")</f>
        <v>1.5</v>
      </c>
      <c r="BC28" s="1" t="n">
        <f aca="false">IF(AND(Scores!$B28=2,OR(Scores!$C28="Tool condition",Scores!$C28="Paper condition"),ISNUMBER(Scores!O28)),(COUNTIFS(Scores!$B$5:$B$44,2,Scores!$C$5:$C$44,"Tool condition",Scores!O$5:O$44,Scores!O28)+COUNTIFS(Scores!$B$5:$B$44,2,Scores!$C$5:$C$44,"Paper condition",Scores!O$5:O$44,Scores!O28))^2-1,"")</f>
        <v>24</v>
      </c>
      <c r="BD28" s="1" t="n">
        <f aca="false">IF(ISNUMBER(Scores!O28),Scores!O28^2,"")</f>
        <v>0</v>
      </c>
      <c r="BE28" s="1" t="str">
        <f aca="false">IF(AND(Scores!$B28=1,Scores!$C28="Tool condition",ISNUMBER(Scores!P28)),COUNTIFS(Scores!$B$5:$B$44,1,Scores!$C$5:$C$44,"Paper condition",Scores!P$5:P$44,"&lt;"&amp;Scores!P28)+0.5*COUNTIFS(Scores!$B$5:$B$44,1,Scores!$C$5:$C$44,"Paper condition",Scores!P$5:P$44,Scores!P28),"")</f>
        <v/>
      </c>
      <c r="BF28" s="1" t="str">
        <f aca="false">IF(AND(Scores!$B28=1,OR(Scores!$C28="Tool condition",Scores!$C28="Paper condition"),ISNUMBER(Scores!P28)),(COUNTIFS(Scores!$B$5:$B$44,1,Scores!$C$5:$C$44,"Tool condition",Scores!P$5:P$44,Scores!P28)+COUNTIFS(Scores!$B$5:$B$44,1,Scores!$C$5:$C$44,"Paper condition",Scores!P$5:P$44,Scores!P28))^2-1,"")</f>
        <v/>
      </c>
      <c r="BG28" s="1" t="n">
        <f aca="false">IF(AND(Scores!$B28=2,Scores!$C28="Tool condition",ISNUMBER(Scores!P28)),COUNTIFS(Scores!$B$5:$B$44,2,Scores!$C$5:$C$44,"Paper condition",Scores!P$5:P$44,"&lt;"&amp;Scores!P28)+0.5*COUNTIFS(Scores!$B$5:$B$44,2,Scores!$C$5:$C$44,"Paper condition",Scores!P$5:P$44,Scores!P28),"")</f>
        <v>7.5</v>
      </c>
      <c r="BH28" s="1" t="n">
        <f aca="false">IF(AND(Scores!$B28=2,OR(Scores!$C28="Tool condition",Scores!$C28="Paper condition"),ISNUMBER(Scores!P28)),(COUNTIFS(Scores!$B$5:$B$44,2,Scores!$C$5:$C$44,"Tool condition",Scores!P$5:P$44,Scores!P28)+COUNTIFS(Scores!$B$5:$B$44,2,Scores!$C$5:$C$44,"Paper condition",Scores!P$5:P$44,Scores!P28))^2-1,"")</f>
        <v>143</v>
      </c>
      <c r="BI28" s="1" t="n">
        <f aca="false">IF(ISNUMBER(Scores!P28),Scores!P28^2,"")</f>
        <v>1</v>
      </c>
      <c r="BJ28" s="1" t="str">
        <f aca="false">IF(AND(R_Scores!$B28=1,R_Scores!$C28="Tool condition",ISNUMBER(R_Scores!E28)),COUNTIFS(R_Scores!$B$5:$B$44,1,R_Scores!$C$5:$C$44,"Paper condition",R_Scores!E$5:E$44,"&lt;"&amp;R_Scores!E28)+0.5*COUNTIFS(R_Scores!$B$5:$B$44,1,R_Scores!$C$5:$C$44,"Paper condition",R_Scores!E$5:E$44,R_Scores!E28),"")</f>
        <v/>
      </c>
      <c r="BK28" s="1" t="str">
        <f aca="false">IF(AND(R_Scores!$B28=1,OR(R_Scores!$C28="Tool condition",R_Scores!$C28="Paper condition"),ISNUMBER(R_Scores!E28)),(COUNTIFS(R_Scores!$B$5:$B$44,1,R_Scores!$C$5:$C$44,"Tool condition",R_Scores!E$5:E$44,R_Scores!E28)+COUNTIFS(R_Scores!$B$5:$B$44,1,R_Scores!$C$5:$C$44,"Paper condition",R_Scores!E$5:E$44,R_Scores!E28))^2-1,"")</f>
        <v/>
      </c>
      <c r="BL28" s="1" t="n">
        <f aca="false">IF(AND(R_Scores!$B28=2,R_Scores!$C28="Tool condition",ISNUMBER(R_Scores!E28)),COUNTIFS(R_Scores!$B$5:$B$44,2,R_Scores!$C$5:$C$44,"Paper condition",R_Scores!E$5:E$44,"&lt;"&amp;R_Scores!E28)+0.5*COUNTIFS(R_Scores!$B$5:$B$44,2,R_Scores!$C$5:$C$44,"Paper condition",R_Scores!E$5:E$44,R_Scores!E28),"")</f>
        <v>6.5</v>
      </c>
      <c r="BM28" s="1" t="n">
        <f aca="false">IF(AND(R_Scores!$B28=2,OR(R_Scores!$C28="Tool condition",R_Scores!$C28="Paper condition"),ISNUMBER(R_Scores!E28)),(COUNTIFS(R_Scores!$B$5:$B$44,2,R_Scores!$C$5:$C$44,"Tool condition",R_Scores!E$5:E$44,R_Scores!E28)+COUNTIFS(R_Scores!$B$5:$B$44,2,R_Scores!$C$5:$C$44,"Paper condition",R_Scores!E$5:E$44,R_Scores!E28))^2-1,"")</f>
        <v>224</v>
      </c>
      <c r="BN28" s="1" t="n">
        <f aca="false">IF(ISNUMBER(R_Scores!E28),R_Scores!E28^2,"")</f>
        <v>1</v>
      </c>
      <c r="BO28" s="1" t="str">
        <f aca="false">IF(AND(R_Scores!$B28=1,R_Scores!$C28="Tool condition",ISNUMBER(R_Scores!F28)),COUNTIFS(R_Scores!$B$5:$B$44,1,R_Scores!$C$5:$C$44,"Paper condition",R_Scores!F$5:F$44,"&lt;"&amp;R_Scores!F28)+0.5*COUNTIFS(R_Scores!$B$5:$B$44,1,R_Scores!$C$5:$C$44,"Paper condition",R_Scores!F$5:F$44,R_Scores!F28),"")</f>
        <v/>
      </c>
      <c r="BP28" s="1" t="str">
        <f aca="false">IF(AND(R_Scores!$B28=1,OR(R_Scores!$C28="Tool condition",R_Scores!$C28="Paper condition"),ISNUMBER(R_Scores!F28)),(COUNTIFS(R_Scores!$B$5:$B$44,1,R_Scores!$C$5:$C$44,"Tool condition",R_Scores!F$5:F$44,R_Scores!F28)+COUNTIFS(R_Scores!$B$5:$B$44,1,R_Scores!$C$5:$C$44,"Paper condition",R_Scores!F$5:F$44,R_Scores!F28))^2-1,"")</f>
        <v/>
      </c>
      <c r="BQ28" s="1" t="n">
        <f aca="false">IF(AND(R_Scores!$B28=2,R_Scores!$C28="Tool condition",ISNUMBER(R_Scores!F28)),COUNTIFS(R_Scores!$B$5:$B$44,2,R_Scores!$C$5:$C$44,"Paper condition",R_Scores!F$5:F$44,"&lt;"&amp;R_Scores!F28)+0.5*COUNTIFS(R_Scores!$B$5:$B$44,2,R_Scores!$C$5:$C$44,"Paper condition",R_Scores!F$5:F$44,R_Scores!F28),"")</f>
        <v>6.5</v>
      </c>
      <c r="BR28" s="1" t="n">
        <f aca="false">IF(AND(R_Scores!$B28=2,OR(R_Scores!$C28="Tool condition",R_Scores!$C28="Paper condition"),ISNUMBER(R_Scores!F28)),(COUNTIFS(R_Scores!$B$5:$B$44,2,R_Scores!$C$5:$C$44,"Tool condition",R_Scores!F$5:F$44,R_Scores!F28)+COUNTIFS(R_Scores!$B$5:$B$44,2,R_Scores!$C$5:$C$44,"Paper condition",R_Scores!F$5:F$44,R_Scores!F28))^2-1,"")</f>
        <v>195</v>
      </c>
      <c r="BS28" s="1" t="n">
        <f aca="false">IF(ISNUMBER(R_Scores!F28),R_Scores!F28^2,"")</f>
        <v>1</v>
      </c>
      <c r="BT28" s="1" t="str">
        <f aca="false">IF(AND(R_Scores!$B28=1,R_Scores!$C28="Tool condition",ISNUMBER(R_Scores!G28)),COUNTIFS(R_Scores!$B$5:$B$44,1,R_Scores!$C$5:$C$44,"Paper condition",R_Scores!G$5:G$44,"&lt;"&amp;R_Scores!G28)+0.5*COUNTIFS(R_Scores!$B$5:$B$44,1,R_Scores!$C$5:$C$44,"Paper condition",R_Scores!G$5:G$44,R_Scores!G28),"")</f>
        <v/>
      </c>
      <c r="BU28" s="1" t="str">
        <f aca="false">IF(AND(R_Scores!$B28=1,OR(R_Scores!$C28="Tool condition",R_Scores!$C28="Paper condition"),ISNUMBER(R_Scores!G28)),(COUNTIFS(R_Scores!$B$5:$B$44,1,R_Scores!$C$5:$C$44,"Tool condition",R_Scores!G$5:G$44,R_Scores!G28)+COUNTIFS(R_Scores!$B$5:$B$44,1,R_Scores!$C$5:$C$44,"Paper condition",R_Scores!G$5:G$44,R_Scores!G28))^2-1,"")</f>
        <v/>
      </c>
      <c r="BV28" s="1" t="str">
        <f aca="false">IF(AND(R_Scores!$B28=2,R_Scores!$C28="Tool condition",ISNUMBER(R_Scores!G28)),COUNTIFS(R_Scores!$B$5:$B$44,2,R_Scores!$C$5:$C$44,"Paper condition",R_Scores!G$5:G$44,"&lt;"&amp;R_Scores!G28)+0.5*COUNTIFS(R_Scores!$B$5:$B$44,2,R_Scores!$C$5:$C$44,"Paper condition",R_Scores!G$5:G$44,R_Scores!G28),"")</f>
        <v/>
      </c>
      <c r="BW28" s="1" t="str">
        <f aca="false">IF(AND(R_Scores!$B28=2,OR(R_Scores!$C28="Tool condition",R_Scores!$C28="Paper condition"),ISNUMBER(R_Scores!G28)),(COUNTIFS(R_Scores!$B$5:$B$44,2,R_Scores!$C$5:$C$44,"Tool condition",R_Scores!G$5:G$44,R_Scores!G28)+COUNTIFS(R_Scores!$B$5:$B$44,2,R_Scores!$C$5:$C$44,"Paper condition",R_Scores!G$5:G$44,R_Scores!G28))^2-1,"")</f>
        <v/>
      </c>
      <c r="BX28" s="1" t="str">
        <f aca="false">IF(ISNUMBER(R_Scores!G28),R_Scores!G28^2,"")</f>
        <v/>
      </c>
      <c r="BY28" s="1" t="str">
        <f aca="false">IF(AND(R_Scores!$B28=1,R_Scores!$C28="Tool condition",ISNUMBER(R_Scores!H28)),COUNTIFS(R_Scores!$B$5:$B$44,1,R_Scores!$C$5:$C$44,"Paper condition",R_Scores!H$5:H$44,"&lt;"&amp;R_Scores!H28)+0.5*COUNTIFS(R_Scores!$B$5:$B$44,1,R_Scores!$C$5:$C$44,"Paper condition",R_Scores!H$5:H$44,R_Scores!H28),"")</f>
        <v/>
      </c>
      <c r="BZ28" s="1" t="str">
        <f aca="false">IF(AND(R_Scores!$B28=1,OR(R_Scores!$C28="Tool condition",R_Scores!$C28="Paper condition"),ISNUMBER(R_Scores!H28)),(COUNTIFS(R_Scores!$B$5:$B$44,1,R_Scores!$C$5:$C$44,"Tool condition",R_Scores!H$5:H$44,R_Scores!H28)+COUNTIFS(R_Scores!$B$5:$B$44,1,R_Scores!$C$5:$C$44,"Paper condition",R_Scores!H$5:H$44,R_Scores!H28))^2-1,"")</f>
        <v/>
      </c>
      <c r="CA28" s="1" t="str">
        <f aca="false">IF(AND(R_Scores!$B28=2,R_Scores!$C28="Tool condition",ISNUMBER(R_Scores!H28)),COUNTIFS(R_Scores!$B$5:$B$44,2,R_Scores!$C$5:$C$44,"Paper condition",R_Scores!H$5:H$44,"&lt;"&amp;R_Scores!H28)+0.5*COUNTIFS(R_Scores!$B$5:$B$44,2,R_Scores!$C$5:$C$44,"Paper condition",R_Scores!H$5:H$44,R_Scores!H28),"")</f>
        <v/>
      </c>
      <c r="CB28" s="1" t="str">
        <f aca="false">IF(AND(R_Scores!$B28=2,OR(R_Scores!$C28="Tool condition",R_Scores!$C28="Paper condition"),ISNUMBER(R_Scores!H28)),(COUNTIFS(R_Scores!$B$5:$B$44,2,R_Scores!$C$5:$C$44,"Tool condition",R_Scores!H$5:H$44,R_Scores!H28)+COUNTIFS(R_Scores!$B$5:$B$44,2,R_Scores!$C$5:$C$44,"Paper condition",R_Scores!H$5:H$44,R_Scores!H28))^2-1,"")</f>
        <v/>
      </c>
      <c r="CC28" s="1" t="str">
        <f aca="false">IF(ISNUMBER(R_Scores!H28),R_Scores!H28^2,"")</f>
        <v/>
      </c>
      <c r="CD28" s="1" t="str">
        <f aca="false">IF(AND(R_Scores!$B28=1,R_Scores!$C28="Tool condition",ISNUMBER(R_Scores!I28)),COUNTIFS(R_Scores!$B$5:$B$44,1,R_Scores!$C$5:$C$44,"Paper condition",R_Scores!I$5:I$44,"&lt;"&amp;R_Scores!I28)+0.5*COUNTIFS(R_Scores!$B$5:$B$44,1,R_Scores!$C$5:$C$44,"Paper condition",R_Scores!I$5:I$44,R_Scores!I28),"")</f>
        <v/>
      </c>
      <c r="CE28" s="1" t="str">
        <f aca="false">IF(AND(R_Scores!$B28=1,OR(R_Scores!$C28="Tool condition",R_Scores!$C28="Paper condition"),ISNUMBER(R_Scores!I28)),(COUNTIFS(R_Scores!$B$5:$B$44,1,R_Scores!$C$5:$C$44,"Tool condition",R_Scores!I$5:I$44,R_Scores!I28)+COUNTIFS(R_Scores!$B$5:$B$44,1,R_Scores!$C$5:$C$44,"Paper condition",R_Scores!I$5:I$44,R_Scores!I28))^2-1,"")</f>
        <v/>
      </c>
      <c r="CF28" s="1" t="n">
        <f aca="false">IF(AND(R_Scores!$B28=2,R_Scores!$C28="Tool condition",ISNUMBER(R_Scores!I28)),COUNTIFS(R_Scores!$B$5:$B$44,2,R_Scores!$C$5:$C$44,"Paper condition",R_Scores!I$5:I$44,"&lt;"&amp;R_Scores!I28)+0.5*COUNTIFS(R_Scores!$B$5:$B$44,2,R_Scores!$C$5:$C$44,"Paper condition",R_Scores!I$5:I$44,R_Scores!I28),"")</f>
        <v>6</v>
      </c>
      <c r="CG28" s="1" t="n">
        <f aca="false">IF(AND(R_Scores!$B28=2,OR(R_Scores!$C28="Tool condition",R_Scores!$C28="Paper condition"),ISNUMBER(R_Scores!I28)),(COUNTIFS(R_Scores!$B$5:$B$44,2,R_Scores!$C$5:$C$44,"Tool condition",R_Scores!I$5:I$44,R_Scores!I28)+COUNTIFS(R_Scores!$B$5:$B$44,2,R_Scores!$C$5:$C$44,"Paper condition",R_Scores!I$5:I$44,R_Scores!I28))^2-1,"")</f>
        <v>255</v>
      </c>
      <c r="CH28" s="1" t="n">
        <f aca="false">IF(ISNUMBER(R_Scores!I28),R_Scores!I28^2,"")</f>
        <v>1</v>
      </c>
      <c r="CI28" s="1" t="str">
        <f aca="false">IF(AND(R_Scores!$B28=1,R_Scores!$C28="Tool condition",ISNUMBER(R_Scores!J28)),COUNTIFS(R_Scores!$B$5:$B$44,1,R_Scores!$C$5:$C$44,"Paper condition",R_Scores!J$5:J$44,"&lt;"&amp;R_Scores!J28)+0.5*COUNTIFS(R_Scores!$B$5:$B$44,1,R_Scores!$C$5:$C$44,"Paper condition",R_Scores!J$5:J$44,R_Scores!J28),"")</f>
        <v/>
      </c>
      <c r="CJ28" s="1" t="str">
        <f aca="false">IF(AND(R_Scores!$B28=1,OR(R_Scores!$C28="Tool condition",R_Scores!$C28="Paper condition"),ISNUMBER(R_Scores!J28)),(COUNTIFS(R_Scores!$B$5:$B$44,1,R_Scores!$C$5:$C$44,"Tool condition",R_Scores!J$5:J$44,R_Scores!J28)+COUNTIFS(R_Scores!$B$5:$B$44,1,R_Scores!$C$5:$C$44,"Paper condition",R_Scores!J$5:J$44,R_Scores!J28))^2-1,"")</f>
        <v/>
      </c>
      <c r="CK28" s="1" t="n">
        <f aca="false">IF(AND(R_Scores!$B28=2,R_Scores!$C28="Tool condition",ISNUMBER(R_Scores!J28)),COUNTIFS(R_Scores!$B$5:$B$44,2,R_Scores!$C$5:$C$44,"Paper condition",R_Scores!J$5:J$44,"&lt;"&amp;R_Scores!J28)+0.5*COUNTIFS(R_Scores!$B$5:$B$44,2,R_Scores!$C$5:$C$44,"Paper condition",R_Scores!J$5:J$44,R_Scores!J28),"")</f>
        <v>7</v>
      </c>
      <c r="CL28" s="1" t="n">
        <f aca="false">IF(AND(R_Scores!$B28=2,OR(R_Scores!$C28="Tool condition",R_Scores!$C28="Paper condition"),ISNUMBER(R_Scores!J28)),(COUNTIFS(R_Scores!$B$5:$B$44,2,R_Scores!$C$5:$C$44,"Tool condition",R_Scores!J$5:J$44,R_Scores!J28)+COUNTIFS(R_Scores!$B$5:$B$44,2,R_Scores!$C$5:$C$44,"Paper condition",R_Scores!J$5:J$44,R_Scores!J28))^2-1,"")</f>
        <v>195</v>
      </c>
      <c r="CM28" s="1" t="n">
        <f aca="false">IF(ISNUMBER(R_Scores!J28),R_Scores!J28^2,"")</f>
        <v>1</v>
      </c>
      <c r="CN28" s="1" t="str">
        <f aca="false">IF(AND(R_Scores!$B28=1,R_Scores!$C28="Tool condition",ISNUMBER(R_Scores!K28)),COUNTIFS(R_Scores!$B$5:$B$44,1,R_Scores!$C$5:$C$44,"Paper condition",R_Scores!K$5:K$44,"&lt;"&amp;R_Scores!K28)+0.5*COUNTIFS(R_Scores!$B$5:$B$44,1,R_Scores!$C$5:$C$44,"Paper condition",R_Scores!K$5:K$44,R_Scores!K28),"")</f>
        <v/>
      </c>
      <c r="CO28" s="1" t="str">
        <f aca="false">IF(AND(R_Scores!$B28=1,OR(R_Scores!$C28="Tool condition",R_Scores!$C28="Paper condition"),ISNUMBER(R_Scores!K28)),(COUNTIFS(R_Scores!$B$5:$B$44,1,R_Scores!$C$5:$C$44,"Tool condition",R_Scores!K$5:K$44,R_Scores!K28)+COUNTIFS(R_Scores!$B$5:$B$44,1,R_Scores!$C$5:$C$44,"Paper condition",R_Scores!K$5:K$44,R_Scores!K28))^2-1,"")</f>
        <v/>
      </c>
      <c r="CP28" s="1" t="str">
        <f aca="false">IF(AND(R_Scores!$B28=2,R_Scores!$C28="Tool condition",ISNUMBER(R_Scores!K28)),COUNTIFS(R_Scores!$B$5:$B$44,2,R_Scores!$C$5:$C$44,"Paper condition",R_Scores!K$5:K$44,"&lt;"&amp;R_Scores!K28)+0.5*COUNTIFS(R_Scores!$B$5:$B$44,2,R_Scores!$C$5:$C$44,"Paper condition",R_Scores!K$5:K$44,R_Scores!K28),"")</f>
        <v/>
      </c>
      <c r="CQ28" s="1" t="str">
        <f aca="false">IF(AND(R_Scores!$B28=2,OR(R_Scores!$C28="Tool condition",R_Scores!$C28="Paper condition"),ISNUMBER(R_Scores!K28)),(COUNTIFS(R_Scores!$B$5:$B$44,2,R_Scores!$C$5:$C$44,"Tool condition",R_Scores!K$5:K$44,R_Scores!K28)+COUNTIFS(R_Scores!$B$5:$B$44,2,R_Scores!$C$5:$C$44,"Paper condition",R_Scores!K$5:K$44,R_Scores!K28))^2-1,"")</f>
        <v/>
      </c>
      <c r="CR28" s="1" t="str">
        <f aca="false">IF(ISNUMBER(R_Scores!K28),R_Scores!K28^2,"")</f>
        <v/>
      </c>
      <c r="CS28" s="1" t="str">
        <f aca="false">IF(AND(R_Scores!$B28=1,R_Scores!$C28="Tool condition",ISNUMBER(R_Scores!L28)),COUNTIFS(R_Scores!$B$5:$B$44,1,R_Scores!$C$5:$C$44,"Paper condition",R_Scores!L$5:L$44,"&lt;"&amp;R_Scores!L28)+0.5*COUNTIFS(R_Scores!$B$5:$B$44,1,R_Scores!$C$5:$C$44,"Paper condition",R_Scores!L$5:L$44,R_Scores!L28),"")</f>
        <v/>
      </c>
      <c r="CT28" s="1" t="str">
        <f aca="false">IF(AND(R_Scores!$B28=1,OR(R_Scores!$C28="Tool condition",R_Scores!$C28="Paper condition"),ISNUMBER(R_Scores!L28)),(COUNTIFS(R_Scores!$B$5:$B$44,1,R_Scores!$C$5:$C$44,"Tool condition",R_Scores!L$5:L$44,R_Scores!L28)+COUNTIFS(R_Scores!$B$5:$B$44,1,R_Scores!$C$5:$C$44,"Paper condition",R_Scores!L$5:L$44,R_Scores!L28))^2-1,"")</f>
        <v/>
      </c>
      <c r="CU28" s="1" t="str">
        <f aca="false">IF(AND(R_Scores!$B28=2,R_Scores!$C28="Tool condition",ISNUMBER(R_Scores!L28)),COUNTIFS(R_Scores!$B$5:$B$44,2,R_Scores!$C$5:$C$44,"Paper condition",R_Scores!L$5:L$44,"&lt;"&amp;R_Scores!L28)+0.5*COUNTIFS(R_Scores!$B$5:$B$44,2,R_Scores!$C$5:$C$44,"Paper condition",R_Scores!L$5:L$44,R_Scores!L28),"")</f>
        <v/>
      </c>
      <c r="CV28" s="1" t="str">
        <f aca="false">IF(AND(R_Scores!$B28=2,OR(R_Scores!$C28="Tool condition",R_Scores!$C28="Paper condition"),ISNUMBER(R_Scores!L28)),(COUNTIFS(R_Scores!$B$5:$B$44,2,R_Scores!$C$5:$C$44,"Tool condition",R_Scores!L$5:L$44,R_Scores!L28)+COUNTIFS(R_Scores!$B$5:$B$44,2,R_Scores!$C$5:$C$44,"Paper condition",R_Scores!L$5:L$44,R_Scores!L28))^2-1,"")</f>
        <v/>
      </c>
      <c r="CW28" s="1" t="str">
        <f aca="false">IF(ISNUMBER(R_Scores!L28),R_Scores!L28^2,"")</f>
        <v/>
      </c>
      <c r="CX28" s="1" t="str">
        <f aca="false">IF(AND(R_Scores!$B28=1,R_Scores!$C28="Tool condition",ISNUMBER(R_Scores!M28)),COUNTIFS(R_Scores!$B$5:$B$44,1,R_Scores!$C$5:$C$44,"Paper condition",R_Scores!M$5:M$44,"&lt;"&amp;R_Scores!M28)+0.5*COUNTIFS(R_Scores!$B$5:$B$44,1,R_Scores!$C$5:$C$44,"Paper condition",R_Scores!M$5:M$44,R_Scores!M28),"")</f>
        <v/>
      </c>
      <c r="CY28" s="1" t="str">
        <f aca="false">IF(AND(R_Scores!$B28=1,OR(R_Scores!$C28="Tool condition",R_Scores!$C28="Paper condition"),ISNUMBER(R_Scores!M28)),(COUNTIFS(R_Scores!$B$5:$B$44,1,R_Scores!$C$5:$C$44,"Tool condition",R_Scores!M$5:M$44,R_Scores!M28)+COUNTIFS(R_Scores!$B$5:$B$44,1,R_Scores!$C$5:$C$44,"Paper condition",R_Scores!M$5:M$44,R_Scores!M28))^2-1,"")</f>
        <v/>
      </c>
      <c r="CZ28" s="1" t="str">
        <f aca="false">IF(AND(R_Scores!$B28=2,R_Scores!$C28="Tool condition",ISNUMBER(R_Scores!M28)),COUNTIFS(R_Scores!$B$5:$B$44,2,R_Scores!$C$5:$C$44,"Paper condition",R_Scores!M$5:M$44,"&lt;"&amp;R_Scores!M28)+0.5*COUNTIFS(R_Scores!$B$5:$B$44,2,R_Scores!$C$5:$C$44,"Paper condition",R_Scores!M$5:M$44,R_Scores!M28),"")</f>
        <v/>
      </c>
      <c r="DA28" s="1" t="str">
        <f aca="false">IF(AND(R_Scores!$B28=2,OR(R_Scores!$C28="Tool condition",R_Scores!$C28="Paper condition"),ISNUMBER(R_Scores!M28)),(COUNTIFS(R_Scores!$B$5:$B$44,2,R_Scores!$C$5:$C$44,"Tool condition",R_Scores!M$5:M$44,R_Scores!M28)+COUNTIFS(R_Scores!$B$5:$B$44,2,R_Scores!$C$5:$C$44,"Paper condition",R_Scores!M$5:M$44,R_Scores!M28))^2-1,"")</f>
        <v/>
      </c>
      <c r="DB28" s="1" t="str">
        <f aca="false">IF(ISNUMBER(R_Scores!M28),R_Scores!M28^2,"")</f>
        <v/>
      </c>
      <c r="DC28" s="1" t="str">
        <f aca="false">IF(AND(R_Scores!$B28=1,R_Scores!$C28="Tool condition",ISNUMBER(R_Scores!N28)),COUNTIFS(R_Scores!$B$5:$B$44,1,R_Scores!$C$5:$C$44,"Paper condition",R_Scores!N$5:N$44,"&lt;"&amp;R_Scores!N28)+0.5*COUNTIFS(R_Scores!$B$5:$B$44,1,R_Scores!$C$5:$C$44,"Paper condition",R_Scores!N$5:N$44,R_Scores!N28),"")</f>
        <v/>
      </c>
      <c r="DD28" s="1" t="str">
        <f aca="false">IF(AND(R_Scores!$B28=1,OR(R_Scores!$C28="Tool condition",R_Scores!$C28="Paper condition"),ISNUMBER(R_Scores!N28)),(COUNTIFS(R_Scores!$B$5:$B$44,1,R_Scores!$C$5:$C$44,"Tool condition",R_Scores!N$5:N$44,R_Scores!N28)+COUNTIFS(R_Scores!$B$5:$B$44,1,R_Scores!$C$5:$C$44,"Paper condition",R_Scores!N$5:N$44,R_Scores!N28))^2-1,"")</f>
        <v/>
      </c>
      <c r="DE28" s="1" t="n">
        <f aca="false">IF(AND(R_Scores!$B28=2,R_Scores!$C28="Tool condition",ISNUMBER(R_Scores!N28)),COUNTIFS(R_Scores!$B$5:$B$44,2,R_Scores!$C$5:$C$44,"Paper condition",R_Scores!N$5:N$44,"&lt;"&amp;R_Scores!N28)+0.5*COUNTIFS(R_Scores!$B$5:$B$44,2,R_Scores!$C$5:$C$44,"Paper condition",R_Scores!N$5:N$44,R_Scores!N28),"")</f>
        <v>3</v>
      </c>
      <c r="DF28" s="1" t="n">
        <f aca="false">IF(AND(R_Scores!$B28=2,OR(R_Scores!$C28="Tool condition",R_Scores!$C28="Paper condition"),ISNUMBER(R_Scores!N28)),(COUNTIFS(R_Scores!$B$5:$B$44,2,R_Scores!$C$5:$C$44,"Tool condition",R_Scores!N$5:N$44,R_Scores!N28)+COUNTIFS(R_Scores!$B$5:$B$44,2,R_Scores!$C$5:$C$44,"Paper condition",R_Scores!N$5:N$44,R_Scores!N28))^2-1,"")</f>
        <v>63</v>
      </c>
      <c r="DG28" s="1" t="n">
        <f aca="false">IF(ISNUMBER(R_Scores!N28),R_Scores!N28^2,"")</f>
        <v>0</v>
      </c>
      <c r="DH28" s="1" t="str">
        <f aca="false">IF(AND(R_Scores!$B28=1,R_Scores!$C28="Tool condition",ISNUMBER(R_Scores!O28)),COUNTIFS(R_Scores!$B$5:$B$44,1,R_Scores!$C$5:$C$44,"Paper condition",R_Scores!O$5:O$44,"&lt;"&amp;R_Scores!O28)+0.5*COUNTIFS(R_Scores!$B$5:$B$44,1,R_Scores!$C$5:$C$44,"Paper condition",R_Scores!O$5:O$44,R_Scores!O28),"")</f>
        <v/>
      </c>
      <c r="DI28" s="1" t="str">
        <f aca="false">IF(AND(R_Scores!$B28=1,OR(R_Scores!$C28="Tool condition",R_Scores!$C28="Paper condition"),ISNUMBER(R_Scores!O28)),(COUNTIFS(R_Scores!$B$5:$B$44,1,R_Scores!$C$5:$C$44,"Tool condition",R_Scores!O$5:O$44,R_Scores!O28)+COUNTIFS(R_Scores!$B$5:$B$44,1,R_Scores!$C$5:$C$44,"Paper condition",R_Scores!O$5:O$44,R_Scores!O28))^2-1,"")</f>
        <v/>
      </c>
      <c r="DJ28" s="1" t="n">
        <f aca="false">IF(AND(R_Scores!$B28=2,R_Scores!$C28="Tool condition",ISNUMBER(R_Scores!O28)),COUNTIFS(R_Scores!$B$5:$B$44,2,R_Scores!$C$5:$C$44,"Paper condition",R_Scores!O$5:O$44,"&lt;"&amp;R_Scores!O28)+0.5*COUNTIFS(R_Scores!$B$5:$B$44,2,R_Scores!$C$5:$C$44,"Paper condition",R_Scores!O$5:O$44,R_Scores!O28),"")</f>
        <v>7</v>
      </c>
      <c r="DK28" s="1" t="n">
        <f aca="false">IF(AND(R_Scores!$B28=2,OR(R_Scores!$C28="Tool condition",R_Scores!$C28="Paper condition"),ISNUMBER(R_Scores!O28)),(COUNTIFS(R_Scores!$B$5:$B$44,2,R_Scores!$C$5:$C$44,"Tool condition",R_Scores!O$5:O$44,R_Scores!O28)+COUNTIFS(R_Scores!$B$5:$B$44,2,R_Scores!$C$5:$C$44,"Paper condition",R_Scores!O$5:O$44,R_Scores!O28))^2-1,"")</f>
        <v>168</v>
      </c>
      <c r="DL28" s="1" t="n">
        <f aca="false">IF(ISNUMBER(R_Scores!O28),R_Scores!O28^2,"")</f>
        <v>1</v>
      </c>
      <c r="DM28" s="1" t="str">
        <f aca="false">IF(AND(R_Scores!$B28=1,R_Scores!$C28="Tool condition",ISNUMBER(R_Scores!P28)),COUNTIFS(R_Scores!$B$5:$B$44,1,R_Scores!$C$5:$C$44,"Paper condition",R_Scores!P$5:P$44,"&lt;"&amp;R_Scores!P28)+0.5*COUNTIFS(R_Scores!$B$5:$B$44,1,R_Scores!$C$5:$C$44,"Paper condition",R_Scores!P$5:P$44,R_Scores!P28),"")</f>
        <v/>
      </c>
      <c r="DN28" s="1" t="str">
        <f aca="false">IF(AND(R_Scores!$B28=1,OR(R_Scores!$C28="Tool condition",R_Scores!$C28="Paper condition"),ISNUMBER(R_Scores!P28)),(COUNTIFS(R_Scores!$B$5:$B$44,1,R_Scores!$C$5:$C$44,"Tool condition",R_Scores!P$5:P$44,R_Scores!P28)+COUNTIFS(R_Scores!$B$5:$B$44,1,R_Scores!$C$5:$C$44,"Paper condition",R_Scores!P$5:P$44,R_Scores!P28))^2-1,"")</f>
        <v/>
      </c>
      <c r="DO28" s="1" t="n">
        <f aca="false">IF(AND(R_Scores!$B28=2,R_Scores!$C28="Tool condition",ISNUMBER(R_Scores!P28)),COUNTIFS(R_Scores!$B$5:$B$44,2,R_Scores!$C$5:$C$44,"Paper condition",R_Scores!P$5:P$44,"&lt;"&amp;R_Scores!P28)+0.5*COUNTIFS(R_Scores!$B$5:$B$44,2,R_Scores!$C$5:$C$44,"Paper condition",R_Scores!P$5:P$44,R_Scores!P28),"")</f>
        <v>4.5</v>
      </c>
      <c r="DP28" s="1" t="n">
        <f aca="false">IF(AND(R_Scores!$B28=2,OR(R_Scores!$C28="Tool condition",R_Scores!$C28="Paper condition"),ISNUMBER(R_Scores!P28)),(COUNTIFS(R_Scores!$B$5:$B$44,2,R_Scores!$C$5:$C$44,"Tool condition",R_Scores!P$5:P$44,R_Scores!P28)+COUNTIFS(R_Scores!$B$5:$B$44,2,R_Scores!$C$5:$C$44,"Paper condition",R_Scores!P$5:P$44,R_Scores!P28))^2-1,"")</f>
        <v>168</v>
      </c>
      <c r="DQ28" s="1" t="n">
        <f aca="false">IF(ISNUMBER(R_Scores!P28),R_Scores!P28^2,"")</f>
        <v>0</v>
      </c>
      <c r="DR28" s="1" t="str">
        <f aca="false">IF(AND(Scores!$B28=1,Scores!$C28="Tool condition",ISNUMBER(Scores!Q28)),COUNTIFS(Scores!$B$5:$B$44,1,Scores!$C$5:$C$44,"Paper condition",Scores!Q$5:Q$44,"&lt;"&amp;Scores!Q28)+0.5*COUNTIFS(Scores!$B$5:$B$44,1,Scores!$C$5:$C$44,"Paper condition",Scores!Q$5:Q$44,Scores!Q28),"")</f>
        <v/>
      </c>
      <c r="DS28" s="1" t="str">
        <f aca="false">IF(AND(Scores!$B28=1,OR(Scores!$C28="Tool condition",Scores!$C28="Paper condition"),ISNUMBER(Scores!Q28)),(COUNTIFS(Scores!$B$5:$B$44,1,Scores!$C$5:$C$44,"Tool condition",Scores!Q$5:Q$44,Scores!Q28)+COUNTIFS(Scores!$B$5:$B$44,1,Scores!$C$5:$C$44,"Paper condition",Scores!Q$5:Q$44,Scores!Q28))^2-1,"")</f>
        <v/>
      </c>
      <c r="DT28" s="1" t="n">
        <f aca="false">IF(AND(Scores!$B28=2,Scores!$C28="Tool condition",ISNUMBER(Scores!Q28)),COUNTIFS(Scores!$B$5:$B$44,2,Scores!$C$5:$C$44,"Paper condition",Scores!Q$5:Q$44,"&lt;"&amp;Scores!Q28)+0.5*COUNTIFS(Scores!$B$5:$B$44,2,Scores!$C$5:$C$44,"Paper condition",Scores!Q$5:Q$44,Scores!Q28),"")</f>
        <v>8</v>
      </c>
      <c r="DU28" s="1" t="n">
        <f aca="false">IF(AND(Scores!$B28=2,OR(Scores!$C28="Tool condition",Scores!$C28="Paper condition"),ISNUMBER(Scores!Q28)),(COUNTIFS(Scores!$B$5:$B$44,2,Scores!$C$5:$C$44,"Tool condition",Scores!Q$5:Q$44,Scores!Q28)+COUNTIFS(Scores!$B$5:$B$44,2,Scores!$C$5:$C$44,"Paper condition",Scores!Q$5:Q$44,Scores!Q28))^2-1,"")</f>
        <v>35</v>
      </c>
      <c r="DV28" s="1" t="n">
        <f aca="false">IF(ISNUMBER(Scores!Q28),Scores!Q28^2,"")</f>
        <v>289</v>
      </c>
      <c r="DW28" s="1" t="str">
        <f aca="false">IF(AND(Scores!$B28=1,Scores!$C28="Tool condition",ISNUMBER(Scores!R28)),COUNTIFS(Scores!$B$5:$B$44,1,Scores!$C$5:$C$44,"Paper condition",Scores!R$5:R$44,"&lt;"&amp;Scores!R28)+0.5*COUNTIFS(Scores!$B$5:$B$44,1,Scores!$C$5:$C$44,"Paper condition",Scores!R$5:R$44,Scores!R28),"")</f>
        <v/>
      </c>
      <c r="DX28" s="1" t="str">
        <f aca="false">IF(AND(Scores!$B28=1,OR(Scores!$C28="Tool condition",Scores!$C28="Paper condition"),ISNUMBER(Scores!R28)),(COUNTIFS(Scores!$B$5:$B$44,1,Scores!$C$5:$C$44,"Tool condition",Scores!R$5:R$44,Scores!R28)+COUNTIFS(Scores!$B$5:$B$44,1,Scores!$C$5:$C$44,"Paper condition",Scores!R$5:R$44,Scores!R28))^2-1,"")</f>
        <v/>
      </c>
      <c r="DY28" s="1" t="n">
        <f aca="false">IF(AND(Scores!$B28=2,Scores!$C28="Tool condition",ISNUMBER(Scores!R28)),COUNTIFS(Scores!$B$5:$B$44,2,Scores!$C$5:$C$44,"Paper condition",Scores!R$5:R$44,"&lt;"&amp;Scores!R28)+0.5*COUNTIFS(Scores!$B$5:$B$44,2,Scores!$C$5:$C$44,"Paper condition",Scores!R$5:R$44,Scores!R28),"")</f>
        <v>8.5</v>
      </c>
      <c r="DZ28" s="1" t="n">
        <f aca="false">IF(AND(Scores!$B28=2,OR(Scores!$C28="Tool condition",Scores!$C28="Paper condition"),ISNUMBER(Scores!R28)),(COUNTIFS(Scores!$B$5:$B$44,2,Scores!$C$5:$C$44,"Tool condition",Scores!R$5:R$44,Scores!R28)+COUNTIFS(Scores!$B$5:$B$44,2,Scores!$C$5:$C$44,"Paper condition",Scores!R$5:R$44,Scores!R28))^2-1,"")</f>
        <v>80</v>
      </c>
      <c r="EA28" s="1" t="n">
        <f aca="false">IF(ISNUMBER(Scores!R28),Scores!R28^2,"")</f>
        <v>100</v>
      </c>
      <c r="EB28" s="1" t="str">
        <f aca="false">IF(AND(Scores!$B28=1,Scores!$C28="Tool condition",ISNUMBER(Scores!S28)),COUNTIFS(Scores!$B$5:$B$44,1,Scores!$C$5:$C$44,"Paper condition",Scores!S$5:S$44,"&lt;"&amp;Scores!S28)+0.5*COUNTIFS(Scores!$B$5:$B$44,1,Scores!$C$5:$C$44,"Paper condition",Scores!S$5:S$44,Scores!S28),"")</f>
        <v/>
      </c>
      <c r="EC28" s="1" t="str">
        <f aca="false">IF(AND(Scores!$B28=1,OR(Scores!$C28="Tool condition",Scores!$C28="Paper condition"),ISNUMBER(Scores!S28)),(COUNTIFS(Scores!$B$5:$B$44,1,Scores!$C$5:$C$44,"Tool condition",Scores!S$5:S$44,Scores!S28)+COUNTIFS(Scores!$B$5:$B$44,1,Scores!$C$5:$C$44,"Paper condition",Scores!S$5:S$44,Scores!S28))^2-1,"")</f>
        <v/>
      </c>
      <c r="ED28" s="1" t="n">
        <f aca="false">IF(AND(Scores!$B28=2,Scores!$C28="Tool condition",ISNUMBER(Scores!S28)),COUNTIFS(Scores!$B$5:$B$44,2,Scores!$C$5:$C$44,"Paper condition",Scores!S$5:S$44,"&lt;"&amp;Scores!S28)+0.5*COUNTIFS(Scores!$B$5:$B$44,2,Scores!$C$5:$C$44,"Paper condition",Scores!S$5:S$44,Scores!S28),"")</f>
        <v>5</v>
      </c>
      <c r="EE28" s="1" t="n">
        <f aca="false">IF(AND(Scores!$B28=2,OR(Scores!$C28="Tool condition",Scores!$C28="Paper condition"),ISNUMBER(Scores!S28)),(COUNTIFS(Scores!$B$5:$B$44,2,Scores!$C$5:$C$44,"Tool condition",Scores!S$5:S$44,Scores!S28)+COUNTIFS(Scores!$B$5:$B$44,2,Scores!$C$5:$C$44,"Paper condition",Scores!S$5:S$44,Scores!S28))^2-1,"")</f>
        <v>24</v>
      </c>
      <c r="EF28" s="1" t="n">
        <f aca="false">IF(ISNUMBER(Scores!S28),Scores!S28^2,"")</f>
        <v>49</v>
      </c>
      <c r="EG28" s="1" t="str">
        <f aca="false">IF(AND(Scores!$B28=1,Scores!$C28="Tool condition",ISNUMBER(Scores!T28)),COUNTIFS(Scores!$B$5:$B$44,1,Scores!$C$5:$C$44,"Paper condition",Scores!T$5:T$44,"&lt;"&amp;Scores!T28)+0.5*COUNTIFS(Scores!$B$5:$B$44,1,Scores!$C$5:$C$44,"Paper condition",Scores!T$5:T$44,Scores!T28),"")</f>
        <v/>
      </c>
      <c r="EH28" s="1" t="str">
        <f aca="false">IF(AND(Scores!$B28=1,OR(Scores!$C28="Tool condition",Scores!$C28="Paper condition"),ISNUMBER(Scores!T28)),(COUNTIFS(Scores!$B$5:$B$44,1,Scores!$C$5:$C$44,"Tool condition",Scores!T$5:T$44,Scores!T28)+COUNTIFS(Scores!$B$5:$B$44,1,Scores!$C$5:$C$44,"Paper condition",Scores!T$5:T$44,Scores!T28))^2-1,"")</f>
        <v/>
      </c>
      <c r="EI28" s="1" t="n">
        <f aca="false">IF(AND(Scores!$B28=2,Scores!$C28="Tool condition",ISNUMBER(Scores!T28)),COUNTIFS(Scores!$B$5:$B$44,2,Scores!$C$5:$C$44,"Paper condition",Scores!T$5:T$44,"&lt;"&amp;Scores!T28)+0.5*COUNTIFS(Scores!$B$5:$B$44,2,Scores!$C$5:$C$44,"Paper condition",Scores!T$5:T$44,Scores!T28),"")</f>
        <v>6</v>
      </c>
      <c r="EJ28" s="1" t="n">
        <f aca="false">IF(AND(Scores!$B28=2,OR(Scores!$C28="Tool condition",Scores!$C28="Paper condition"),ISNUMBER(Scores!T28)),(COUNTIFS(Scores!$B$5:$B$44,2,Scores!$C$5:$C$44,"Tool condition",Scores!T$5:T$44,Scores!T28)+COUNTIFS(Scores!$B$5:$B$44,2,Scores!$C$5:$C$44,"Paper condition",Scores!T$5:T$44,Scores!T28))^2-1,"")</f>
        <v>80</v>
      </c>
      <c r="EK28" s="1" t="n">
        <f aca="false">IF(ISNUMBER(Scores!T28),Scores!T28^2,"")</f>
        <v>36</v>
      </c>
      <c r="EL28" s="1" t="str">
        <f aca="false">IF(AND(Scores!$B28=1,Scores!$C28="Tool condition",ISNUMBER(Scores!U28)),COUNTIFS(Scores!$B$5:$B$44,1,Scores!$C$5:$C$44,"Paper condition",Scores!U$5:U$44,"&lt;"&amp;Scores!U28)+0.5*COUNTIFS(Scores!$B$5:$B$44,1,Scores!$C$5:$C$44,"Paper condition",Scores!U$5:U$44,Scores!U28),"")</f>
        <v/>
      </c>
      <c r="EM28" s="1" t="str">
        <f aca="false">IF(AND(Scores!$B28=1,OR(Scores!$C28="Tool condition",Scores!$C28="Paper condition"),ISNUMBER(Scores!U28)),(COUNTIFS(Scores!$B$5:$B$44,1,Scores!$C$5:$C$44,"Tool condition",Scores!U$5:U$44,Scores!U28)+COUNTIFS(Scores!$B$5:$B$44,1,Scores!$C$5:$C$44,"Paper condition",Scores!U$5:U$44,Scores!U28))^2-1,"")</f>
        <v/>
      </c>
      <c r="EN28" s="1" t="n">
        <f aca="false">IF(AND(Scores!$B28=2,Scores!$C28="Tool condition",ISNUMBER(Scores!U28)),COUNTIFS(Scores!$B$5:$B$44,2,Scores!$C$5:$C$44,"Paper condition",Scores!U$5:U$44,"&lt;"&amp;Scores!U28)+0.5*COUNTIFS(Scores!$B$5:$B$44,2,Scores!$C$5:$C$44,"Paper condition",Scores!U$5:U$44,Scores!U28),"")</f>
        <v>3.5</v>
      </c>
      <c r="EO28" s="1" t="n">
        <f aca="false">IF(AND(Scores!$B28=2,OR(Scores!$C28="Tool condition",Scores!$C28="Paper condition"),ISNUMBER(Scores!U28)),(COUNTIFS(Scores!$B$5:$B$44,2,Scores!$C$5:$C$44,"Tool condition",Scores!U$5:U$44,Scores!U28)+COUNTIFS(Scores!$B$5:$B$44,2,Scores!$C$5:$C$44,"Paper condition",Scores!U$5:U$44,Scores!U28))^2-1,"")</f>
        <v>35</v>
      </c>
      <c r="EP28" s="1" t="n">
        <f aca="false">IF(ISNUMBER(Scores!U28),Scores!U28^2,"")</f>
        <v>9</v>
      </c>
      <c r="EQ28" s="1" t="str">
        <f aca="false">IF(AND(Scores!$B28=1,Scores!$C28="Tool condition",ISNUMBER(Scores!V28)),COUNTIFS(Scores!$B$5:$B$44,1,Scores!$C$5:$C$44,"Paper condition",Scores!V$5:V$44,"&lt;"&amp;Scores!V28)+0.5*COUNTIFS(Scores!$B$5:$B$44,1,Scores!$C$5:$C$44,"Paper condition",Scores!V$5:V$44,Scores!V28),"")</f>
        <v/>
      </c>
      <c r="ER28" s="1" t="str">
        <f aca="false">IF(AND(Scores!$B28=1,OR(Scores!$C28="Tool condition",Scores!$C28="Paper condition"),ISNUMBER(Scores!V28)),(COUNTIFS(Scores!$B$5:$B$44,1,Scores!$C$5:$C$44,"Tool condition",Scores!V$5:V$44,Scores!V28)+COUNTIFS(Scores!$B$5:$B$44,1,Scores!$C$5:$C$44,"Paper condition",Scores!V$5:V$44,Scores!V28))^2-1,"")</f>
        <v/>
      </c>
      <c r="ES28" s="1" t="n">
        <f aca="false">IF(AND(Scores!$B28=2,Scores!$C28="Tool condition",ISNUMBER(Scores!V28)),COUNTIFS(Scores!$B$5:$B$44,2,Scores!$C$5:$C$44,"Paper condition",Scores!V$5:V$44,"&lt;"&amp;Scores!V28)+0.5*COUNTIFS(Scores!$B$5:$B$44,2,Scores!$C$5:$C$44,"Paper condition",Scores!V$5:V$44,Scores!V28),"")</f>
        <v>9.5</v>
      </c>
      <c r="ET28" s="1" t="n">
        <f aca="false">IF(AND(Scores!$B28=2,OR(Scores!$C28="Tool condition",Scores!$C28="Paper condition"),ISNUMBER(Scores!V28)),(COUNTIFS(Scores!$B$5:$B$44,2,Scores!$C$5:$C$44,"Tool condition",Scores!V$5:V$44,Scores!V28)+COUNTIFS(Scores!$B$5:$B$44,2,Scores!$C$5:$C$44,"Paper condition",Scores!V$5:V$44,Scores!V28))^2-1,"")</f>
        <v>3</v>
      </c>
      <c r="EU28" s="1" t="n">
        <f aca="false">IF(ISNUMBER(Scores!V28),Scores!V28^2,"")</f>
        <v>64</v>
      </c>
      <c r="EV28" s="1" t="str">
        <f aca="false">IF(AND(R_Scores!$B28=1,R_Scores!$C28="Tool condition",ISNUMBER(R_Scores!Q28)),COUNTIFS(R_Scores!$B$5:$B$44,1,R_Scores!$C$5:$C$44,"Paper condition",R_Scores!Q$5:Q$44,"&lt;"&amp;R_Scores!Q28)+0.5*COUNTIFS(R_Scores!$B$5:$B$44,1,R_Scores!$C$5:$C$44,"Paper condition",R_Scores!Q$5:Q$44,R_Scores!Q28),"")</f>
        <v/>
      </c>
      <c r="EW28" s="1" t="str">
        <f aca="false">IF(AND(R_Scores!$B28=1,OR(R_Scores!$C28="Tool condition",R_Scores!$C28="Paper condition"),ISNUMBER(R_Scores!Q28)),(COUNTIFS(R_Scores!$B$5:$B$44,1,R_Scores!$C$5:$C$44,"Tool condition",R_Scores!Q$5:Q$44,R_Scores!Q28)+COUNTIFS(R_Scores!$B$5:$B$44,1,R_Scores!$C$5:$C$44,"Paper condition",R_Scores!Q$5:Q$44,R_Scores!Q28))^2-1,"")</f>
        <v/>
      </c>
      <c r="EX28" s="1" t="n">
        <f aca="false">IF(AND(R_Scores!$B28=2,R_Scores!$C28="Tool condition",ISNUMBER(R_Scores!Q28)),COUNTIFS(R_Scores!$B$5:$B$44,2,R_Scores!$C$5:$C$44,"Paper condition",R_Scores!Q$5:Q$44,"&lt;"&amp;R_Scores!Q28)+0.5*COUNTIFS(R_Scores!$B$5:$B$44,2,R_Scores!$C$5:$C$44,"Paper condition",R_Scores!Q$5:Q$44,R_Scores!Q28),"")</f>
        <v>8.5</v>
      </c>
      <c r="EY28" s="1" t="n">
        <f aca="false">IF(AND(R_Scores!$B28=2,OR(R_Scores!$C28="Tool condition",R_Scores!$C28="Paper condition"),ISNUMBER(R_Scores!Q28)),(COUNTIFS(R_Scores!$B$5:$B$44,2,R_Scores!$C$5:$C$44,"Tool condition",R_Scores!Q$5:Q$44,R_Scores!Q28)+COUNTIFS(R_Scores!$B$5:$B$44,2,R_Scores!$C$5:$C$44,"Paper condition",R_Scores!Q$5:Q$44,R_Scores!Q28))^2-1,"")</f>
        <v>143</v>
      </c>
      <c r="EZ28" s="1" t="n">
        <f aca="false">IF(ISNUMBER(R_Scores!Q28),R_Scores!Q28^2,"")</f>
        <v>25</v>
      </c>
      <c r="FA28" s="1" t="str">
        <f aca="false">IF(AND(R_Scores!$B28=1,R_Scores!$C28="Tool condition",ISNUMBER(R_Scores!R28)),COUNTIFS(R_Scores!$B$5:$B$44,1,R_Scores!$C$5:$C$44,"Paper condition",R_Scores!R$5:R$44,"&lt;"&amp;R_Scores!R28)+0.5*COUNTIFS(R_Scores!$B$5:$B$44,1,R_Scores!$C$5:$C$44,"Paper condition",R_Scores!R$5:R$44,R_Scores!R28),"")</f>
        <v/>
      </c>
      <c r="FB28" s="1" t="str">
        <f aca="false">IF(AND(R_Scores!$B28=1,OR(R_Scores!$C28="Tool condition",R_Scores!$C28="Paper condition"),ISNUMBER(R_Scores!R28)),(COUNTIFS(R_Scores!$B$5:$B$44,1,R_Scores!$C$5:$C$44,"Tool condition",R_Scores!R$5:R$44,R_Scores!R28)+COUNTIFS(R_Scores!$B$5:$B$44,1,R_Scores!$C$5:$C$44,"Paper condition",R_Scores!R$5:R$44,R_Scores!R28))^2-1,"")</f>
        <v/>
      </c>
      <c r="FC28" s="1" t="n">
        <f aca="false">IF(AND(R_Scores!$B28=2,R_Scores!$C28="Tool condition",ISNUMBER(R_Scores!R28)),COUNTIFS(R_Scores!$B$5:$B$44,2,R_Scores!$C$5:$C$44,"Paper condition",R_Scores!R$5:R$44,"&lt;"&amp;R_Scores!R28)+0.5*COUNTIFS(R_Scores!$B$5:$B$44,2,R_Scores!$C$5:$C$44,"Paper condition",R_Scores!R$5:R$44,R_Scores!R28),"")</f>
        <v>8</v>
      </c>
      <c r="FD28" s="1" t="n">
        <f aca="false">IF(AND(R_Scores!$B28=2,OR(R_Scores!$C28="Tool condition",R_Scores!$C28="Paper condition"),ISNUMBER(R_Scores!R28)),(COUNTIFS(R_Scores!$B$5:$B$44,2,R_Scores!$C$5:$C$44,"Tool condition",R_Scores!R$5:R$44,R_Scores!R28)+COUNTIFS(R_Scores!$B$5:$B$44,2,R_Scores!$C$5:$C$44,"Paper condition",R_Scores!R$5:R$44,R_Scores!R28))^2-1,"")</f>
        <v>35</v>
      </c>
      <c r="FE28" s="1" t="n">
        <f aca="false">IF(ISNUMBER(R_Scores!R28),R_Scores!R28^2,"")</f>
        <v>484</v>
      </c>
    </row>
    <row r="29" customFormat="false" ht="14.25" hidden="false" customHeight="true" outlineLevel="0" collapsed="false">
      <c r="B29" s="1" t="str">
        <f aca="false">IF(AND(Scores!$B29=1,Scores!$C29="Tool condition",ISNUMBER(Scores!E29)),COUNTIFS(Scores!$B$5:$B$44,1,Scores!$C$5:$C$44,"Paper condition",Scores!E$5:E$44,"&lt;"&amp;Scores!E29)+0.5*COUNTIFS(Scores!$B$5:$B$44,1,Scores!$C$5:$C$44,"Paper condition",Scores!E$5:E$44,Scores!E29),"")</f>
        <v/>
      </c>
      <c r="C29" s="1" t="str">
        <f aca="false">IF(AND(Scores!$B29=1,OR(Scores!$C29="Tool condition",Scores!$C29="Paper condition"),ISNUMBER(Scores!E29)),(COUNTIFS(Scores!$B$5:$B$44,1,Scores!$C$5:$C$44,"Tool condition",Scores!E$5:E$44,Scores!E29)+COUNTIFS(Scores!$B$5:$B$44,1,Scores!$C$5:$C$44,"Paper condition",Scores!E$5:E$44,Scores!E29))^2-1,"")</f>
        <v/>
      </c>
      <c r="D29" s="1" t="n">
        <f aca="false">IF(AND(Scores!$B29=2,Scores!$C29="Tool condition",ISNUMBER(Scores!E29)),COUNTIFS(Scores!$B$5:$B$44,2,Scores!$C$5:$C$44,"Paper condition",Scores!E$5:E$44,"&lt;"&amp;Scores!E29)+0.5*COUNTIFS(Scores!$B$5:$B$44,2,Scores!$C$5:$C$44,"Paper condition",Scores!E$5:E$44,Scores!E29),"")</f>
        <v>7.5</v>
      </c>
      <c r="E29" s="1" t="n">
        <f aca="false">IF(AND(Scores!$B29=2,OR(Scores!$C29="Tool condition",Scores!$C29="Paper condition"),ISNUMBER(Scores!E29)),(COUNTIFS(Scores!$B$5:$B$44,2,Scores!$C$5:$C$44,"Tool condition",Scores!E$5:E$44,Scores!E29)+COUNTIFS(Scores!$B$5:$B$44,2,Scores!$C$5:$C$44,"Paper condition",Scores!E$5:E$44,Scores!E29))^2-1,"")</f>
        <v>143</v>
      </c>
      <c r="F29" s="1" t="n">
        <f aca="false">IF(ISNUMBER(Scores!E29),Scores!E29^2,"")</f>
        <v>4</v>
      </c>
      <c r="G29" s="1" t="str">
        <f aca="false">IF(AND(Scores!$B29=1,Scores!$C29="Tool condition",ISNUMBER(Scores!F29)),COUNTIFS(Scores!$B$5:$B$44,1,Scores!$C$5:$C$44,"Paper condition",Scores!F$5:F$44,"&lt;"&amp;Scores!F29)+0.5*COUNTIFS(Scores!$B$5:$B$44,1,Scores!$C$5:$C$44,"Paper condition",Scores!F$5:F$44,Scores!F29),"")</f>
        <v/>
      </c>
      <c r="H29" s="1" t="str">
        <f aca="false">IF(AND(Scores!$B29=1,OR(Scores!$C29="Tool condition",Scores!$C29="Paper condition"),ISNUMBER(Scores!F29)),(COUNTIFS(Scores!$B$5:$B$44,1,Scores!$C$5:$C$44,"Tool condition",Scores!F$5:F$44,Scores!F29)+COUNTIFS(Scores!$B$5:$B$44,1,Scores!$C$5:$C$44,"Paper condition",Scores!F$5:F$44,Scores!F29))^2-1,"")</f>
        <v/>
      </c>
      <c r="I29" s="1" t="n">
        <f aca="false">IF(AND(Scores!$B29=2,Scores!$C29="Tool condition",ISNUMBER(Scores!F29)),COUNTIFS(Scores!$B$5:$B$44,2,Scores!$C$5:$C$44,"Paper condition",Scores!F$5:F$44,"&lt;"&amp;Scores!F29)+0.5*COUNTIFS(Scores!$B$5:$B$44,2,Scores!$C$5:$C$44,"Paper condition",Scores!F$5:F$44,Scores!F29),"")</f>
        <v>3.5</v>
      </c>
      <c r="J29" s="1" t="n">
        <f aca="false">IF(AND(Scores!$B29=2,OR(Scores!$C29="Tool condition",Scores!$C29="Paper condition"),ISNUMBER(Scores!F29)),(COUNTIFS(Scores!$B$5:$B$44,2,Scores!$C$5:$C$44,"Tool condition",Scores!F$5:F$44,Scores!F29)+COUNTIFS(Scores!$B$5:$B$44,2,Scores!$C$5:$C$44,"Paper condition",Scores!F$5:F$44,Scores!F29))^2-1,"")</f>
        <v>63</v>
      </c>
      <c r="K29" s="1" t="n">
        <f aca="false">IF(ISNUMBER(Scores!F29),Scores!F29^2,"")</f>
        <v>1</v>
      </c>
      <c r="L29" s="1" t="str">
        <f aca="false">IF(AND(Scores!$B29=1,Scores!$C29="Tool condition",ISNUMBER(Scores!G29)),COUNTIFS(Scores!$B$5:$B$44,1,Scores!$C$5:$C$44,"Paper condition",Scores!G$5:G$44,"&lt;"&amp;Scores!G29)+0.5*COUNTIFS(Scores!$B$5:$B$44,1,Scores!$C$5:$C$44,"Paper condition",Scores!G$5:G$44,Scores!G29),"")</f>
        <v/>
      </c>
      <c r="M29" s="1" t="str">
        <f aca="false">IF(AND(Scores!$B29=1,OR(Scores!$C29="Tool condition",Scores!$C29="Paper condition"),ISNUMBER(Scores!G29)),(COUNTIFS(Scores!$B$5:$B$44,1,Scores!$C$5:$C$44,"Tool condition",Scores!G$5:G$44,Scores!G29)+COUNTIFS(Scores!$B$5:$B$44,1,Scores!$C$5:$C$44,"Paper condition",Scores!G$5:G$44,Scores!G29))^2-1,"")</f>
        <v/>
      </c>
      <c r="N29" s="1" t="n">
        <f aca="false">IF(AND(Scores!$B29=2,Scores!$C29="Tool condition",ISNUMBER(Scores!G29)),COUNTIFS(Scores!$B$5:$B$44,2,Scores!$C$5:$C$44,"Paper condition",Scores!G$5:G$44,"&lt;"&amp;Scores!G29)+0.5*COUNTIFS(Scores!$B$5:$B$44,2,Scores!$C$5:$C$44,"Paper condition",Scores!G$5:G$44,Scores!G29),"")</f>
        <v>7</v>
      </c>
      <c r="O29" s="1" t="n">
        <f aca="false">IF(AND(Scores!$B29=2,OR(Scores!$C29="Tool condition",Scores!$C29="Paper condition"),ISNUMBER(Scores!G29)),(COUNTIFS(Scores!$B$5:$B$44,2,Scores!$C$5:$C$44,"Tool condition",Scores!G$5:G$44,Scores!G29)+COUNTIFS(Scores!$B$5:$B$44,2,Scores!$C$5:$C$44,"Paper condition",Scores!G$5:G$44,Scores!G29))^2-1,"")</f>
        <v>195</v>
      </c>
      <c r="P29" s="1" t="n">
        <f aca="false">IF(ISNUMBER(Scores!G29),Scores!G29^2,"")</f>
        <v>4</v>
      </c>
      <c r="Q29" s="1" t="str">
        <f aca="false">IF(AND(Scores!$B29=1,Scores!$C29="Tool condition",ISNUMBER(Scores!H29)),COUNTIFS(Scores!$B$5:$B$44,1,Scores!$C$5:$C$44,"Paper condition",Scores!H$5:H$44,"&lt;"&amp;Scores!H29)+0.5*COUNTIFS(Scores!$B$5:$B$44,1,Scores!$C$5:$C$44,"Paper condition",Scores!H$5:H$44,Scores!H29),"")</f>
        <v/>
      </c>
      <c r="R29" s="1" t="str">
        <f aca="false">IF(AND(Scores!$B29=1,OR(Scores!$C29="Tool condition",Scores!$C29="Paper condition"),ISNUMBER(Scores!H29)),(COUNTIFS(Scores!$B$5:$B$44,1,Scores!$C$5:$C$44,"Tool condition",Scores!H$5:H$44,Scores!H29)+COUNTIFS(Scores!$B$5:$B$44,1,Scores!$C$5:$C$44,"Paper condition",Scores!H$5:H$44,Scores!H29))^2-1,"")</f>
        <v/>
      </c>
      <c r="S29" s="1" t="n">
        <f aca="false">IF(AND(Scores!$B29=2,Scores!$C29="Tool condition",ISNUMBER(Scores!H29)),COUNTIFS(Scores!$B$5:$B$44,2,Scores!$C$5:$C$44,"Paper condition",Scores!H$5:H$44,"&lt;"&amp;Scores!H29)+0.5*COUNTIFS(Scores!$B$5:$B$44,2,Scores!$C$5:$C$44,"Paper condition",Scores!H$5:H$44,Scores!H29),"")</f>
        <v>3</v>
      </c>
      <c r="T29" s="1" t="n">
        <f aca="false">IF(AND(Scores!$B29=2,OR(Scores!$C29="Tool condition",Scores!$C29="Paper condition"),ISNUMBER(Scores!H29)),(COUNTIFS(Scores!$B$5:$B$44,2,Scores!$C$5:$C$44,"Tool condition",Scores!H$5:H$44,Scores!H29)+COUNTIFS(Scores!$B$5:$B$44,2,Scores!$C$5:$C$44,"Paper condition",Scores!H$5:H$44,Scores!H29))^2-1,"")</f>
        <v>99</v>
      </c>
      <c r="U29" s="1" t="n">
        <f aca="false">IF(ISNUMBER(Scores!H29),Scores!H29^2,"")</f>
        <v>1</v>
      </c>
      <c r="V29" s="1" t="str">
        <f aca="false">IF(AND(Scores!$B29=1,Scores!$C29="Tool condition",ISNUMBER(Scores!I29)),COUNTIFS(Scores!$B$5:$B$44,1,Scores!$C$5:$C$44,"Paper condition",Scores!I$5:I$44,"&lt;"&amp;Scores!I29)+0.5*COUNTIFS(Scores!$B$5:$B$44,1,Scores!$C$5:$C$44,"Paper condition",Scores!I$5:I$44,Scores!I29),"")</f>
        <v/>
      </c>
      <c r="W29" s="1" t="str">
        <f aca="false">IF(AND(Scores!$B29=1,OR(Scores!$C29="Tool condition",Scores!$C29="Paper condition"),ISNUMBER(Scores!I29)),(COUNTIFS(Scores!$B$5:$B$44,1,Scores!$C$5:$C$44,"Tool condition",Scores!I$5:I$44,Scores!I29)+COUNTIFS(Scores!$B$5:$B$44,1,Scores!$C$5:$C$44,"Paper condition",Scores!I$5:I$44,Scores!I29))^2-1,"")</f>
        <v/>
      </c>
      <c r="X29" s="1" t="n">
        <f aca="false">IF(AND(Scores!$B29=2,Scores!$C29="Tool condition",ISNUMBER(Scores!I29)),COUNTIFS(Scores!$B$5:$B$44,2,Scores!$C$5:$C$44,"Paper condition",Scores!I$5:I$44,"&lt;"&amp;Scores!I29)+0.5*COUNTIFS(Scores!$B$5:$B$44,2,Scores!$C$5:$C$44,"Paper condition",Scores!I$5:I$44,Scores!I29),"")</f>
        <v>8.5</v>
      </c>
      <c r="Y29" s="1" t="n">
        <f aca="false">IF(AND(Scores!$B29=2,OR(Scores!$C29="Tool condition",Scores!$C29="Paper condition"),ISNUMBER(Scores!I29)),(COUNTIFS(Scores!$B$5:$B$44,2,Scores!$C$5:$C$44,"Tool condition",Scores!I$5:I$44,Scores!I29)+COUNTIFS(Scores!$B$5:$B$44,2,Scores!$C$5:$C$44,"Paper condition",Scores!I$5:I$44,Scores!I29))^2-1,"")</f>
        <v>99</v>
      </c>
      <c r="Z29" s="1" t="n">
        <f aca="false">IF(ISNUMBER(Scores!I29),Scores!I29^2,"")</f>
        <v>4</v>
      </c>
      <c r="AA29" s="1" t="str">
        <f aca="false">IF(AND(Scores!$B29=1,Scores!$C29="Tool condition",ISNUMBER(Scores!J29)),COUNTIFS(Scores!$B$5:$B$44,1,Scores!$C$5:$C$44,"Paper condition",Scores!J$5:J$44,"&lt;"&amp;Scores!J29)+0.5*COUNTIFS(Scores!$B$5:$B$44,1,Scores!$C$5:$C$44,"Paper condition",Scores!J$5:J$44,Scores!J29),"")</f>
        <v/>
      </c>
      <c r="AB29" s="1" t="str">
        <f aca="false">IF(AND(Scores!$B29=1,OR(Scores!$C29="Tool condition",Scores!$C29="Paper condition"),ISNUMBER(Scores!J29)),(COUNTIFS(Scores!$B$5:$B$44,1,Scores!$C$5:$C$44,"Tool condition",Scores!J$5:J$44,Scores!J29)+COUNTIFS(Scores!$B$5:$B$44,1,Scores!$C$5:$C$44,"Paper condition",Scores!J$5:J$44,Scores!J29))^2-1,"")</f>
        <v/>
      </c>
      <c r="AC29" s="1" t="n">
        <f aca="false">IF(AND(Scores!$B29=2,Scores!$C29="Tool condition",ISNUMBER(Scores!J29)),COUNTIFS(Scores!$B$5:$B$44,2,Scores!$C$5:$C$44,"Paper condition",Scores!J$5:J$44,"&lt;"&amp;Scores!J29)+0.5*COUNTIFS(Scores!$B$5:$B$44,2,Scores!$C$5:$C$44,"Paper condition",Scores!J$5:J$44,Scores!J29),"")</f>
        <v>7.5</v>
      </c>
      <c r="AD29" s="1" t="n">
        <f aca="false">IF(AND(Scores!$B29=2,OR(Scores!$C29="Tool condition",Scores!$C29="Paper condition"),ISNUMBER(Scores!J29)),(COUNTIFS(Scores!$B$5:$B$44,2,Scores!$C$5:$C$44,"Tool condition",Scores!J$5:J$44,Scores!J29)+COUNTIFS(Scores!$B$5:$B$44,2,Scores!$C$5:$C$44,"Paper condition",Scores!J$5:J$44,Scores!J29))^2-1,"")</f>
        <v>120</v>
      </c>
      <c r="AE29" s="1" t="n">
        <f aca="false">IF(ISNUMBER(Scores!J29),Scores!J29^2,"")</f>
        <v>4</v>
      </c>
      <c r="AF29" s="1" t="str">
        <f aca="false">IF(AND(Scores!$B29=1,Scores!$C29="Tool condition",ISNUMBER(Scores!K29)),COUNTIFS(Scores!$B$5:$B$44,1,Scores!$C$5:$C$44,"Paper condition",Scores!K$5:K$44,"&lt;"&amp;Scores!K29)+0.5*COUNTIFS(Scores!$B$5:$B$44,1,Scores!$C$5:$C$44,"Paper condition",Scores!K$5:K$44,Scores!K29),"")</f>
        <v/>
      </c>
      <c r="AG29" s="1" t="str">
        <f aca="false">IF(AND(Scores!$B29=1,OR(Scores!$C29="Tool condition",Scores!$C29="Paper condition"),ISNUMBER(Scores!K29)),(COUNTIFS(Scores!$B$5:$B$44,1,Scores!$C$5:$C$44,"Tool condition",Scores!K$5:K$44,Scores!K29)+COUNTIFS(Scores!$B$5:$B$44,1,Scores!$C$5:$C$44,"Paper condition",Scores!K$5:K$44,Scores!K29))^2-1,"")</f>
        <v/>
      </c>
      <c r="AH29" s="1" t="n">
        <f aca="false">IF(AND(Scores!$B29=2,Scores!$C29="Tool condition",ISNUMBER(Scores!K29)),COUNTIFS(Scores!$B$5:$B$44,2,Scores!$C$5:$C$44,"Paper condition",Scores!K$5:K$44,"&lt;"&amp;Scores!K29)+0.5*COUNTIFS(Scores!$B$5:$B$44,2,Scores!$C$5:$C$44,"Paper condition",Scores!K$5:K$44,Scores!K29),"")</f>
        <v>8.5</v>
      </c>
      <c r="AI29" s="1" t="n">
        <f aca="false">IF(AND(Scores!$B29=2,OR(Scores!$C29="Tool condition",Scores!$C29="Paper condition"),ISNUMBER(Scores!K29)),(COUNTIFS(Scores!$B$5:$B$44,2,Scores!$C$5:$C$44,"Tool condition",Scores!K$5:K$44,Scores!K29)+COUNTIFS(Scores!$B$5:$B$44,2,Scores!$C$5:$C$44,"Paper condition",Scores!K$5:K$44,Scores!K29))^2-1,"")</f>
        <v>80</v>
      </c>
      <c r="AJ29" s="1" t="n">
        <f aca="false">IF(ISNUMBER(Scores!K29),Scores!K29^2,"")</f>
        <v>4</v>
      </c>
      <c r="AK29" s="1" t="str">
        <f aca="false">IF(AND(Scores!$B29=1,Scores!$C29="Tool condition",ISNUMBER(Scores!L29)),COUNTIFS(Scores!$B$5:$B$44,1,Scores!$C$5:$C$44,"Paper condition",Scores!L$5:L$44,"&lt;"&amp;Scores!L29)+0.5*COUNTIFS(Scores!$B$5:$B$44,1,Scores!$C$5:$C$44,"Paper condition",Scores!L$5:L$44,Scores!L29),"")</f>
        <v/>
      </c>
      <c r="AL29" s="1" t="str">
        <f aca="false">IF(AND(Scores!$B29=1,OR(Scores!$C29="Tool condition",Scores!$C29="Paper condition"),ISNUMBER(Scores!L29)),(COUNTIFS(Scores!$B$5:$B$44,1,Scores!$C$5:$C$44,"Tool condition",Scores!L$5:L$44,Scores!L29)+COUNTIFS(Scores!$B$5:$B$44,1,Scores!$C$5:$C$44,"Paper condition",Scores!L$5:L$44,Scores!L29))^2-1,"")</f>
        <v/>
      </c>
      <c r="AM29" s="1" t="n">
        <f aca="false">IF(AND(Scores!$B29=2,Scores!$C29="Tool condition",ISNUMBER(Scores!L29)),COUNTIFS(Scores!$B$5:$B$44,2,Scores!$C$5:$C$44,"Paper condition",Scores!L$5:L$44,"&lt;"&amp;Scores!L29)+0.5*COUNTIFS(Scores!$B$5:$B$44,2,Scores!$C$5:$C$44,"Paper condition",Scores!L$5:L$44,Scores!L29),"")</f>
        <v>2.5</v>
      </c>
      <c r="AN29" s="1" t="n">
        <f aca="false">IF(AND(Scores!$B29=2,OR(Scores!$C29="Tool condition",Scores!$C29="Paper condition"),ISNUMBER(Scores!L29)),(COUNTIFS(Scores!$B$5:$B$44,2,Scores!$C$5:$C$44,"Tool condition",Scores!L$5:L$44,Scores!L29)+COUNTIFS(Scores!$B$5:$B$44,2,Scores!$C$5:$C$44,"Paper condition",Scores!L$5:L$44,Scores!L29))^2-1,"")</f>
        <v>99</v>
      </c>
      <c r="AO29" s="1" t="n">
        <f aca="false">IF(ISNUMBER(Scores!L29),Scores!L29^2,"")</f>
        <v>1</v>
      </c>
      <c r="AP29" s="1" t="str">
        <f aca="false">IF(AND(Scores!$B29=1,Scores!$C29="Tool condition",ISNUMBER(Scores!M29)),COUNTIFS(Scores!$B$5:$B$44,1,Scores!$C$5:$C$44,"Paper condition",Scores!M$5:M$44,"&lt;"&amp;Scores!M29)+0.5*COUNTIFS(Scores!$B$5:$B$44,1,Scores!$C$5:$C$44,"Paper condition",Scores!M$5:M$44,Scores!M29),"")</f>
        <v/>
      </c>
      <c r="AQ29" s="1" t="str">
        <f aca="false">IF(AND(Scores!$B29=1,OR(Scores!$C29="Tool condition",Scores!$C29="Paper condition"),ISNUMBER(Scores!M29)),(COUNTIFS(Scores!$B$5:$B$44,1,Scores!$C$5:$C$44,"Tool condition",Scores!M$5:M$44,Scores!M29)+COUNTIFS(Scores!$B$5:$B$44,1,Scores!$C$5:$C$44,"Paper condition",Scores!M$5:M$44,Scores!M29))^2-1,"")</f>
        <v/>
      </c>
      <c r="AR29" s="1" t="n">
        <f aca="false">IF(AND(Scores!$B29=2,Scores!$C29="Tool condition",ISNUMBER(Scores!M29)),COUNTIFS(Scores!$B$5:$B$44,2,Scores!$C$5:$C$44,"Paper condition",Scores!M$5:M$44,"&lt;"&amp;Scores!M29)+0.5*COUNTIFS(Scores!$B$5:$B$44,2,Scores!$C$5:$C$44,"Paper condition",Scores!M$5:M$44,Scores!M29),"")</f>
        <v>0.5</v>
      </c>
      <c r="AS29" s="1" t="n">
        <f aca="false">IF(AND(Scores!$B29=2,OR(Scores!$C29="Tool condition",Scores!$C29="Paper condition"),ISNUMBER(Scores!M29)),(COUNTIFS(Scores!$B$5:$B$44,2,Scores!$C$5:$C$44,"Tool condition",Scores!M$5:M$44,Scores!M29)+COUNTIFS(Scores!$B$5:$B$44,2,Scores!$C$5:$C$44,"Paper condition",Scores!M$5:M$44,Scores!M29))^2-1,"")</f>
        <v>8</v>
      </c>
      <c r="AT29" s="1" t="n">
        <f aca="false">IF(ISNUMBER(Scores!M29),Scores!M29^2,"")</f>
        <v>0</v>
      </c>
      <c r="AU29" s="1" t="str">
        <f aca="false">IF(AND(Scores!$B29=1,Scores!$C29="Tool condition",ISNUMBER(Scores!N29)),COUNTIFS(Scores!$B$5:$B$44,1,Scores!$C$5:$C$44,"Paper condition",Scores!N$5:N$44,"&lt;"&amp;Scores!N29)+0.5*COUNTIFS(Scores!$B$5:$B$44,1,Scores!$C$5:$C$44,"Paper condition",Scores!N$5:N$44,Scores!N29),"")</f>
        <v/>
      </c>
      <c r="AV29" s="1" t="str">
        <f aca="false">IF(AND(Scores!$B29=1,OR(Scores!$C29="Tool condition",Scores!$C29="Paper condition"),ISNUMBER(Scores!N29)),(COUNTIFS(Scores!$B$5:$B$44,1,Scores!$C$5:$C$44,"Tool condition",Scores!N$5:N$44,Scores!N29)+COUNTIFS(Scores!$B$5:$B$44,1,Scores!$C$5:$C$44,"Paper condition",Scores!N$5:N$44,Scores!N29))^2-1,"")</f>
        <v/>
      </c>
      <c r="AW29" s="1" t="n">
        <f aca="false">IF(AND(Scores!$B29=2,Scores!$C29="Tool condition",ISNUMBER(Scores!N29)),COUNTIFS(Scores!$B$5:$B$44,2,Scores!$C$5:$C$44,"Paper condition",Scores!N$5:N$44,"&lt;"&amp;Scores!N29)+0.5*COUNTIFS(Scores!$B$5:$B$44,2,Scores!$C$5:$C$44,"Paper condition",Scores!N$5:N$44,Scores!N29),"")</f>
        <v>8.5</v>
      </c>
      <c r="AX29" s="1" t="n">
        <f aca="false">IF(AND(Scores!$B29=2,OR(Scores!$C29="Tool condition",Scores!$C29="Paper condition"),ISNUMBER(Scores!N29)),(COUNTIFS(Scores!$B$5:$B$44,2,Scores!$C$5:$C$44,"Tool condition",Scores!N$5:N$44,Scores!N29)+COUNTIFS(Scores!$B$5:$B$44,2,Scores!$C$5:$C$44,"Paper condition",Scores!N$5:N$44,Scores!N29))^2-1,"")</f>
        <v>35</v>
      </c>
      <c r="AY29" s="1" t="n">
        <f aca="false">IF(ISNUMBER(Scores!N29),Scores!N29^2,"")</f>
        <v>4</v>
      </c>
      <c r="AZ29" s="1" t="str">
        <f aca="false">IF(AND(Scores!$B29=1,Scores!$C29="Tool condition",ISNUMBER(Scores!O29)),COUNTIFS(Scores!$B$5:$B$44,1,Scores!$C$5:$C$44,"Paper condition",Scores!O$5:O$44,"&lt;"&amp;Scores!O29)+0.5*COUNTIFS(Scores!$B$5:$B$44,1,Scores!$C$5:$C$44,"Paper condition",Scores!O$5:O$44,Scores!O29),"")</f>
        <v/>
      </c>
      <c r="BA29" s="1" t="str">
        <f aca="false">IF(AND(Scores!$B29=1,OR(Scores!$C29="Tool condition",Scores!$C29="Paper condition"),ISNUMBER(Scores!O29)),(COUNTIFS(Scores!$B$5:$B$44,1,Scores!$C$5:$C$44,"Tool condition",Scores!O$5:O$44,Scores!O29)+COUNTIFS(Scores!$B$5:$B$44,1,Scores!$C$5:$C$44,"Paper condition",Scores!O$5:O$44,Scores!O29))^2-1,"")</f>
        <v/>
      </c>
      <c r="BB29" s="1" t="n">
        <f aca="false">IF(AND(Scores!$B29=2,Scores!$C29="Tool condition",ISNUMBER(Scores!O29)),COUNTIFS(Scores!$B$5:$B$44,2,Scores!$C$5:$C$44,"Paper condition",Scores!O$5:O$44,"&lt;"&amp;Scores!O29)+0.5*COUNTIFS(Scores!$B$5:$B$44,2,Scores!$C$5:$C$44,"Paper condition",Scores!O$5:O$44,Scores!O29),"")</f>
        <v>6.5</v>
      </c>
      <c r="BC29" s="1" t="n">
        <f aca="false">IF(AND(Scores!$B29=2,OR(Scores!$C29="Tool condition",Scores!$C29="Paper condition"),ISNUMBER(Scores!O29)),(COUNTIFS(Scores!$B$5:$B$44,2,Scores!$C$5:$C$44,"Tool condition",Scores!O$5:O$44,Scores!O29)+COUNTIFS(Scores!$B$5:$B$44,2,Scores!$C$5:$C$44,"Paper condition",Scores!O$5:O$44,Scores!O29))^2-1,"")</f>
        <v>120</v>
      </c>
      <c r="BD29" s="1" t="n">
        <f aca="false">IF(ISNUMBER(Scores!O29),Scores!O29^2,"")</f>
        <v>1</v>
      </c>
      <c r="BE29" s="1" t="str">
        <f aca="false">IF(AND(Scores!$B29=1,Scores!$C29="Tool condition",ISNUMBER(Scores!P29)),COUNTIFS(Scores!$B$5:$B$44,1,Scores!$C$5:$C$44,"Paper condition",Scores!P$5:P$44,"&lt;"&amp;Scores!P29)+0.5*COUNTIFS(Scores!$B$5:$B$44,1,Scores!$C$5:$C$44,"Paper condition",Scores!P$5:P$44,Scores!P29),"")</f>
        <v/>
      </c>
      <c r="BF29" s="1" t="str">
        <f aca="false">IF(AND(Scores!$B29=1,OR(Scores!$C29="Tool condition",Scores!$C29="Paper condition"),ISNUMBER(Scores!P29)),(COUNTIFS(Scores!$B$5:$B$44,1,Scores!$C$5:$C$44,"Tool condition",Scores!P$5:P$44,Scores!P29)+COUNTIFS(Scores!$B$5:$B$44,1,Scores!$C$5:$C$44,"Paper condition",Scores!P$5:P$44,Scores!P29))^2-1,"")</f>
        <v/>
      </c>
      <c r="BG29" s="1" t="n">
        <f aca="false">IF(AND(Scores!$B29=2,Scores!$C29="Tool condition",ISNUMBER(Scores!P29)),COUNTIFS(Scores!$B$5:$B$44,2,Scores!$C$5:$C$44,"Paper condition",Scores!P$5:P$44,"&lt;"&amp;Scores!P29)+0.5*COUNTIFS(Scores!$B$5:$B$44,2,Scores!$C$5:$C$44,"Paper condition",Scores!P$5:P$44,Scores!P29),"")</f>
        <v>7.5</v>
      </c>
      <c r="BH29" s="1" t="n">
        <f aca="false">IF(AND(Scores!$B29=2,OR(Scores!$C29="Tool condition",Scores!$C29="Paper condition"),ISNUMBER(Scores!P29)),(COUNTIFS(Scores!$B$5:$B$44,2,Scores!$C$5:$C$44,"Tool condition",Scores!P$5:P$44,Scores!P29)+COUNTIFS(Scores!$B$5:$B$44,2,Scores!$C$5:$C$44,"Paper condition",Scores!P$5:P$44,Scores!P29))^2-1,"")</f>
        <v>143</v>
      </c>
      <c r="BI29" s="1" t="n">
        <f aca="false">IF(ISNUMBER(Scores!P29),Scores!P29^2,"")</f>
        <v>1</v>
      </c>
      <c r="BJ29" s="1" t="str">
        <f aca="false">IF(AND(R_Scores!$B29=1,R_Scores!$C29="Tool condition",ISNUMBER(R_Scores!E29)),COUNTIFS(R_Scores!$B$5:$B$44,1,R_Scores!$C$5:$C$44,"Paper condition",R_Scores!E$5:E$44,"&lt;"&amp;R_Scores!E29)+0.5*COUNTIFS(R_Scores!$B$5:$B$44,1,R_Scores!$C$5:$C$44,"Paper condition",R_Scores!E$5:E$44,R_Scores!E29),"")</f>
        <v/>
      </c>
      <c r="BK29" s="1" t="str">
        <f aca="false">IF(AND(R_Scores!$B29=1,OR(R_Scores!$C29="Tool condition",R_Scores!$C29="Paper condition"),ISNUMBER(R_Scores!E29)),(COUNTIFS(R_Scores!$B$5:$B$44,1,R_Scores!$C$5:$C$44,"Tool condition",R_Scores!E$5:E$44,R_Scores!E29)+COUNTIFS(R_Scores!$B$5:$B$44,1,R_Scores!$C$5:$C$44,"Paper condition",R_Scores!E$5:E$44,R_Scores!E29))^2-1,"")</f>
        <v/>
      </c>
      <c r="BL29" s="1" t="n">
        <f aca="false">IF(AND(R_Scores!$B29=2,R_Scores!$C29="Tool condition",ISNUMBER(R_Scores!E29)),COUNTIFS(R_Scores!$B$5:$B$44,2,R_Scores!$C$5:$C$44,"Paper condition",R_Scores!E$5:E$44,"&lt;"&amp;R_Scores!E29)+0.5*COUNTIFS(R_Scores!$B$5:$B$44,2,R_Scores!$C$5:$C$44,"Paper condition",R_Scores!E$5:E$44,R_Scores!E29),"")</f>
        <v>6.5</v>
      </c>
      <c r="BM29" s="1" t="n">
        <f aca="false">IF(AND(R_Scores!$B29=2,OR(R_Scores!$C29="Tool condition",R_Scores!$C29="Paper condition"),ISNUMBER(R_Scores!E29)),(COUNTIFS(R_Scores!$B$5:$B$44,2,R_Scores!$C$5:$C$44,"Tool condition",R_Scores!E$5:E$44,R_Scores!E29)+COUNTIFS(R_Scores!$B$5:$B$44,2,R_Scores!$C$5:$C$44,"Paper condition",R_Scores!E$5:E$44,R_Scores!E29))^2-1,"")</f>
        <v>224</v>
      </c>
      <c r="BN29" s="1" t="n">
        <f aca="false">IF(ISNUMBER(R_Scores!E29),R_Scores!E29^2,"")</f>
        <v>1</v>
      </c>
      <c r="BO29" s="1" t="str">
        <f aca="false">IF(AND(R_Scores!$B29=1,R_Scores!$C29="Tool condition",ISNUMBER(R_Scores!F29)),COUNTIFS(R_Scores!$B$5:$B$44,1,R_Scores!$C$5:$C$44,"Paper condition",R_Scores!F$5:F$44,"&lt;"&amp;R_Scores!F29)+0.5*COUNTIFS(R_Scores!$B$5:$B$44,1,R_Scores!$C$5:$C$44,"Paper condition",R_Scores!F$5:F$44,R_Scores!F29),"")</f>
        <v/>
      </c>
      <c r="BP29" s="1" t="str">
        <f aca="false">IF(AND(R_Scores!$B29=1,OR(R_Scores!$C29="Tool condition",R_Scores!$C29="Paper condition"),ISNUMBER(R_Scores!F29)),(COUNTIFS(R_Scores!$B$5:$B$44,1,R_Scores!$C$5:$C$44,"Tool condition",R_Scores!F$5:F$44,R_Scores!F29)+COUNTIFS(R_Scores!$B$5:$B$44,1,R_Scores!$C$5:$C$44,"Paper condition",R_Scores!F$5:F$44,R_Scores!F29))^2-1,"")</f>
        <v/>
      </c>
      <c r="BQ29" s="1" t="n">
        <f aca="false">IF(AND(R_Scores!$B29=2,R_Scores!$C29="Tool condition",ISNUMBER(R_Scores!F29)),COUNTIFS(R_Scores!$B$5:$B$44,2,R_Scores!$C$5:$C$44,"Paper condition",R_Scores!F$5:F$44,"&lt;"&amp;R_Scores!F29)+0.5*COUNTIFS(R_Scores!$B$5:$B$44,2,R_Scores!$C$5:$C$44,"Paper condition",R_Scores!F$5:F$44,R_Scores!F29),"")</f>
        <v>1.5</v>
      </c>
      <c r="BR29" s="1" t="n">
        <f aca="false">IF(AND(R_Scores!$B29=2,OR(R_Scores!$C29="Tool condition",R_Scores!$C29="Paper condition"),ISNUMBER(R_Scores!F29)),(COUNTIFS(R_Scores!$B$5:$B$44,2,R_Scores!$C$5:$C$44,"Tool condition",R_Scores!F$5:F$44,R_Scores!F29)+COUNTIFS(R_Scores!$B$5:$B$44,2,R_Scores!$C$5:$C$44,"Paper condition",R_Scores!F$5:F$44,R_Scores!F29))^2-1,"")</f>
        <v>35</v>
      </c>
      <c r="BS29" s="1" t="n">
        <f aca="false">IF(ISNUMBER(R_Scores!F29),R_Scores!F29^2,"")</f>
        <v>0</v>
      </c>
      <c r="BT29" s="1" t="str">
        <f aca="false">IF(AND(R_Scores!$B29=1,R_Scores!$C29="Tool condition",ISNUMBER(R_Scores!G29)),COUNTIFS(R_Scores!$B$5:$B$44,1,R_Scores!$C$5:$C$44,"Paper condition",R_Scores!G$5:G$44,"&lt;"&amp;R_Scores!G29)+0.5*COUNTIFS(R_Scores!$B$5:$B$44,1,R_Scores!$C$5:$C$44,"Paper condition",R_Scores!G$5:G$44,R_Scores!G29),"")</f>
        <v/>
      </c>
      <c r="BU29" s="1" t="str">
        <f aca="false">IF(AND(R_Scores!$B29=1,OR(R_Scores!$C29="Tool condition",R_Scores!$C29="Paper condition"),ISNUMBER(R_Scores!G29)),(COUNTIFS(R_Scores!$B$5:$B$44,1,R_Scores!$C$5:$C$44,"Tool condition",R_Scores!G$5:G$44,R_Scores!G29)+COUNTIFS(R_Scores!$B$5:$B$44,1,R_Scores!$C$5:$C$44,"Paper condition",R_Scores!G$5:G$44,R_Scores!G29))^2-1,"")</f>
        <v/>
      </c>
      <c r="BV29" s="1" t="str">
        <f aca="false">IF(AND(R_Scores!$B29=2,R_Scores!$C29="Tool condition",ISNUMBER(R_Scores!G29)),COUNTIFS(R_Scores!$B$5:$B$44,2,R_Scores!$C$5:$C$44,"Paper condition",R_Scores!G$5:G$44,"&lt;"&amp;R_Scores!G29)+0.5*COUNTIFS(R_Scores!$B$5:$B$44,2,R_Scores!$C$5:$C$44,"Paper condition",R_Scores!G$5:G$44,R_Scores!G29),"")</f>
        <v/>
      </c>
      <c r="BW29" s="1" t="str">
        <f aca="false">IF(AND(R_Scores!$B29=2,OR(R_Scores!$C29="Tool condition",R_Scores!$C29="Paper condition"),ISNUMBER(R_Scores!G29)),(COUNTIFS(R_Scores!$B$5:$B$44,2,R_Scores!$C$5:$C$44,"Tool condition",R_Scores!G$5:G$44,R_Scores!G29)+COUNTIFS(R_Scores!$B$5:$B$44,2,R_Scores!$C$5:$C$44,"Paper condition",R_Scores!G$5:G$44,R_Scores!G29))^2-1,"")</f>
        <v/>
      </c>
      <c r="BX29" s="1" t="str">
        <f aca="false">IF(ISNUMBER(R_Scores!G29),R_Scores!G29^2,"")</f>
        <v/>
      </c>
      <c r="BY29" s="1" t="str">
        <f aca="false">IF(AND(R_Scores!$B29=1,R_Scores!$C29="Tool condition",ISNUMBER(R_Scores!H29)),COUNTIFS(R_Scores!$B$5:$B$44,1,R_Scores!$C$5:$C$44,"Paper condition",R_Scores!H$5:H$44,"&lt;"&amp;R_Scores!H29)+0.5*COUNTIFS(R_Scores!$B$5:$B$44,1,R_Scores!$C$5:$C$44,"Paper condition",R_Scores!H$5:H$44,R_Scores!H29),"")</f>
        <v/>
      </c>
      <c r="BZ29" s="1" t="str">
        <f aca="false">IF(AND(R_Scores!$B29=1,OR(R_Scores!$C29="Tool condition",R_Scores!$C29="Paper condition"),ISNUMBER(R_Scores!H29)),(COUNTIFS(R_Scores!$B$5:$B$44,1,R_Scores!$C$5:$C$44,"Tool condition",R_Scores!H$5:H$44,R_Scores!H29)+COUNTIFS(R_Scores!$B$5:$B$44,1,R_Scores!$C$5:$C$44,"Paper condition",R_Scores!H$5:H$44,R_Scores!H29))^2-1,"")</f>
        <v/>
      </c>
      <c r="CA29" s="1" t="str">
        <f aca="false">IF(AND(R_Scores!$B29=2,R_Scores!$C29="Tool condition",ISNUMBER(R_Scores!H29)),COUNTIFS(R_Scores!$B$5:$B$44,2,R_Scores!$C$5:$C$44,"Paper condition",R_Scores!H$5:H$44,"&lt;"&amp;R_Scores!H29)+0.5*COUNTIFS(R_Scores!$B$5:$B$44,2,R_Scores!$C$5:$C$44,"Paper condition",R_Scores!H$5:H$44,R_Scores!H29),"")</f>
        <v/>
      </c>
      <c r="CB29" s="1" t="str">
        <f aca="false">IF(AND(R_Scores!$B29=2,OR(R_Scores!$C29="Tool condition",R_Scores!$C29="Paper condition"),ISNUMBER(R_Scores!H29)),(COUNTIFS(R_Scores!$B$5:$B$44,2,R_Scores!$C$5:$C$44,"Tool condition",R_Scores!H$5:H$44,R_Scores!H29)+COUNTIFS(R_Scores!$B$5:$B$44,2,R_Scores!$C$5:$C$44,"Paper condition",R_Scores!H$5:H$44,R_Scores!H29))^2-1,"")</f>
        <v/>
      </c>
      <c r="CC29" s="1" t="str">
        <f aca="false">IF(ISNUMBER(R_Scores!H29),R_Scores!H29^2,"")</f>
        <v/>
      </c>
      <c r="CD29" s="1" t="str">
        <f aca="false">IF(AND(R_Scores!$B29=1,R_Scores!$C29="Tool condition",ISNUMBER(R_Scores!I29)),COUNTIFS(R_Scores!$B$5:$B$44,1,R_Scores!$C$5:$C$44,"Paper condition",R_Scores!I$5:I$44,"&lt;"&amp;R_Scores!I29)+0.5*COUNTIFS(R_Scores!$B$5:$B$44,1,R_Scores!$C$5:$C$44,"Paper condition",R_Scores!I$5:I$44,R_Scores!I29),"")</f>
        <v/>
      </c>
      <c r="CE29" s="1" t="str">
        <f aca="false">IF(AND(R_Scores!$B29=1,OR(R_Scores!$C29="Tool condition",R_Scores!$C29="Paper condition"),ISNUMBER(R_Scores!I29)),(COUNTIFS(R_Scores!$B$5:$B$44,1,R_Scores!$C$5:$C$44,"Tool condition",R_Scores!I$5:I$44,R_Scores!I29)+COUNTIFS(R_Scores!$B$5:$B$44,1,R_Scores!$C$5:$C$44,"Paper condition",R_Scores!I$5:I$44,R_Scores!I29))^2-1,"")</f>
        <v/>
      </c>
      <c r="CF29" s="1" t="n">
        <f aca="false">IF(AND(R_Scores!$B29=2,R_Scores!$C29="Tool condition",ISNUMBER(R_Scores!I29)),COUNTIFS(R_Scores!$B$5:$B$44,2,R_Scores!$C$5:$C$44,"Paper condition",R_Scores!I$5:I$44,"&lt;"&amp;R_Scores!I29)+0.5*COUNTIFS(R_Scores!$B$5:$B$44,2,R_Scores!$C$5:$C$44,"Paper condition",R_Scores!I$5:I$44,R_Scores!I29),"")</f>
        <v>6</v>
      </c>
      <c r="CG29" s="1" t="n">
        <f aca="false">IF(AND(R_Scores!$B29=2,OR(R_Scores!$C29="Tool condition",R_Scores!$C29="Paper condition"),ISNUMBER(R_Scores!I29)),(COUNTIFS(R_Scores!$B$5:$B$44,2,R_Scores!$C$5:$C$44,"Tool condition",R_Scores!I$5:I$44,R_Scores!I29)+COUNTIFS(R_Scores!$B$5:$B$44,2,R_Scores!$C$5:$C$44,"Paper condition",R_Scores!I$5:I$44,R_Scores!I29))^2-1,"")</f>
        <v>255</v>
      </c>
      <c r="CH29" s="1" t="n">
        <f aca="false">IF(ISNUMBER(R_Scores!I29),R_Scores!I29^2,"")</f>
        <v>1</v>
      </c>
      <c r="CI29" s="1" t="str">
        <f aca="false">IF(AND(R_Scores!$B29=1,R_Scores!$C29="Tool condition",ISNUMBER(R_Scores!J29)),COUNTIFS(R_Scores!$B$5:$B$44,1,R_Scores!$C$5:$C$44,"Paper condition",R_Scores!J$5:J$44,"&lt;"&amp;R_Scores!J29)+0.5*COUNTIFS(R_Scores!$B$5:$B$44,1,R_Scores!$C$5:$C$44,"Paper condition",R_Scores!J$5:J$44,R_Scores!J29),"")</f>
        <v/>
      </c>
      <c r="CJ29" s="1" t="str">
        <f aca="false">IF(AND(R_Scores!$B29=1,OR(R_Scores!$C29="Tool condition",R_Scores!$C29="Paper condition"),ISNUMBER(R_Scores!J29)),(COUNTIFS(R_Scores!$B$5:$B$44,1,R_Scores!$C$5:$C$44,"Tool condition",R_Scores!J$5:J$44,R_Scores!J29)+COUNTIFS(R_Scores!$B$5:$B$44,1,R_Scores!$C$5:$C$44,"Paper condition",R_Scores!J$5:J$44,R_Scores!J29))^2-1,"")</f>
        <v/>
      </c>
      <c r="CK29" s="1" t="n">
        <f aca="false">IF(AND(R_Scores!$B29=2,R_Scores!$C29="Tool condition",ISNUMBER(R_Scores!J29)),COUNTIFS(R_Scores!$B$5:$B$44,2,R_Scores!$C$5:$C$44,"Paper condition",R_Scores!J$5:J$44,"&lt;"&amp;R_Scores!J29)+0.5*COUNTIFS(R_Scores!$B$5:$B$44,2,R_Scores!$C$5:$C$44,"Paper condition",R_Scores!J$5:J$44,R_Scores!J29),"")</f>
        <v>7</v>
      </c>
      <c r="CL29" s="1" t="n">
        <f aca="false">IF(AND(R_Scores!$B29=2,OR(R_Scores!$C29="Tool condition",R_Scores!$C29="Paper condition"),ISNUMBER(R_Scores!J29)),(COUNTIFS(R_Scores!$B$5:$B$44,2,R_Scores!$C$5:$C$44,"Tool condition",R_Scores!J$5:J$44,R_Scores!J29)+COUNTIFS(R_Scores!$B$5:$B$44,2,R_Scores!$C$5:$C$44,"Paper condition",R_Scores!J$5:J$44,R_Scores!J29))^2-1,"")</f>
        <v>195</v>
      </c>
      <c r="CM29" s="1" t="n">
        <f aca="false">IF(ISNUMBER(R_Scores!J29),R_Scores!J29^2,"")</f>
        <v>1</v>
      </c>
      <c r="CN29" s="1" t="str">
        <f aca="false">IF(AND(R_Scores!$B29=1,R_Scores!$C29="Tool condition",ISNUMBER(R_Scores!K29)),COUNTIFS(R_Scores!$B$5:$B$44,1,R_Scores!$C$5:$C$44,"Paper condition",R_Scores!K$5:K$44,"&lt;"&amp;R_Scores!K29)+0.5*COUNTIFS(R_Scores!$B$5:$B$44,1,R_Scores!$C$5:$C$44,"Paper condition",R_Scores!K$5:K$44,R_Scores!K29),"")</f>
        <v/>
      </c>
      <c r="CO29" s="1" t="str">
        <f aca="false">IF(AND(R_Scores!$B29=1,OR(R_Scores!$C29="Tool condition",R_Scores!$C29="Paper condition"),ISNUMBER(R_Scores!K29)),(COUNTIFS(R_Scores!$B$5:$B$44,1,R_Scores!$C$5:$C$44,"Tool condition",R_Scores!K$5:K$44,R_Scores!K29)+COUNTIFS(R_Scores!$B$5:$B$44,1,R_Scores!$C$5:$C$44,"Paper condition",R_Scores!K$5:K$44,R_Scores!K29))^2-1,"")</f>
        <v/>
      </c>
      <c r="CP29" s="1" t="str">
        <f aca="false">IF(AND(R_Scores!$B29=2,R_Scores!$C29="Tool condition",ISNUMBER(R_Scores!K29)),COUNTIFS(R_Scores!$B$5:$B$44,2,R_Scores!$C$5:$C$44,"Paper condition",R_Scores!K$5:K$44,"&lt;"&amp;R_Scores!K29)+0.5*COUNTIFS(R_Scores!$B$5:$B$44,2,R_Scores!$C$5:$C$44,"Paper condition",R_Scores!K$5:K$44,R_Scores!K29),"")</f>
        <v/>
      </c>
      <c r="CQ29" s="1" t="str">
        <f aca="false">IF(AND(R_Scores!$B29=2,OR(R_Scores!$C29="Tool condition",R_Scores!$C29="Paper condition"),ISNUMBER(R_Scores!K29)),(COUNTIFS(R_Scores!$B$5:$B$44,2,R_Scores!$C$5:$C$44,"Tool condition",R_Scores!K$5:K$44,R_Scores!K29)+COUNTIFS(R_Scores!$B$5:$B$44,2,R_Scores!$C$5:$C$44,"Paper condition",R_Scores!K$5:K$44,R_Scores!K29))^2-1,"")</f>
        <v/>
      </c>
      <c r="CR29" s="1" t="str">
        <f aca="false">IF(ISNUMBER(R_Scores!K29),R_Scores!K29^2,"")</f>
        <v/>
      </c>
      <c r="CS29" s="1" t="str">
        <f aca="false">IF(AND(R_Scores!$B29=1,R_Scores!$C29="Tool condition",ISNUMBER(R_Scores!L29)),COUNTIFS(R_Scores!$B$5:$B$44,1,R_Scores!$C$5:$C$44,"Paper condition",R_Scores!L$5:L$44,"&lt;"&amp;R_Scores!L29)+0.5*COUNTIFS(R_Scores!$B$5:$B$44,1,R_Scores!$C$5:$C$44,"Paper condition",R_Scores!L$5:L$44,R_Scores!L29),"")</f>
        <v/>
      </c>
      <c r="CT29" s="1" t="str">
        <f aca="false">IF(AND(R_Scores!$B29=1,OR(R_Scores!$C29="Tool condition",R_Scores!$C29="Paper condition"),ISNUMBER(R_Scores!L29)),(COUNTIFS(R_Scores!$B$5:$B$44,1,R_Scores!$C$5:$C$44,"Tool condition",R_Scores!L$5:L$44,R_Scores!L29)+COUNTIFS(R_Scores!$B$5:$B$44,1,R_Scores!$C$5:$C$44,"Paper condition",R_Scores!L$5:L$44,R_Scores!L29))^2-1,"")</f>
        <v/>
      </c>
      <c r="CU29" s="1" t="str">
        <f aca="false">IF(AND(R_Scores!$B29=2,R_Scores!$C29="Tool condition",ISNUMBER(R_Scores!L29)),COUNTIFS(R_Scores!$B$5:$B$44,2,R_Scores!$C$5:$C$44,"Paper condition",R_Scores!L$5:L$44,"&lt;"&amp;R_Scores!L29)+0.5*COUNTIFS(R_Scores!$B$5:$B$44,2,R_Scores!$C$5:$C$44,"Paper condition",R_Scores!L$5:L$44,R_Scores!L29),"")</f>
        <v/>
      </c>
      <c r="CV29" s="1" t="str">
        <f aca="false">IF(AND(R_Scores!$B29=2,OR(R_Scores!$C29="Tool condition",R_Scores!$C29="Paper condition"),ISNUMBER(R_Scores!L29)),(COUNTIFS(R_Scores!$B$5:$B$44,2,R_Scores!$C$5:$C$44,"Tool condition",R_Scores!L$5:L$44,R_Scores!L29)+COUNTIFS(R_Scores!$B$5:$B$44,2,R_Scores!$C$5:$C$44,"Paper condition",R_Scores!L$5:L$44,R_Scores!L29))^2-1,"")</f>
        <v/>
      </c>
      <c r="CW29" s="1" t="str">
        <f aca="false">IF(ISNUMBER(R_Scores!L29),R_Scores!L29^2,"")</f>
        <v/>
      </c>
      <c r="CX29" s="1" t="str">
        <f aca="false">IF(AND(R_Scores!$B29=1,R_Scores!$C29="Tool condition",ISNUMBER(R_Scores!M29)),COUNTIFS(R_Scores!$B$5:$B$44,1,R_Scores!$C$5:$C$44,"Paper condition",R_Scores!M$5:M$44,"&lt;"&amp;R_Scores!M29)+0.5*COUNTIFS(R_Scores!$B$5:$B$44,1,R_Scores!$C$5:$C$44,"Paper condition",R_Scores!M$5:M$44,R_Scores!M29),"")</f>
        <v/>
      </c>
      <c r="CY29" s="1" t="str">
        <f aca="false">IF(AND(R_Scores!$B29=1,OR(R_Scores!$C29="Tool condition",R_Scores!$C29="Paper condition"),ISNUMBER(R_Scores!M29)),(COUNTIFS(R_Scores!$B$5:$B$44,1,R_Scores!$C$5:$C$44,"Tool condition",R_Scores!M$5:M$44,R_Scores!M29)+COUNTIFS(R_Scores!$B$5:$B$44,1,R_Scores!$C$5:$C$44,"Paper condition",R_Scores!M$5:M$44,R_Scores!M29))^2-1,"")</f>
        <v/>
      </c>
      <c r="CZ29" s="1" t="str">
        <f aca="false">IF(AND(R_Scores!$B29=2,R_Scores!$C29="Tool condition",ISNUMBER(R_Scores!M29)),COUNTIFS(R_Scores!$B$5:$B$44,2,R_Scores!$C$5:$C$44,"Paper condition",R_Scores!M$5:M$44,"&lt;"&amp;R_Scores!M29)+0.5*COUNTIFS(R_Scores!$B$5:$B$44,2,R_Scores!$C$5:$C$44,"Paper condition",R_Scores!M$5:M$44,R_Scores!M29),"")</f>
        <v/>
      </c>
      <c r="DA29" s="1" t="str">
        <f aca="false">IF(AND(R_Scores!$B29=2,OR(R_Scores!$C29="Tool condition",R_Scores!$C29="Paper condition"),ISNUMBER(R_Scores!M29)),(COUNTIFS(R_Scores!$B$5:$B$44,2,R_Scores!$C$5:$C$44,"Tool condition",R_Scores!M$5:M$44,R_Scores!M29)+COUNTIFS(R_Scores!$B$5:$B$44,2,R_Scores!$C$5:$C$44,"Paper condition",R_Scores!M$5:M$44,R_Scores!M29))^2-1,"")</f>
        <v/>
      </c>
      <c r="DB29" s="1" t="str">
        <f aca="false">IF(ISNUMBER(R_Scores!M29),R_Scores!M29^2,"")</f>
        <v/>
      </c>
      <c r="DC29" s="1" t="str">
        <f aca="false">IF(AND(R_Scores!$B29=1,R_Scores!$C29="Tool condition",ISNUMBER(R_Scores!N29)),COUNTIFS(R_Scores!$B$5:$B$44,1,R_Scores!$C$5:$C$44,"Paper condition",R_Scores!N$5:N$44,"&lt;"&amp;R_Scores!N29)+0.5*COUNTIFS(R_Scores!$B$5:$B$44,1,R_Scores!$C$5:$C$44,"Paper condition",R_Scores!N$5:N$44,R_Scores!N29),"")</f>
        <v/>
      </c>
      <c r="DD29" s="1" t="str">
        <f aca="false">IF(AND(R_Scores!$B29=1,OR(R_Scores!$C29="Tool condition",R_Scores!$C29="Paper condition"),ISNUMBER(R_Scores!N29)),(COUNTIFS(R_Scores!$B$5:$B$44,1,R_Scores!$C$5:$C$44,"Tool condition",R_Scores!N$5:N$44,R_Scores!N29)+COUNTIFS(R_Scores!$B$5:$B$44,1,R_Scores!$C$5:$C$44,"Paper condition",R_Scores!N$5:N$44,R_Scores!N29))^2-1,"")</f>
        <v/>
      </c>
      <c r="DE29" s="1" t="n">
        <f aca="false">IF(AND(R_Scores!$B29=2,R_Scores!$C29="Tool condition",ISNUMBER(R_Scores!N29)),COUNTIFS(R_Scores!$B$5:$B$44,2,R_Scores!$C$5:$C$44,"Paper condition",R_Scores!N$5:N$44,"&lt;"&amp;R_Scores!N29)+0.5*COUNTIFS(R_Scores!$B$5:$B$44,2,R_Scores!$C$5:$C$44,"Paper condition",R_Scores!N$5:N$44,R_Scores!N29),"")</f>
        <v>8</v>
      </c>
      <c r="DF29" s="1" t="n">
        <f aca="false">IF(AND(R_Scores!$B29=2,OR(R_Scores!$C29="Tool condition",R_Scores!$C29="Paper condition"),ISNUMBER(R_Scores!N29)),(COUNTIFS(R_Scores!$B$5:$B$44,2,R_Scores!$C$5:$C$44,"Tool condition",R_Scores!N$5:N$44,R_Scores!N29)+COUNTIFS(R_Scores!$B$5:$B$44,2,R_Scores!$C$5:$C$44,"Paper condition",R_Scores!N$5:N$44,R_Scores!N29))^2-1,"")</f>
        <v>143</v>
      </c>
      <c r="DG29" s="1" t="n">
        <f aca="false">IF(ISNUMBER(R_Scores!N29),R_Scores!N29^2,"")</f>
        <v>1</v>
      </c>
      <c r="DH29" s="1" t="str">
        <f aca="false">IF(AND(R_Scores!$B29=1,R_Scores!$C29="Tool condition",ISNUMBER(R_Scores!O29)),COUNTIFS(R_Scores!$B$5:$B$44,1,R_Scores!$C$5:$C$44,"Paper condition",R_Scores!O$5:O$44,"&lt;"&amp;R_Scores!O29)+0.5*COUNTIFS(R_Scores!$B$5:$B$44,1,R_Scores!$C$5:$C$44,"Paper condition",R_Scores!O$5:O$44,R_Scores!O29),"")</f>
        <v/>
      </c>
      <c r="DI29" s="1" t="str">
        <f aca="false">IF(AND(R_Scores!$B29=1,OR(R_Scores!$C29="Tool condition",R_Scores!$C29="Paper condition"),ISNUMBER(R_Scores!O29)),(COUNTIFS(R_Scores!$B$5:$B$44,1,R_Scores!$C$5:$C$44,"Tool condition",R_Scores!O$5:O$44,R_Scores!O29)+COUNTIFS(R_Scores!$B$5:$B$44,1,R_Scores!$C$5:$C$44,"Paper condition",R_Scores!O$5:O$44,R_Scores!O29))^2-1,"")</f>
        <v/>
      </c>
      <c r="DJ29" s="1" t="n">
        <f aca="false">IF(AND(R_Scores!$B29=2,R_Scores!$C29="Tool condition",ISNUMBER(R_Scores!O29)),COUNTIFS(R_Scores!$B$5:$B$44,2,R_Scores!$C$5:$C$44,"Paper condition",R_Scores!O$5:O$44,"&lt;"&amp;R_Scores!O29)+0.5*COUNTIFS(R_Scores!$B$5:$B$44,2,R_Scores!$C$5:$C$44,"Paper condition",R_Scores!O$5:O$44,R_Scores!O29),"")</f>
        <v>2</v>
      </c>
      <c r="DK29" s="1" t="n">
        <f aca="false">IF(AND(R_Scores!$B29=2,OR(R_Scores!$C29="Tool condition",R_Scores!$C29="Paper condition"),ISNUMBER(R_Scores!O29)),(COUNTIFS(R_Scores!$B$5:$B$44,2,R_Scores!$C$5:$C$44,"Tool condition",R_Scores!O$5:O$44,R_Scores!O29)+COUNTIFS(R_Scores!$B$5:$B$44,2,R_Scores!$C$5:$C$44,"Paper condition",R_Scores!O$5:O$44,R_Scores!O29))^2-1,"")</f>
        <v>48</v>
      </c>
      <c r="DL29" s="1" t="n">
        <f aca="false">IF(ISNUMBER(R_Scores!O29),R_Scores!O29^2,"")</f>
        <v>0</v>
      </c>
      <c r="DM29" s="1" t="str">
        <f aca="false">IF(AND(R_Scores!$B29=1,R_Scores!$C29="Tool condition",ISNUMBER(R_Scores!P29)),COUNTIFS(R_Scores!$B$5:$B$44,1,R_Scores!$C$5:$C$44,"Paper condition",R_Scores!P$5:P$44,"&lt;"&amp;R_Scores!P29)+0.5*COUNTIFS(R_Scores!$B$5:$B$44,1,R_Scores!$C$5:$C$44,"Paper condition",R_Scores!P$5:P$44,R_Scores!P29),"")</f>
        <v/>
      </c>
      <c r="DN29" s="1" t="str">
        <f aca="false">IF(AND(R_Scores!$B29=1,OR(R_Scores!$C29="Tool condition",R_Scores!$C29="Paper condition"),ISNUMBER(R_Scores!P29)),(COUNTIFS(R_Scores!$B$5:$B$44,1,R_Scores!$C$5:$C$44,"Tool condition",R_Scores!P$5:P$44,R_Scores!P29)+COUNTIFS(R_Scores!$B$5:$B$44,1,R_Scores!$C$5:$C$44,"Paper condition",R_Scores!P$5:P$44,R_Scores!P29))^2-1,"")</f>
        <v/>
      </c>
      <c r="DO29" s="1" t="n">
        <f aca="false">IF(AND(R_Scores!$B29=2,R_Scores!$C29="Tool condition",ISNUMBER(R_Scores!P29)),COUNTIFS(R_Scores!$B$5:$B$44,2,R_Scores!$C$5:$C$44,"Paper condition",R_Scores!P$5:P$44,"&lt;"&amp;R_Scores!P29)+0.5*COUNTIFS(R_Scores!$B$5:$B$44,2,R_Scores!$C$5:$C$44,"Paper condition",R_Scores!P$5:P$44,R_Scores!P29),"")</f>
        <v>9.5</v>
      </c>
      <c r="DP29" s="1" t="n">
        <f aca="false">IF(AND(R_Scores!$B29=2,OR(R_Scores!$C29="Tool condition",R_Scores!$C29="Paper condition"),ISNUMBER(R_Scores!P29)),(COUNTIFS(R_Scores!$B$5:$B$44,2,R_Scores!$C$5:$C$44,"Tool condition",R_Scores!P$5:P$44,R_Scores!P29)+COUNTIFS(R_Scores!$B$5:$B$44,2,R_Scores!$C$5:$C$44,"Paper condition",R_Scores!P$5:P$44,R_Scores!P29))^2-1,"")</f>
        <v>48</v>
      </c>
      <c r="DQ29" s="1" t="n">
        <f aca="false">IF(ISNUMBER(R_Scores!P29),R_Scores!P29^2,"")</f>
        <v>1</v>
      </c>
      <c r="DR29" s="1" t="str">
        <f aca="false">IF(AND(Scores!$B29=1,Scores!$C29="Tool condition",ISNUMBER(Scores!Q29)),COUNTIFS(Scores!$B$5:$B$44,1,Scores!$C$5:$C$44,"Paper condition",Scores!Q$5:Q$44,"&lt;"&amp;Scores!Q29)+0.5*COUNTIFS(Scores!$B$5:$B$44,1,Scores!$C$5:$C$44,"Paper condition",Scores!Q$5:Q$44,Scores!Q29),"")</f>
        <v/>
      </c>
      <c r="DS29" s="1" t="str">
        <f aca="false">IF(AND(Scores!$B29=1,OR(Scores!$C29="Tool condition",Scores!$C29="Paper condition"),ISNUMBER(Scores!Q29)),(COUNTIFS(Scores!$B$5:$B$44,1,Scores!$C$5:$C$44,"Tool condition",Scores!Q$5:Q$44,Scores!Q29)+COUNTIFS(Scores!$B$5:$B$44,1,Scores!$C$5:$C$44,"Paper condition",Scores!Q$5:Q$44,Scores!Q29))^2-1,"")</f>
        <v/>
      </c>
      <c r="DT29" s="1" t="n">
        <f aca="false">IF(AND(Scores!$B29=2,Scores!$C29="Tool condition",ISNUMBER(Scores!Q29)),COUNTIFS(Scores!$B$5:$B$44,2,Scores!$C$5:$C$44,"Paper condition",Scores!Q$5:Q$44,"&lt;"&amp;Scores!Q29)+0.5*COUNTIFS(Scores!$B$5:$B$44,2,Scores!$C$5:$C$44,"Paper condition",Scores!Q$5:Q$44,Scores!Q29),"")</f>
        <v>8</v>
      </c>
      <c r="DU29" s="1" t="n">
        <f aca="false">IF(AND(Scores!$B29=2,OR(Scores!$C29="Tool condition",Scores!$C29="Paper condition"),ISNUMBER(Scores!Q29)),(COUNTIFS(Scores!$B$5:$B$44,2,Scores!$C$5:$C$44,"Tool condition",Scores!Q$5:Q$44,Scores!Q29)+COUNTIFS(Scores!$B$5:$B$44,2,Scores!$C$5:$C$44,"Paper condition",Scores!Q$5:Q$44,Scores!Q29))^2-1,"")</f>
        <v>35</v>
      </c>
      <c r="DV29" s="1" t="n">
        <f aca="false">IF(ISNUMBER(Scores!Q29),Scores!Q29^2,"")</f>
        <v>289</v>
      </c>
      <c r="DW29" s="1" t="str">
        <f aca="false">IF(AND(Scores!$B29=1,Scores!$C29="Tool condition",ISNUMBER(Scores!R29)),COUNTIFS(Scores!$B$5:$B$44,1,Scores!$C$5:$C$44,"Paper condition",Scores!R$5:R$44,"&lt;"&amp;Scores!R29)+0.5*COUNTIFS(Scores!$B$5:$B$44,1,Scores!$C$5:$C$44,"Paper condition",Scores!R$5:R$44,Scores!R29),"")</f>
        <v/>
      </c>
      <c r="DX29" s="1" t="str">
        <f aca="false">IF(AND(Scores!$B29=1,OR(Scores!$C29="Tool condition",Scores!$C29="Paper condition"),ISNUMBER(Scores!R29)),(COUNTIFS(Scores!$B$5:$B$44,1,Scores!$C$5:$C$44,"Tool condition",Scores!R$5:R$44,Scores!R29)+COUNTIFS(Scores!$B$5:$B$44,1,Scores!$C$5:$C$44,"Paper condition",Scores!R$5:R$44,Scores!R29))^2-1,"")</f>
        <v/>
      </c>
      <c r="DY29" s="1" t="n">
        <f aca="false">IF(AND(Scores!$B29=2,Scores!$C29="Tool condition",ISNUMBER(Scores!R29)),COUNTIFS(Scores!$B$5:$B$44,2,Scores!$C$5:$C$44,"Paper condition",Scores!R$5:R$44,"&lt;"&amp;Scores!R29)+0.5*COUNTIFS(Scores!$B$5:$B$44,2,Scores!$C$5:$C$44,"Paper condition",Scores!R$5:R$44,Scores!R29),"")</f>
        <v>8.5</v>
      </c>
      <c r="DZ29" s="1" t="n">
        <f aca="false">IF(AND(Scores!$B29=2,OR(Scores!$C29="Tool condition",Scores!$C29="Paper condition"),ISNUMBER(Scores!R29)),(COUNTIFS(Scores!$B$5:$B$44,2,Scores!$C$5:$C$44,"Tool condition",Scores!R$5:R$44,Scores!R29)+COUNTIFS(Scores!$B$5:$B$44,2,Scores!$C$5:$C$44,"Paper condition",Scores!R$5:R$44,Scores!R29))^2-1,"")</f>
        <v>80</v>
      </c>
      <c r="EA29" s="1" t="n">
        <f aca="false">IF(ISNUMBER(Scores!R29),Scores!R29^2,"")</f>
        <v>100</v>
      </c>
      <c r="EB29" s="1" t="str">
        <f aca="false">IF(AND(Scores!$B29=1,Scores!$C29="Tool condition",ISNUMBER(Scores!S29)),COUNTIFS(Scores!$B$5:$B$44,1,Scores!$C$5:$C$44,"Paper condition",Scores!S$5:S$44,"&lt;"&amp;Scores!S29)+0.5*COUNTIFS(Scores!$B$5:$B$44,1,Scores!$C$5:$C$44,"Paper condition",Scores!S$5:S$44,Scores!S29),"")</f>
        <v/>
      </c>
      <c r="EC29" s="1" t="str">
        <f aca="false">IF(AND(Scores!$B29=1,OR(Scores!$C29="Tool condition",Scores!$C29="Paper condition"),ISNUMBER(Scores!S29)),(COUNTIFS(Scores!$B$5:$B$44,1,Scores!$C$5:$C$44,"Tool condition",Scores!S$5:S$44,Scores!S29)+COUNTIFS(Scores!$B$5:$B$44,1,Scores!$C$5:$C$44,"Paper condition",Scores!S$5:S$44,Scores!S29))^2-1,"")</f>
        <v/>
      </c>
      <c r="ED29" s="1" t="n">
        <f aca="false">IF(AND(Scores!$B29=2,Scores!$C29="Tool condition",ISNUMBER(Scores!S29)),COUNTIFS(Scores!$B$5:$B$44,2,Scores!$C$5:$C$44,"Paper condition",Scores!S$5:S$44,"&lt;"&amp;Scores!S29)+0.5*COUNTIFS(Scores!$B$5:$B$44,2,Scores!$C$5:$C$44,"Paper condition",Scores!S$5:S$44,Scores!S29),"")</f>
        <v>5</v>
      </c>
      <c r="EE29" s="1" t="n">
        <f aca="false">IF(AND(Scores!$B29=2,OR(Scores!$C29="Tool condition",Scores!$C29="Paper condition"),ISNUMBER(Scores!S29)),(COUNTIFS(Scores!$B$5:$B$44,2,Scores!$C$5:$C$44,"Tool condition",Scores!S$5:S$44,Scores!S29)+COUNTIFS(Scores!$B$5:$B$44,2,Scores!$C$5:$C$44,"Paper condition",Scores!S$5:S$44,Scores!S29))^2-1,"")</f>
        <v>24</v>
      </c>
      <c r="EF29" s="1" t="n">
        <f aca="false">IF(ISNUMBER(Scores!S29),Scores!S29^2,"")</f>
        <v>49</v>
      </c>
      <c r="EG29" s="1" t="str">
        <f aca="false">IF(AND(Scores!$B29=1,Scores!$C29="Tool condition",ISNUMBER(Scores!T29)),COUNTIFS(Scores!$B$5:$B$44,1,Scores!$C$5:$C$44,"Paper condition",Scores!T$5:T$44,"&lt;"&amp;Scores!T29)+0.5*COUNTIFS(Scores!$B$5:$B$44,1,Scores!$C$5:$C$44,"Paper condition",Scores!T$5:T$44,Scores!T29),"")</f>
        <v/>
      </c>
      <c r="EH29" s="1" t="str">
        <f aca="false">IF(AND(Scores!$B29=1,OR(Scores!$C29="Tool condition",Scores!$C29="Paper condition"),ISNUMBER(Scores!T29)),(COUNTIFS(Scores!$B$5:$B$44,1,Scores!$C$5:$C$44,"Tool condition",Scores!T$5:T$44,Scores!T29)+COUNTIFS(Scores!$B$5:$B$44,1,Scores!$C$5:$C$44,"Paper condition",Scores!T$5:T$44,Scores!T29))^2-1,"")</f>
        <v/>
      </c>
      <c r="EI29" s="1" t="n">
        <f aca="false">IF(AND(Scores!$B29=2,Scores!$C29="Tool condition",ISNUMBER(Scores!T29)),COUNTIFS(Scores!$B$5:$B$44,2,Scores!$C$5:$C$44,"Paper condition",Scores!T$5:T$44,"&lt;"&amp;Scores!T29)+0.5*COUNTIFS(Scores!$B$5:$B$44,2,Scores!$C$5:$C$44,"Paper condition",Scores!T$5:T$44,Scores!T29),"")</f>
        <v>9</v>
      </c>
      <c r="EJ29" s="1" t="n">
        <f aca="false">IF(AND(Scores!$B29=2,OR(Scores!$C29="Tool condition",Scores!$C29="Paper condition"),ISNUMBER(Scores!T29)),(COUNTIFS(Scores!$B$5:$B$44,2,Scores!$C$5:$C$44,"Tool condition",Scores!T$5:T$44,Scores!T29)+COUNTIFS(Scores!$B$5:$B$44,2,Scores!$C$5:$C$44,"Paper condition",Scores!T$5:T$44,Scores!T29))^2-1,"")</f>
        <v>15</v>
      </c>
      <c r="EK29" s="1" t="n">
        <f aca="false">IF(ISNUMBER(Scores!T29),Scores!T29^2,"")</f>
        <v>49</v>
      </c>
      <c r="EL29" s="1" t="str">
        <f aca="false">IF(AND(Scores!$B29=1,Scores!$C29="Tool condition",ISNUMBER(Scores!U29)),COUNTIFS(Scores!$B$5:$B$44,1,Scores!$C$5:$C$44,"Paper condition",Scores!U$5:U$44,"&lt;"&amp;Scores!U29)+0.5*COUNTIFS(Scores!$B$5:$B$44,1,Scores!$C$5:$C$44,"Paper condition",Scores!U$5:U$44,Scores!U29),"")</f>
        <v/>
      </c>
      <c r="EM29" s="1" t="str">
        <f aca="false">IF(AND(Scores!$B29=1,OR(Scores!$C29="Tool condition",Scores!$C29="Paper condition"),ISNUMBER(Scores!U29)),(COUNTIFS(Scores!$B$5:$B$44,1,Scores!$C$5:$C$44,"Tool condition",Scores!U$5:U$44,Scores!U29)+COUNTIFS(Scores!$B$5:$B$44,1,Scores!$C$5:$C$44,"Paper condition",Scores!U$5:U$44,Scores!U29))^2-1,"")</f>
        <v/>
      </c>
      <c r="EN29" s="1" t="n">
        <f aca="false">IF(AND(Scores!$B29=2,Scores!$C29="Tool condition",ISNUMBER(Scores!U29)),COUNTIFS(Scores!$B$5:$B$44,2,Scores!$C$5:$C$44,"Paper condition",Scores!U$5:U$44,"&lt;"&amp;Scores!U29)+0.5*COUNTIFS(Scores!$B$5:$B$44,2,Scores!$C$5:$C$44,"Paper condition",Scores!U$5:U$44,Scores!U29),"")</f>
        <v>7.5</v>
      </c>
      <c r="EO29" s="1" t="n">
        <f aca="false">IF(AND(Scores!$B29=2,OR(Scores!$C29="Tool condition",Scores!$C29="Paper condition"),ISNUMBER(Scores!U29)),(COUNTIFS(Scores!$B$5:$B$44,2,Scores!$C$5:$C$44,"Tool condition",Scores!U$5:U$44,Scores!U29)+COUNTIFS(Scores!$B$5:$B$44,2,Scores!$C$5:$C$44,"Paper condition",Scores!U$5:U$44,Scores!U29))^2-1,"")</f>
        <v>35</v>
      </c>
      <c r="EP29" s="1" t="n">
        <f aca="false">IF(ISNUMBER(Scores!U29),Scores!U29^2,"")</f>
        <v>16</v>
      </c>
      <c r="EQ29" s="1" t="str">
        <f aca="false">IF(AND(Scores!$B29=1,Scores!$C29="Tool condition",ISNUMBER(Scores!V29)),COUNTIFS(Scores!$B$5:$B$44,1,Scores!$C$5:$C$44,"Paper condition",Scores!V$5:V$44,"&lt;"&amp;Scores!V29)+0.5*COUNTIFS(Scores!$B$5:$B$44,1,Scores!$C$5:$C$44,"Paper condition",Scores!V$5:V$44,Scores!V29),"")</f>
        <v/>
      </c>
      <c r="ER29" s="1" t="str">
        <f aca="false">IF(AND(Scores!$B29=1,OR(Scores!$C29="Tool condition",Scores!$C29="Paper condition"),ISNUMBER(Scores!V29)),(COUNTIFS(Scores!$B$5:$B$44,1,Scores!$C$5:$C$44,"Tool condition",Scores!V$5:V$44,Scores!V29)+COUNTIFS(Scores!$B$5:$B$44,1,Scores!$C$5:$C$44,"Paper condition",Scores!V$5:V$44,Scores!V29))^2-1,"")</f>
        <v/>
      </c>
      <c r="ES29" s="1" t="n">
        <f aca="false">IF(AND(Scores!$B29=2,Scores!$C29="Tool condition",ISNUMBER(Scores!V29)),COUNTIFS(Scores!$B$5:$B$44,2,Scores!$C$5:$C$44,"Paper condition",Scores!V$5:V$44,"&lt;"&amp;Scores!V29)+0.5*COUNTIFS(Scores!$B$5:$B$44,2,Scores!$C$5:$C$44,"Paper condition",Scores!V$5:V$44,Scores!V29),"")</f>
        <v>5.5</v>
      </c>
      <c r="ET29" s="1" t="n">
        <f aca="false">IF(AND(Scores!$B29=2,OR(Scores!$C29="Tool condition",Scores!$C29="Paper condition"),ISNUMBER(Scores!V29)),(COUNTIFS(Scores!$B$5:$B$44,2,Scores!$C$5:$C$44,"Tool condition",Scores!V$5:V$44,Scores!V29)+COUNTIFS(Scores!$B$5:$B$44,2,Scores!$C$5:$C$44,"Paper condition",Scores!V$5:V$44,Scores!V29))^2-1,"")</f>
        <v>15</v>
      </c>
      <c r="EU29" s="1" t="n">
        <f aca="false">IF(ISNUMBER(Scores!V29),Scores!V29^2,"")</f>
        <v>36</v>
      </c>
      <c r="EV29" s="1" t="str">
        <f aca="false">IF(AND(R_Scores!$B29=1,R_Scores!$C29="Tool condition",ISNUMBER(R_Scores!Q29)),COUNTIFS(R_Scores!$B$5:$B$44,1,R_Scores!$C$5:$C$44,"Paper condition",R_Scores!Q$5:Q$44,"&lt;"&amp;R_Scores!Q29)+0.5*COUNTIFS(R_Scores!$B$5:$B$44,1,R_Scores!$C$5:$C$44,"Paper condition",R_Scores!Q$5:Q$44,R_Scores!Q29),"")</f>
        <v/>
      </c>
      <c r="EW29" s="1" t="str">
        <f aca="false">IF(AND(R_Scores!$B29=1,OR(R_Scores!$C29="Tool condition",R_Scores!$C29="Paper condition"),ISNUMBER(R_Scores!Q29)),(COUNTIFS(R_Scores!$B$5:$B$44,1,R_Scores!$C$5:$C$44,"Tool condition",R_Scores!Q$5:Q$44,R_Scores!Q29)+COUNTIFS(R_Scores!$B$5:$B$44,1,R_Scores!$C$5:$C$44,"Paper condition",R_Scores!Q$5:Q$44,R_Scores!Q29))^2-1,"")</f>
        <v/>
      </c>
      <c r="EX29" s="1" t="n">
        <f aca="false">IF(AND(R_Scores!$B29=2,R_Scores!$C29="Tool condition",ISNUMBER(R_Scores!Q29)),COUNTIFS(R_Scores!$B$5:$B$44,2,R_Scores!$C$5:$C$44,"Paper condition",R_Scores!Q$5:Q$44,"&lt;"&amp;R_Scores!Q29)+0.5*COUNTIFS(R_Scores!$B$5:$B$44,2,R_Scores!$C$5:$C$44,"Paper condition",R_Scores!Q$5:Q$44,R_Scores!Q29),"")</f>
        <v>8.5</v>
      </c>
      <c r="EY29" s="1" t="n">
        <f aca="false">IF(AND(R_Scores!$B29=2,OR(R_Scores!$C29="Tool condition",R_Scores!$C29="Paper condition"),ISNUMBER(R_Scores!Q29)),(COUNTIFS(R_Scores!$B$5:$B$44,2,R_Scores!$C$5:$C$44,"Tool condition",R_Scores!Q$5:Q$44,R_Scores!Q29)+COUNTIFS(R_Scores!$B$5:$B$44,2,R_Scores!$C$5:$C$44,"Paper condition",R_Scores!Q$5:Q$44,R_Scores!Q29))^2-1,"")</f>
        <v>143</v>
      </c>
      <c r="EZ29" s="1" t="n">
        <f aca="false">IF(ISNUMBER(R_Scores!Q29),R_Scores!Q29^2,"")</f>
        <v>25</v>
      </c>
      <c r="FA29" s="1" t="str">
        <f aca="false">IF(AND(R_Scores!$B29=1,R_Scores!$C29="Tool condition",ISNUMBER(R_Scores!R29)),COUNTIFS(R_Scores!$B$5:$B$44,1,R_Scores!$C$5:$C$44,"Paper condition",R_Scores!R$5:R$44,"&lt;"&amp;R_Scores!R29)+0.5*COUNTIFS(R_Scores!$B$5:$B$44,1,R_Scores!$C$5:$C$44,"Paper condition",R_Scores!R$5:R$44,R_Scores!R29),"")</f>
        <v/>
      </c>
      <c r="FB29" s="1" t="str">
        <f aca="false">IF(AND(R_Scores!$B29=1,OR(R_Scores!$C29="Tool condition",R_Scores!$C29="Paper condition"),ISNUMBER(R_Scores!R29)),(COUNTIFS(R_Scores!$B$5:$B$44,1,R_Scores!$C$5:$C$44,"Tool condition",R_Scores!R$5:R$44,R_Scores!R29)+COUNTIFS(R_Scores!$B$5:$B$44,1,R_Scores!$C$5:$C$44,"Paper condition",R_Scores!R$5:R$44,R_Scores!R29))^2-1,"")</f>
        <v/>
      </c>
      <c r="FC29" s="1" t="n">
        <f aca="false">IF(AND(R_Scores!$B29=2,R_Scores!$C29="Tool condition",ISNUMBER(R_Scores!R29)),COUNTIFS(R_Scores!$B$5:$B$44,2,R_Scores!$C$5:$C$44,"Paper condition",R_Scores!R$5:R$44,"&lt;"&amp;R_Scores!R29)+0.5*COUNTIFS(R_Scores!$B$5:$B$44,2,R_Scores!$C$5:$C$44,"Paper condition",R_Scores!R$5:R$44,R_Scores!R29),"")</f>
        <v>8</v>
      </c>
      <c r="FD29" s="1" t="n">
        <f aca="false">IF(AND(R_Scores!$B29=2,OR(R_Scores!$C29="Tool condition",R_Scores!$C29="Paper condition"),ISNUMBER(R_Scores!R29)),(COUNTIFS(R_Scores!$B$5:$B$44,2,R_Scores!$C$5:$C$44,"Tool condition",R_Scores!R$5:R$44,R_Scores!R29)+COUNTIFS(R_Scores!$B$5:$B$44,2,R_Scores!$C$5:$C$44,"Paper condition",R_Scores!R$5:R$44,R_Scores!R29))^2-1,"")</f>
        <v>35</v>
      </c>
      <c r="FE29" s="1" t="n">
        <f aca="false">IF(ISNUMBER(R_Scores!R29),R_Scores!R29^2,"")</f>
        <v>484</v>
      </c>
    </row>
    <row r="30" customFormat="false" ht="14.25" hidden="false" customHeight="true" outlineLevel="0" collapsed="false">
      <c r="B30" s="1" t="str">
        <f aca="false">IF(AND(Scores!$B30=1,Scores!$C30="Tool condition",ISNUMBER(Scores!E30)),COUNTIFS(Scores!$B$5:$B$44,1,Scores!$C$5:$C$44,"Paper condition",Scores!E$5:E$44,"&lt;"&amp;Scores!E30)+0.5*COUNTIFS(Scores!$B$5:$B$44,1,Scores!$C$5:$C$44,"Paper condition",Scores!E$5:E$44,Scores!E30),"")</f>
        <v/>
      </c>
      <c r="C30" s="1" t="str">
        <f aca="false">IF(AND(Scores!$B30=1,OR(Scores!$C30="Tool condition",Scores!$C30="Paper condition"),ISNUMBER(Scores!E30)),(COUNTIFS(Scores!$B$5:$B$44,1,Scores!$C$5:$C$44,"Tool condition",Scores!E$5:E$44,Scores!E30)+COUNTIFS(Scores!$B$5:$B$44,1,Scores!$C$5:$C$44,"Paper condition",Scores!E$5:E$44,Scores!E30))^2-1,"")</f>
        <v/>
      </c>
      <c r="D30" s="1" t="n">
        <f aca="false">IF(AND(Scores!$B30=2,Scores!$C30="Tool condition",ISNUMBER(Scores!E30)),COUNTIFS(Scores!$B$5:$B$44,2,Scores!$C$5:$C$44,"Paper condition",Scores!E$5:E$44,"&lt;"&amp;Scores!E30)+0.5*COUNTIFS(Scores!$B$5:$B$44,2,Scores!$C$5:$C$44,"Paper condition",Scores!E$5:E$44,Scores!E30),"")</f>
        <v>7.5</v>
      </c>
      <c r="E30" s="1" t="n">
        <f aca="false">IF(AND(Scores!$B30=2,OR(Scores!$C30="Tool condition",Scores!$C30="Paper condition"),ISNUMBER(Scores!E30)),(COUNTIFS(Scores!$B$5:$B$44,2,Scores!$C$5:$C$44,"Tool condition",Scores!E$5:E$44,Scores!E30)+COUNTIFS(Scores!$B$5:$B$44,2,Scores!$C$5:$C$44,"Paper condition",Scores!E$5:E$44,Scores!E30))^2-1,"")</f>
        <v>143</v>
      </c>
      <c r="F30" s="1" t="n">
        <f aca="false">IF(ISNUMBER(Scores!E30),Scores!E30^2,"")</f>
        <v>4</v>
      </c>
      <c r="G30" s="1" t="str">
        <f aca="false">IF(AND(Scores!$B30=1,Scores!$C30="Tool condition",ISNUMBER(Scores!F30)),COUNTIFS(Scores!$B$5:$B$44,1,Scores!$C$5:$C$44,"Paper condition",Scores!F$5:F$44,"&lt;"&amp;Scores!F30)+0.5*COUNTIFS(Scores!$B$5:$B$44,1,Scores!$C$5:$C$44,"Paper condition",Scores!F$5:F$44,Scores!F30),"")</f>
        <v/>
      </c>
      <c r="H30" s="1" t="str">
        <f aca="false">IF(AND(Scores!$B30=1,OR(Scores!$C30="Tool condition",Scores!$C30="Paper condition"),ISNUMBER(Scores!F30)),(COUNTIFS(Scores!$B$5:$B$44,1,Scores!$C$5:$C$44,"Tool condition",Scores!F$5:F$44,Scores!F30)+COUNTIFS(Scores!$B$5:$B$44,1,Scores!$C$5:$C$44,"Paper condition",Scores!F$5:F$44,Scores!F30))^2-1,"")</f>
        <v/>
      </c>
      <c r="I30" s="1" t="n">
        <f aca="false">IF(AND(Scores!$B30=2,Scores!$C30="Tool condition",ISNUMBER(Scores!F30)),COUNTIFS(Scores!$B$5:$B$44,2,Scores!$C$5:$C$44,"Paper condition",Scores!F$5:F$44,"&lt;"&amp;Scores!F30)+0.5*COUNTIFS(Scores!$B$5:$B$44,2,Scores!$C$5:$C$44,"Paper condition",Scores!F$5:F$44,Scores!F30),"")</f>
        <v>8</v>
      </c>
      <c r="J30" s="1" t="n">
        <f aca="false">IF(AND(Scores!$B30=2,OR(Scores!$C30="Tool condition",Scores!$C30="Paper condition"),ISNUMBER(Scores!F30)),(COUNTIFS(Scores!$B$5:$B$44,2,Scores!$C$5:$C$44,"Tool condition",Scores!F$5:F$44,Scores!F30)+COUNTIFS(Scores!$B$5:$B$44,2,Scores!$C$5:$C$44,"Paper condition",Scores!F$5:F$44,Scores!F30))^2-1,"")</f>
        <v>120</v>
      </c>
      <c r="K30" s="1" t="n">
        <f aca="false">IF(ISNUMBER(Scores!F30),Scores!F30^2,"")</f>
        <v>4</v>
      </c>
      <c r="L30" s="1" t="str">
        <f aca="false">IF(AND(Scores!$B30=1,Scores!$C30="Tool condition",ISNUMBER(Scores!G30)),COUNTIFS(Scores!$B$5:$B$44,1,Scores!$C$5:$C$44,"Paper condition",Scores!G$5:G$44,"&lt;"&amp;Scores!G30)+0.5*COUNTIFS(Scores!$B$5:$B$44,1,Scores!$C$5:$C$44,"Paper condition",Scores!G$5:G$44,Scores!G30),"")</f>
        <v/>
      </c>
      <c r="M30" s="1" t="str">
        <f aca="false">IF(AND(Scores!$B30=1,OR(Scores!$C30="Tool condition",Scores!$C30="Paper condition"),ISNUMBER(Scores!G30)),(COUNTIFS(Scores!$B$5:$B$44,1,Scores!$C$5:$C$44,"Tool condition",Scores!G$5:G$44,Scores!G30)+COUNTIFS(Scores!$B$5:$B$44,1,Scores!$C$5:$C$44,"Paper condition",Scores!G$5:G$44,Scores!G30))^2-1,"")</f>
        <v/>
      </c>
      <c r="N30" s="1" t="n">
        <f aca="false">IF(AND(Scores!$B30=2,Scores!$C30="Tool condition",ISNUMBER(Scores!G30)),COUNTIFS(Scores!$B$5:$B$44,2,Scores!$C$5:$C$44,"Paper condition",Scores!G$5:G$44,"&lt;"&amp;Scores!G30)+0.5*COUNTIFS(Scores!$B$5:$B$44,2,Scores!$C$5:$C$44,"Paper condition",Scores!G$5:G$44,Scores!G30),"")</f>
        <v>7</v>
      </c>
      <c r="O30" s="1" t="n">
        <f aca="false">IF(AND(Scores!$B30=2,OR(Scores!$C30="Tool condition",Scores!$C30="Paper condition"),ISNUMBER(Scores!G30)),(COUNTIFS(Scores!$B$5:$B$44,2,Scores!$C$5:$C$44,"Tool condition",Scores!G$5:G$44,Scores!G30)+COUNTIFS(Scores!$B$5:$B$44,2,Scores!$C$5:$C$44,"Paper condition",Scores!G$5:G$44,Scores!G30))^2-1,"")</f>
        <v>195</v>
      </c>
      <c r="P30" s="1" t="n">
        <f aca="false">IF(ISNUMBER(Scores!G30),Scores!G30^2,"")</f>
        <v>4</v>
      </c>
      <c r="Q30" s="1" t="str">
        <f aca="false">IF(AND(Scores!$B30=1,Scores!$C30="Tool condition",ISNUMBER(Scores!H30)),COUNTIFS(Scores!$B$5:$B$44,1,Scores!$C$5:$C$44,"Paper condition",Scores!H$5:H$44,"&lt;"&amp;Scores!H30)+0.5*COUNTIFS(Scores!$B$5:$B$44,1,Scores!$C$5:$C$44,"Paper condition",Scores!H$5:H$44,Scores!H30),"")</f>
        <v/>
      </c>
      <c r="R30" s="1" t="str">
        <f aca="false">IF(AND(Scores!$B30=1,OR(Scores!$C30="Tool condition",Scores!$C30="Paper condition"),ISNUMBER(Scores!H30)),(COUNTIFS(Scores!$B$5:$B$44,1,Scores!$C$5:$C$44,"Tool condition",Scores!H$5:H$44,Scores!H30)+COUNTIFS(Scores!$B$5:$B$44,1,Scores!$C$5:$C$44,"Paper condition",Scores!H$5:H$44,Scores!H30))^2-1,"")</f>
        <v/>
      </c>
      <c r="S30" s="1" t="n">
        <f aca="false">IF(AND(Scores!$B30=2,Scores!$C30="Tool condition",ISNUMBER(Scores!H30)),COUNTIFS(Scores!$B$5:$B$44,2,Scores!$C$5:$C$44,"Paper condition",Scores!H$5:H$44,"&lt;"&amp;Scores!H30)+0.5*COUNTIFS(Scores!$B$5:$B$44,2,Scores!$C$5:$C$44,"Paper condition",Scores!H$5:H$44,Scores!H30),"")</f>
        <v>3</v>
      </c>
      <c r="T30" s="1" t="n">
        <f aca="false">IF(AND(Scores!$B30=2,OR(Scores!$C30="Tool condition",Scores!$C30="Paper condition"),ISNUMBER(Scores!H30)),(COUNTIFS(Scores!$B$5:$B$44,2,Scores!$C$5:$C$44,"Tool condition",Scores!H$5:H$44,Scores!H30)+COUNTIFS(Scores!$B$5:$B$44,2,Scores!$C$5:$C$44,"Paper condition",Scores!H$5:H$44,Scores!H30))^2-1,"")</f>
        <v>99</v>
      </c>
      <c r="U30" s="1" t="n">
        <f aca="false">IF(ISNUMBER(Scores!H30),Scores!H30^2,"")</f>
        <v>1</v>
      </c>
      <c r="V30" s="1" t="str">
        <f aca="false">IF(AND(Scores!$B30=1,Scores!$C30="Tool condition",ISNUMBER(Scores!I30)),COUNTIFS(Scores!$B$5:$B$44,1,Scores!$C$5:$C$44,"Paper condition",Scores!I$5:I$44,"&lt;"&amp;Scores!I30)+0.5*COUNTIFS(Scores!$B$5:$B$44,1,Scores!$C$5:$C$44,"Paper condition",Scores!I$5:I$44,Scores!I30),"")</f>
        <v/>
      </c>
      <c r="W30" s="1" t="str">
        <f aca="false">IF(AND(Scores!$B30=1,OR(Scores!$C30="Tool condition",Scores!$C30="Paper condition"),ISNUMBER(Scores!I30)),(COUNTIFS(Scores!$B$5:$B$44,1,Scores!$C$5:$C$44,"Tool condition",Scores!I$5:I$44,Scores!I30)+COUNTIFS(Scores!$B$5:$B$44,1,Scores!$C$5:$C$44,"Paper condition",Scores!I$5:I$44,Scores!I30))^2-1,"")</f>
        <v/>
      </c>
      <c r="X30" s="1" t="n">
        <f aca="false">IF(AND(Scores!$B30=2,Scores!$C30="Tool condition",ISNUMBER(Scores!I30)),COUNTIFS(Scores!$B$5:$B$44,2,Scores!$C$5:$C$44,"Paper condition",Scores!I$5:I$44,"&lt;"&amp;Scores!I30)+0.5*COUNTIFS(Scores!$B$5:$B$44,2,Scores!$C$5:$C$44,"Paper condition",Scores!I$5:I$44,Scores!I30),"")</f>
        <v>8.5</v>
      </c>
      <c r="Y30" s="1" t="n">
        <f aca="false">IF(AND(Scores!$B30=2,OR(Scores!$C30="Tool condition",Scores!$C30="Paper condition"),ISNUMBER(Scores!I30)),(COUNTIFS(Scores!$B$5:$B$44,2,Scores!$C$5:$C$44,"Tool condition",Scores!I$5:I$44,Scores!I30)+COUNTIFS(Scores!$B$5:$B$44,2,Scores!$C$5:$C$44,"Paper condition",Scores!I$5:I$44,Scores!I30))^2-1,"")</f>
        <v>99</v>
      </c>
      <c r="Z30" s="1" t="n">
        <f aca="false">IF(ISNUMBER(Scores!I30),Scores!I30^2,"")</f>
        <v>4</v>
      </c>
      <c r="AA30" s="1" t="str">
        <f aca="false">IF(AND(Scores!$B30=1,Scores!$C30="Tool condition",ISNUMBER(Scores!J30)),COUNTIFS(Scores!$B$5:$B$44,1,Scores!$C$5:$C$44,"Paper condition",Scores!J$5:J$44,"&lt;"&amp;Scores!J30)+0.5*COUNTIFS(Scores!$B$5:$B$44,1,Scores!$C$5:$C$44,"Paper condition",Scores!J$5:J$44,Scores!J30),"")</f>
        <v/>
      </c>
      <c r="AB30" s="1" t="str">
        <f aca="false">IF(AND(Scores!$B30=1,OR(Scores!$C30="Tool condition",Scores!$C30="Paper condition"),ISNUMBER(Scores!J30)),(COUNTIFS(Scores!$B$5:$B$44,1,Scores!$C$5:$C$44,"Tool condition",Scores!J$5:J$44,Scores!J30)+COUNTIFS(Scores!$B$5:$B$44,1,Scores!$C$5:$C$44,"Paper condition",Scores!J$5:J$44,Scores!J30))^2-1,"")</f>
        <v/>
      </c>
      <c r="AC30" s="1" t="n">
        <f aca="false">IF(AND(Scores!$B30=2,Scores!$C30="Tool condition",ISNUMBER(Scores!J30)),COUNTIFS(Scores!$B$5:$B$44,2,Scores!$C$5:$C$44,"Paper condition",Scores!J$5:J$44,"&lt;"&amp;Scores!J30)+0.5*COUNTIFS(Scores!$B$5:$B$44,2,Scores!$C$5:$C$44,"Paper condition",Scores!J$5:J$44,Scores!J30),"")</f>
        <v>2.5</v>
      </c>
      <c r="AD30" s="1" t="n">
        <f aca="false">IF(AND(Scores!$B30=2,OR(Scores!$C30="Tool condition",Scores!$C30="Paper condition"),ISNUMBER(Scores!J30)),(COUNTIFS(Scores!$B$5:$B$44,2,Scores!$C$5:$C$44,"Tool condition",Scores!J$5:J$44,Scores!J30)+COUNTIFS(Scores!$B$5:$B$44,2,Scores!$C$5:$C$44,"Paper condition",Scores!J$5:J$44,Scores!J30))^2-1,"")</f>
        <v>80</v>
      </c>
      <c r="AE30" s="1" t="n">
        <f aca="false">IF(ISNUMBER(Scores!J30),Scores!J30^2,"")</f>
        <v>1</v>
      </c>
      <c r="AF30" s="1" t="str">
        <f aca="false">IF(AND(Scores!$B30=1,Scores!$C30="Tool condition",ISNUMBER(Scores!K30)),COUNTIFS(Scores!$B$5:$B$44,1,Scores!$C$5:$C$44,"Paper condition",Scores!K$5:K$44,"&lt;"&amp;Scores!K30)+0.5*COUNTIFS(Scores!$B$5:$B$44,1,Scores!$C$5:$C$44,"Paper condition",Scores!K$5:K$44,Scores!K30),"")</f>
        <v/>
      </c>
      <c r="AG30" s="1" t="str">
        <f aca="false">IF(AND(Scores!$B30=1,OR(Scores!$C30="Tool condition",Scores!$C30="Paper condition"),ISNUMBER(Scores!K30)),(COUNTIFS(Scores!$B$5:$B$44,1,Scores!$C$5:$C$44,"Tool condition",Scores!K$5:K$44,Scores!K30)+COUNTIFS(Scores!$B$5:$B$44,1,Scores!$C$5:$C$44,"Paper condition",Scores!K$5:K$44,Scores!K30))^2-1,"")</f>
        <v/>
      </c>
      <c r="AH30" s="1" t="n">
        <f aca="false">IF(AND(Scores!$B30=2,Scores!$C30="Tool condition",ISNUMBER(Scores!K30)),COUNTIFS(Scores!$B$5:$B$44,2,Scores!$C$5:$C$44,"Paper condition",Scores!K$5:K$44,"&lt;"&amp;Scores!K30)+0.5*COUNTIFS(Scores!$B$5:$B$44,2,Scores!$C$5:$C$44,"Paper condition",Scores!K$5:K$44,Scores!K30),"")</f>
        <v>8.5</v>
      </c>
      <c r="AI30" s="1" t="n">
        <f aca="false">IF(AND(Scores!$B30=2,OR(Scores!$C30="Tool condition",Scores!$C30="Paper condition"),ISNUMBER(Scores!K30)),(COUNTIFS(Scores!$B$5:$B$44,2,Scores!$C$5:$C$44,"Tool condition",Scores!K$5:K$44,Scores!K30)+COUNTIFS(Scores!$B$5:$B$44,2,Scores!$C$5:$C$44,"Paper condition",Scores!K$5:K$44,Scores!K30))^2-1,"")</f>
        <v>80</v>
      </c>
      <c r="AJ30" s="1" t="n">
        <f aca="false">IF(ISNUMBER(Scores!K30),Scores!K30^2,"")</f>
        <v>4</v>
      </c>
      <c r="AK30" s="1" t="str">
        <f aca="false">IF(AND(Scores!$B30=1,Scores!$C30="Tool condition",ISNUMBER(Scores!L30)),COUNTIFS(Scores!$B$5:$B$44,1,Scores!$C$5:$C$44,"Paper condition",Scores!L$5:L$44,"&lt;"&amp;Scores!L30)+0.5*COUNTIFS(Scores!$B$5:$B$44,1,Scores!$C$5:$C$44,"Paper condition",Scores!L$5:L$44,Scores!L30),"")</f>
        <v/>
      </c>
      <c r="AL30" s="1" t="str">
        <f aca="false">IF(AND(Scores!$B30=1,OR(Scores!$C30="Tool condition",Scores!$C30="Paper condition"),ISNUMBER(Scores!L30)),(COUNTIFS(Scores!$B$5:$B$44,1,Scores!$C$5:$C$44,"Tool condition",Scores!L$5:L$44,Scores!L30)+COUNTIFS(Scores!$B$5:$B$44,1,Scores!$C$5:$C$44,"Paper condition",Scores!L$5:L$44,Scores!L30))^2-1,"")</f>
        <v/>
      </c>
      <c r="AM30" s="1" t="n">
        <f aca="false">IF(AND(Scores!$B30=2,Scores!$C30="Tool condition",ISNUMBER(Scores!L30)),COUNTIFS(Scores!$B$5:$B$44,2,Scores!$C$5:$C$44,"Paper condition",Scores!L$5:L$44,"&lt;"&amp;Scores!L30)+0.5*COUNTIFS(Scores!$B$5:$B$44,2,Scores!$C$5:$C$44,"Paper condition",Scores!L$5:L$44,Scores!L30),"")</f>
        <v>7.5</v>
      </c>
      <c r="AN30" s="1" t="n">
        <f aca="false">IF(AND(Scores!$B30=2,OR(Scores!$C30="Tool condition",Scores!$C30="Paper condition"),ISNUMBER(Scores!L30)),(COUNTIFS(Scores!$B$5:$B$44,2,Scores!$C$5:$C$44,"Tool condition",Scores!L$5:L$44,Scores!L30)+COUNTIFS(Scores!$B$5:$B$44,2,Scores!$C$5:$C$44,"Paper condition",Scores!L$5:L$44,Scores!L30))^2-1,"")</f>
        <v>99</v>
      </c>
      <c r="AO30" s="1" t="n">
        <f aca="false">IF(ISNUMBER(Scores!L30),Scores!L30^2,"")</f>
        <v>4</v>
      </c>
      <c r="AP30" s="1" t="str">
        <f aca="false">IF(AND(Scores!$B30=1,Scores!$C30="Tool condition",ISNUMBER(Scores!M30)),COUNTIFS(Scores!$B$5:$B$44,1,Scores!$C$5:$C$44,"Paper condition",Scores!M$5:M$44,"&lt;"&amp;Scores!M30)+0.5*COUNTIFS(Scores!$B$5:$B$44,1,Scores!$C$5:$C$44,"Paper condition",Scores!M$5:M$44,Scores!M30),"")</f>
        <v/>
      </c>
      <c r="AQ30" s="1" t="str">
        <f aca="false">IF(AND(Scores!$B30=1,OR(Scores!$C30="Tool condition",Scores!$C30="Paper condition"),ISNUMBER(Scores!M30)),(COUNTIFS(Scores!$B$5:$B$44,1,Scores!$C$5:$C$44,"Tool condition",Scores!M$5:M$44,Scores!M30)+COUNTIFS(Scores!$B$5:$B$44,1,Scores!$C$5:$C$44,"Paper condition",Scores!M$5:M$44,Scores!M30))^2-1,"")</f>
        <v/>
      </c>
      <c r="AR30" s="1" t="n">
        <f aca="false">IF(AND(Scores!$B30=2,Scores!$C30="Tool condition",ISNUMBER(Scores!M30)),COUNTIFS(Scores!$B$5:$B$44,2,Scores!$C$5:$C$44,"Paper condition",Scores!M$5:M$44,"&lt;"&amp;Scores!M30)+0.5*COUNTIFS(Scores!$B$5:$B$44,2,Scores!$C$5:$C$44,"Paper condition",Scores!M$5:M$44,Scores!M30),"")</f>
        <v>3.5</v>
      </c>
      <c r="AS30" s="1" t="n">
        <f aca="false">IF(AND(Scores!$B30=2,OR(Scores!$C30="Tool condition",Scores!$C30="Paper condition"),ISNUMBER(Scores!M30)),(COUNTIFS(Scores!$B$5:$B$44,2,Scores!$C$5:$C$44,"Tool condition",Scores!M$5:M$44,Scores!M30)+COUNTIFS(Scores!$B$5:$B$44,2,Scores!$C$5:$C$44,"Paper condition",Scores!M$5:M$44,Scores!M30))^2-1,"")</f>
        <v>80</v>
      </c>
      <c r="AT30" s="1" t="n">
        <f aca="false">IF(ISNUMBER(Scores!M30),Scores!M30^2,"")</f>
        <v>1</v>
      </c>
      <c r="AU30" s="1" t="str">
        <f aca="false">IF(AND(Scores!$B30=1,Scores!$C30="Tool condition",ISNUMBER(Scores!N30)),COUNTIFS(Scores!$B$5:$B$44,1,Scores!$C$5:$C$44,"Paper condition",Scores!N$5:N$44,"&lt;"&amp;Scores!N30)+0.5*COUNTIFS(Scores!$B$5:$B$44,1,Scores!$C$5:$C$44,"Paper condition",Scores!N$5:N$44,Scores!N30),"")</f>
        <v/>
      </c>
      <c r="AV30" s="1" t="str">
        <f aca="false">IF(AND(Scores!$B30=1,OR(Scores!$C30="Tool condition",Scores!$C30="Paper condition"),ISNUMBER(Scores!N30)),(COUNTIFS(Scores!$B$5:$B$44,1,Scores!$C$5:$C$44,"Tool condition",Scores!N$5:N$44,Scores!N30)+COUNTIFS(Scores!$B$5:$B$44,1,Scores!$C$5:$C$44,"Paper condition",Scores!N$5:N$44,Scores!N30))^2-1,"")</f>
        <v/>
      </c>
      <c r="AW30" s="1" t="n">
        <f aca="false">IF(AND(Scores!$B30=2,Scores!$C30="Tool condition",ISNUMBER(Scores!N30)),COUNTIFS(Scores!$B$5:$B$44,2,Scores!$C$5:$C$44,"Paper condition",Scores!N$5:N$44,"&lt;"&amp;Scores!N30)+0.5*COUNTIFS(Scores!$B$5:$B$44,2,Scores!$C$5:$C$44,"Paper condition",Scores!N$5:N$44,Scores!N30),"")</f>
        <v>4.5</v>
      </c>
      <c r="AX30" s="1" t="n">
        <f aca="false">IF(AND(Scores!$B30=2,OR(Scores!$C30="Tool condition",Scores!$C30="Paper condition"),ISNUMBER(Scores!N30)),(COUNTIFS(Scores!$B$5:$B$44,2,Scores!$C$5:$C$44,"Tool condition",Scores!N$5:N$44,Scores!N30)+COUNTIFS(Scores!$B$5:$B$44,2,Scores!$C$5:$C$44,"Paper condition",Scores!N$5:N$44,Scores!N30))^2-1,"")</f>
        <v>80</v>
      </c>
      <c r="AY30" s="1" t="n">
        <f aca="false">IF(ISNUMBER(Scores!N30),Scores!N30^2,"")</f>
        <v>1</v>
      </c>
      <c r="AZ30" s="1" t="str">
        <f aca="false">IF(AND(Scores!$B30=1,Scores!$C30="Tool condition",ISNUMBER(Scores!O30)),COUNTIFS(Scores!$B$5:$B$44,1,Scores!$C$5:$C$44,"Paper condition",Scores!O$5:O$44,"&lt;"&amp;Scores!O30)+0.5*COUNTIFS(Scores!$B$5:$B$44,1,Scores!$C$5:$C$44,"Paper condition",Scores!O$5:O$44,Scores!O30),"")</f>
        <v/>
      </c>
      <c r="BA30" s="1" t="str">
        <f aca="false">IF(AND(Scores!$B30=1,OR(Scores!$C30="Tool condition",Scores!$C30="Paper condition"),ISNUMBER(Scores!O30)),(COUNTIFS(Scores!$B$5:$B$44,1,Scores!$C$5:$C$44,"Tool condition",Scores!O$5:O$44,Scores!O30)+COUNTIFS(Scores!$B$5:$B$44,1,Scores!$C$5:$C$44,"Paper condition",Scores!O$5:O$44,Scores!O30))^2-1,"")</f>
        <v/>
      </c>
      <c r="BB30" s="1" t="n">
        <f aca="false">IF(AND(Scores!$B30=2,Scores!$C30="Tool condition",ISNUMBER(Scores!O30)),COUNTIFS(Scores!$B$5:$B$44,2,Scores!$C$5:$C$44,"Paper condition",Scores!O$5:O$44,"&lt;"&amp;Scores!O30)+0.5*COUNTIFS(Scores!$B$5:$B$44,2,Scores!$C$5:$C$44,"Paper condition",Scores!O$5:O$44,Scores!O30),"")</f>
        <v>10</v>
      </c>
      <c r="BC30" s="1" t="n">
        <f aca="false">IF(AND(Scores!$B30=2,OR(Scores!$C30="Tool condition",Scores!$C30="Paper condition"),ISNUMBER(Scores!O30)),(COUNTIFS(Scores!$B$5:$B$44,2,Scores!$C$5:$C$44,"Tool condition",Scores!O$5:O$44,Scores!O30)+COUNTIFS(Scores!$B$5:$B$44,2,Scores!$C$5:$C$44,"Paper condition",Scores!O$5:O$44,Scores!O30))^2-1,"")</f>
        <v>15</v>
      </c>
      <c r="BD30" s="1" t="n">
        <f aca="false">IF(ISNUMBER(Scores!O30),Scores!O30^2,"")</f>
        <v>4</v>
      </c>
      <c r="BE30" s="1" t="str">
        <f aca="false">IF(AND(Scores!$B30=1,Scores!$C30="Tool condition",ISNUMBER(Scores!P30)),COUNTIFS(Scores!$B$5:$B$44,1,Scores!$C$5:$C$44,"Paper condition",Scores!P$5:P$44,"&lt;"&amp;Scores!P30)+0.5*COUNTIFS(Scores!$B$5:$B$44,1,Scores!$C$5:$C$44,"Paper condition",Scores!P$5:P$44,Scores!P30),"")</f>
        <v/>
      </c>
      <c r="BF30" s="1" t="str">
        <f aca="false">IF(AND(Scores!$B30=1,OR(Scores!$C30="Tool condition",Scores!$C30="Paper condition"),ISNUMBER(Scores!P30)),(COUNTIFS(Scores!$B$5:$B$44,1,Scores!$C$5:$C$44,"Tool condition",Scores!P$5:P$44,Scores!P30)+COUNTIFS(Scores!$B$5:$B$44,1,Scores!$C$5:$C$44,"Paper condition",Scores!P$5:P$44,Scores!P30))^2-1,"")</f>
        <v/>
      </c>
      <c r="BG30" s="1" t="n">
        <f aca="false">IF(AND(Scores!$B30=2,Scores!$C30="Tool condition",ISNUMBER(Scores!P30)),COUNTIFS(Scores!$B$5:$B$44,2,Scores!$C$5:$C$44,"Paper condition",Scores!P$5:P$44,"&lt;"&amp;Scores!P30)+0.5*COUNTIFS(Scores!$B$5:$B$44,2,Scores!$C$5:$C$44,"Paper condition",Scores!P$5:P$44,Scores!P30),"")</f>
        <v>2.5</v>
      </c>
      <c r="BH30" s="1" t="n">
        <f aca="false">IF(AND(Scores!$B30=2,OR(Scores!$C30="Tool condition",Scores!$C30="Paper condition"),ISNUMBER(Scores!P30)),(COUNTIFS(Scores!$B$5:$B$44,2,Scores!$C$5:$C$44,"Tool condition",Scores!P$5:P$44,Scores!P30)+COUNTIFS(Scores!$B$5:$B$44,2,Scores!$C$5:$C$44,"Paper condition",Scores!P$5:P$44,Scores!P30))^2-1,"")</f>
        <v>63</v>
      </c>
      <c r="BI30" s="1" t="n">
        <f aca="false">IF(ISNUMBER(Scores!P30),Scores!P30^2,"")</f>
        <v>0</v>
      </c>
      <c r="BJ30" s="1" t="str">
        <f aca="false">IF(AND(R_Scores!$B30=1,R_Scores!$C30="Tool condition",ISNUMBER(R_Scores!E30)),COUNTIFS(R_Scores!$B$5:$B$44,1,R_Scores!$C$5:$C$44,"Paper condition",R_Scores!E$5:E$44,"&lt;"&amp;R_Scores!E30)+0.5*COUNTIFS(R_Scores!$B$5:$B$44,1,R_Scores!$C$5:$C$44,"Paper condition",R_Scores!E$5:E$44,R_Scores!E30),"")</f>
        <v/>
      </c>
      <c r="BK30" s="1" t="str">
        <f aca="false">IF(AND(R_Scores!$B30=1,OR(R_Scores!$C30="Tool condition",R_Scores!$C30="Paper condition"),ISNUMBER(R_Scores!E30)),(COUNTIFS(R_Scores!$B$5:$B$44,1,R_Scores!$C$5:$C$44,"Tool condition",R_Scores!E$5:E$44,R_Scores!E30)+COUNTIFS(R_Scores!$B$5:$B$44,1,R_Scores!$C$5:$C$44,"Paper condition",R_Scores!E$5:E$44,R_Scores!E30))^2-1,"")</f>
        <v/>
      </c>
      <c r="BL30" s="1" t="n">
        <f aca="false">IF(AND(R_Scores!$B30=2,R_Scores!$C30="Tool condition",ISNUMBER(R_Scores!E30)),COUNTIFS(R_Scores!$B$5:$B$44,2,R_Scores!$C$5:$C$44,"Paper condition",R_Scores!E$5:E$44,"&lt;"&amp;R_Scores!E30)+0.5*COUNTIFS(R_Scores!$B$5:$B$44,2,R_Scores!$C$5:$C$44,"Paper condition",R_Scores!E$5:E$44,R_Scores!E30),"")</f>
        <v>1.5</v>
      </c>
      <c r="BM30" s="1" t="n">
        <f aca="false">IF(AND(R_Scores!$B30=2,OR(R_Scores!$C30="Tool condition",R_Scores!$C30="Paper condition"),ISNUMBER(R_Scores!E30)),(COUNTIFS(R_Scores!$B$5:$B$44,2,R_Scores!$C$5:$C$44,"Tool condition",R_Scores!E$5:E$44,R_Scores!E30)+COUNTIFS(R_Scores!$B$5:$B$44,2,R_Scores!$C$5:$C$44,"Paper condition",R_Scores!E$5:E$44,R_Scores!E30))^2-1,"")</f>
        <v>24</v>
      </c>
      <c r="BN30" s="1" t="n">
        <f aca="false">IF(ISNUMBER(R_Scores!E30),R_Scores!E30^2,"")</f>
        <v>0</v>
      </c>
      <c r="BO30" s="1" t="str">
        <f aca="false">IF(AND(R_Scores!$B30=1,R_Scores!$C30="Tool condition",ISNUMBER(R_Scores!F30)),COUNTIFS(R_Scores!$B$5:$B$44,1,R_Scores!$C$5:$C$44,"Paper condition",R_Scores!F$5:F$44,"&lt;"&amp;R_Scores!F30)+0.5*COUNTIFS(R_Scores!$B$5:$B$44,1,R_Scores!$C$5:$C$44,"Paper condition",R_Scores!F$5:F$44,R_Scores!F30),"")</f>
        <v/>
      </c>
      <c r="BP30" s="1" t="str">
        <f aca="false">IF(AND(R_Scores!$B30=1,OR(R_Scores!$C30="Tool condition",R_Scores!$C30="Paper condition"),ISNUMBER(R_Scores!F30)),(COUNTIFS(R_Scores!$B$5:$B$44,1,R_Scores!$C$5:$C$44,"Tool condition",R_Scores!F$5:F$44,R_Scores!F30)+COUNTIFS(R_Scores!$B$5:$B$44,1,R_Scores!$C$5:$C$44,"Paper condition",R_Scores!F$5:F$44,R_Scores!F30))^2-1,"")</f>
        <v/>
      </c>
      <c r="BQ30" s="1" t="n">
        <f aca="false">IF(AND(R_Scores!$B30=2,R_Scores!$C30="Tool condition",ISNUMBER(R_Scores!F30)),COUNTIFS(R_Scores!$B$5:$B$44,2,R_Scores!$C$5:$C$44,"Paper condition",R_Scores!F$5:F$44,"&lt;"&amp;R_Scores!F30)+0.5*COUNTIFS(R_Scores!$B$5:$B$44,2,R_Scores!$C$5:$C$44,"Paper condition",R_Scores!F$5:F$44,R_Scores!F30),"")</f>
        <v>6.5</v>
      </c>
      <c r="BR30" s="1" t="n">
        <f aca="false">IF(AND(R_Scores!$B30=2,OR(R_Scores!$C30="Tool condition",R_Scores!$C30="Paper condition"),ISNUMBER(R_Scores!F30)),(COUNTIFS(R_Scores!$B$5:$B$44,2,R_Scores!$C$5:$C$44,"Tool condition",R_Scores!F$5:F$44,R_Scores!F30)+COUNTIFS(R_Scores!$B$5:$B$44,2,R_Scores!$C$5:$C$44,"Paper condition",R_Scores!F$5:F$44,R_Scores!F30))^2-1,"")</f>
        <v>195</v>
      </c>
      <c r="BS30" s="1" t="n">
        <f aca="false">IF(ISNUMBER(R_Scores!F30),R_Scores!F30^2,"")</f>
        <v>1</v>
      </c>
      <c r="BT30" s="1" t="str">
        <f aca="false">IF(AND(R_Scores!$B30=1,R_Scores!$C30="Tool condition",ISNUMBER(R_Scores!G30)),COUNTIFS(R_Scores!$B$5:$B$44,1,R_Scores!$C$5:$C$44,"Paper condition",R_Scores!G$5:G$44,"&lt;"&amp;R_Scores!G30)+0.5*COUNTIFS(R_Scores!$B$5:$B$44,1,R_Scores!$C$5:$C$44,"Paper condition",R_Scores!G$5:G$44,R_Scores!G30),"")</f>
        <v/>
      </c>
      <c r="BU30" s="1" t="str">
        <f aca="false">IF(AND(R_Scores!$B30=1,OR(R_Scores!$C30="Tool condition",R_Scores!$C30="Paper condition"),ISNUMBER(R_Scores!G30)),(COUNTIFS(R_Scores!$B$5:$B$44,1,R_Scores!$C$5:$C$44,"Tool condition",R_Scores!G$5:G$44,R_Scores!G30)+COUNTIFS(R_Scores!$B$5:$B$44,1,R_Scores!$C$5:$C$44,"Paper condition",R_Scores!G$5:G$44,R_Scores!G30))^2-1,"")</f>
        <v/>
      </c>
      <c r="BV30" s="1" t="str">
        <f aca="false">IF(AND(R_Scores!$B30=2,R_Scores!$C30="Tool condition",ISNUMBER(R_Scores!G30)),COUNTIFS(R_Scores!$B$5:$B$44,2,R_Scores!$C$5:$C$44,"Paper condition",R_Scores!G$5:G$44,"&lt;"&amp;R_Scores!G30)+0.5*COUNTIFS(R_Scores!$B$5:$B$44,2,R_Scores!$C$5:$C$44,"Paper condition",R_Scores!G$5:G$44,R_Scores!G30),"")</f>
        <v/>
      </c>
      <c r="BW30" s="1" t="str">
        <f aca="false">IF(AND(R_Scores!$B30=2,OR(R_Scores!$C30="Tool condition",R_Scores!$C30="Paper condition"),ISNUMBER(R_Scores!G30)),(COUNTIFS(R_Scores!$B$5:$B$44,2,R_Scores!$C$5:$C$44,"Tool condition",R_Scores!G$5:G$44,R_Scores!G30)+COUNTIFS(R_Scores!$B$5:$B$44,2,R_Scores!$C$5:$C$44,"Paper condition",R_Scores!G$5:G$44,R_Scores!G30))^2-1,"")</f>
        <v/>
      </c>
      <c r="BX30" s="1" t="str">
        <f aca="false">IF(ISNUMBER(R_Scores!G30),R_Scores!G30^2,"")</f>
        <v/>
      </c>
      <c r="BY30" s="1" t="str">
        <f aca="false">IF(AND(R_Scores!$B30=1,R_Scores!$C30="Tool condition",ISNUMBER(R_Scores!H30)),COUNTIFS(R_Scores!$B$5:$B$44,1,R_Scores!$C$5:$C$44,"Paper condition",R_Scores!H$5:H$44,"&lt;"&amp;R_Scores!H30)+0.5*COUNTIFS(R_Scores!$B$5:$B$44,1,R_Scores!$C$5:$C$44,"Paper condition",R_Scores!H$5:H$44,R_Scores!H30),"")</f>
        <v/>
      </c>
      <c r="BZ30" s="1" t="str">
        <f aca="false">IF(AND(R_Scores!$B30=1,OR(R_Scores!$C30="Tool condition",R_Scores!$C30="Paper condition"),ISNUMBER(R_Scores!H30)),(COUNTIFS(R_Scores!$B$5:$B$44,1,R_Scores!$C$5:$C$44,"Tool condition",R_Scores!H$5:H$44,R_Scores!H30)+COUNTIFS(R_Scores!$B$5:$B$44,1,R_Scores!$C$5:$C$44,"Paper condition",R_Scores!H$5:H$44,R_Scores!H30))^2-1,"")</f>
        <v/>
      </c>
      <c r="CA30" s="1" t="str">
        <f aca="false">IF(AND(R_Scores!$B30=2,R_Scores!$C30="Tool condition",ISNUMBER(R_Scores!H30)),COUNTIFS(R_Scores!$B$5:$B$44,2,R_Scores!$C$5:$C$44,"Paper condition",R_Scores!H$5:H$44,"&lt;"&amp;R_Scores!H30)+0.5*COUNTIFS(R_Scores!$B$5:$B$44,2,R_Scores!$C$5:$C$44,"Paper condition",R_Scores!H$5:H$44,R_Scores!H30),"")</f>
        <v/>
      </c>
      <c r="CB30" s="1" t="str">
        <f aca="false">IF(AND(R_Scores!$B30=2,OR(R_Scores!$C30="Tool condition",R_Scores!$C30="Paper condition"),ISNUMBER(R_Scores!H30)),(COUNTIFS(R_Scores!$B$5:$B$44,2,R_Scores!$C$5:$C$44,"Tool condition",R_Scores!H$5:H$44,R_Scores!H30)+COUNTIFS(R_Scores!$B$5:$B$44,2,R_Scores!$C$5:$C$44,"Paper condition",R_Scores!H$5:H$44,R_Scores!H30))^2-1,"")</f>
        <v/>
      </c>
      <c r="CC30" s="1" t="str">
        <f aca="false">IF(ISNUMBER(R_Scores!H30),R_Scores!H30^2,"")</f>
        <v/>
      </c>
      <c r="CD30" s="1" t="str">
        <f aca="false">IF(AND(R_Scores!$B30=1,R_Scores!$C30="Tool condition",ISNUMBER(R_Scores!I30)),COUNTIFS(R_Scores!$B$5:$B$44,1,R_Scores!$C$5:$C$44,"Paper condition",R_Scores!I$5:I$44,"&lt;"&amp;R_Scores!I30)+0.5*COUNTIFS(R_Scores!$B$5:$B$44,1,R_Scores!$C$5:$C$44,"Paper condition",R_Scores!I$5:I$44,R_Scores!I30),"")</f>
        <v/>
      </c>
      <c r="CE30" s="1" t="str">
        <f aca="false">IF(AND(R_Scores!$B30=1,OR(R_Scores!$C30="Tool condition",R_Scores!$C30="Paper condition"),ISNUMBER(R_Scores!I30)),(COUNTIFS(R_Scores!$B$5:$B$44,1,R_Scores!$C$5:$C$44,"Tool condition",R_Scores!I$5:I$44,R_Scores!I30)+COUNTIFS(R_Scores!$B$5:$B$44,1,R_Scores!$C$5:$C$44,"Paper condition",R_Scores!I$5:I$44,R_Scores!I30))^2-1,"")</f>
        <v/>
      </c>
      <c r="CF30" s="1" t="n">
        <f aca="false">IF(AND(R_Scores!$B30=2,R_Scores!$C30="Tool condition",ISNUMBER(R_Scores!I30)),COUNTIFS(R_Scores!$B$5:$B$44,2,R_Scores!$C$5:$C$44,"Paper condition",R_Scores!I$5:I$44,"&lt;"&amp;R_Scores!I30)+0.5*COUNTIFS(R_Scores!$B$5:$B$44,2,R_Scores!$C$5:$C$44,"Paper condition",R_Scores!I$5:I$44,R_Scores!I30),"")</f>
        <v>6</v>
      </c>
      <c r="CG30" s="1" t="n">
        <f aca="false">IF(AND(R_Scores!$B30=2,OR(R_Scores!$C30="Tool condition",R_Scores!$C30="Paper condition"),ISNUMBER(R_Scores!I30)),(COUNTIFS(R_Scores!$B$5:$B$44,2,R_Scores!$C$5:$C$44,"Tool condition",R_Scores!I$5:I$44,R_Scores!I30)+COUNTIFS(R_Scores!$B$5:$B$44,2,R_Scores!$C$5:$C$44,"Paper condition",R_Scores!I$5:I$44,R_Scores!I30))^2-1,"")</f>
        <v>255</v>
      </c>
      <c r="CH30" s="1" t="n">
        <f aca="false">IF(ISNUMBER(R_Scores!I30),R_Scores!I30^2,"")</f>
        <v>1</v>
      </c>
      <c r="CI30" s="1" t="str">
        <f aca="false">IF(AND(R_Scores!$B30=1,R_Scores!$C30="Tool condition",ISNUMBER(R_Scores!J30)),COUNTIFS(R_Scores!$B$5:$B$44,1,R_Scores!$C$5:$C$44,"Paper condition",R_Scores!J$5:J$44,"&lt;"&amp;R_Scores!J30)+0.5*COUNTIFS(R_Scores!$B$5:$B$44,1,R_Scores!$C$5:$C$44,"Paper condition",R_Scores!J$5:J$44,R_Scores!J30),"")</f>
        <v/>
      </c>
      <c r="CJ30" s="1" t="str">
        <f aca="false">IF(AND(R_Scores!$B30=1,OR(R_Scores!$C30="Tool condition",R_Scores!$C30="Paper condition"),ISNUMBER(R_Scores!J30)),(COUNTIFS(R_Scores!$B$5:$B$44,1,R_Scores!$C$5:$C$44,"Tool condition",R_Scores!J$5:J$44,R_Scores!J30)+COUNTIFS(R_Scores!$B$5:$B$44,1,R_Scores!$C$5:$C$44,"Paper condition",R_Scores!J$5:J$44,R_Scores!J30))^2-1,"")</f>
        <v/>
      </c>
      <c r="CK30" s="1" t="n">
        <f aca="false">IF(AND(R_Scores!$B30=2,R_Scores!$C30="Tool condition",ISNUMBER(R_Scores!J30)),COUNTIFS(R_Scores!$B$5:$B$44,2,R_Scores!$C$5:$C$44,"Paper condition",R_Scores!J$5:J$44,"&lt;"&amp;R_Scores!J30)+0.5*COUNTIFS(R_Scores!$B$5:$B$44,2,R_Scores!$C$5:$C$44,"Paper condition",R_Scores!J$5:J$44,R_Scores!J30),"")</f>
        <v>7</v>
      </c>
      <c r="CL30" s="1" t="n">
        <f aca="false">IF(AND(R_Scores!$B30=2,OR(R_Scores!$C30="Tool condition",R_Scores!$C30="Paper condition"),ISNUMBER(R_Scores!J30)),(COUNTIFS(R_Scores!$B$5:$B$44,2,R_Scores!$C$5:$C$44,"Tool condition",R_Scores!J$5:J$44,R_Scores!J30)+COUNTIFS(R_Scores!$B$5:$B$44,2,R_Scores!$C$5:$C$44,"Paper condition",R_Scores!J$5:J$44,R_Scores!J30))^2-1,"")</f>
        <v>195</v>
      </c>
      <c r="CM30" s="1" t="n">
        <f aca="false">IF(ISNUMBER(R_Scores!J30),R_Scores!J30^2,"")</f>
        <v>1</v>
      </c>
      <c r="CN30" s="1" t="str">
        <f aca="false">IF(AND(R_Scores!$B30=1,R_Scores!$C30="Tool condition",ISNUMBER(R_Scores!K30)),COUNTIFS(R_Scores!$B$5:$B$44,1,R_Scores!$C$5:$C$44,"Paper condition",R_Scores!K$5:K$44,"&lt;"&amp;R_Scores!K30)+0.5*COUNTIFS(R_Scores!$B$5:$B$44,1,R_Scores!$C$5:$C$44,"Paper condition",R_Scores!K$5:K$44,R_Scores!K30),"")</f>
        <v/>
      </c>
      <c r="CO30" s="1" t="str">
        <f aca="false">IF(AND(R_Scores!$B30=1,OR(R_Scores!$C30="Tool condition",R_Scores!$C30="Paper condition"),ISNUMBER(R_Scores!K30)),(COUNTIFS(R_Scores!$B$5:$B$44,1,R_Scores!$C$5:$C$44,"Tool condition",R_Scores!K$5:K$44,R_Scores!K30)+COUNTIFS(R_Scores!$B$5:$B$44,1,R_Scores!$C$5:$C$44,"Paper condition",R_Scores!K$5:K$44,R_Scores!K30))^2-1,"")</f>
        <v/>
      </c>
      <c r="CP30" s="1" t="str">
        <f aca="false">IF(AND(R_Scores!$B30=2,R_Scores!$C30="Tool condition",ISNUMBER(R_Scores!K30)),COUNTIFS(R_Scores!$B$5:$B$44,2,R_Scores!$C$5:$C$44,"Paper condition",R_Scores!K$5:K$44,"&lt;"&amp;R_Scores!K30)+0.5*COUNTIFS(R_Scores!$B$5:$B$44,2,R_Scores!$C$5:$C$44,"Paper condition",R_Scores!K$5:K$44,R_Scores!K30),"")</f>
        <v/>
      </c>
      <c r="CQ30" s="1" t="str">
        <f aca="false">IF(AND(R_Scores!$B30=2,OR(R_Scores!$C30="Tool condition",R_Scores!$C30="Paper condition"),ISNUMBER(R_Scores!K30)),(COUNTIFS(R_Scores!$B$5:$B$44,2,R_Scores!$C$5:$C$44,"Tool condition",R_Scores!K$5:K$44,R_Scores!K30)+COUNTIFS(R_Scores!$B$5:$B$44,2,R_Scores!$C$5:$C$44,"Paper condition",R_Scores!K$5:K$44,R_Scores!K30))^2-1,"")</f>
        <v/>
      </c>
      <c r="CR30" s="1" t="str">
        <f aca="false">IF(ISNUMBER(R_Scores!K30),R_Scores!K30^2,"")</f>
        <v/>
      </c>
      <c r="CS30" s="1" t="str">
        <f aca="false">IF(AND(R_Scores!$B30=1,R_Scores!$C30="Tool condition",ISNUMBER(R_Scores!L30)),COUNTIFS(R_Scores!$B$5:$B$44,1,R_Scores!$C$5:$C$44,"Paper condition",R_Scores!L$5:L$44,"&lt;"&amp;R_Scores!L30)+0.5*COUNTIFS(R_Scores!$B$5:$B$44,1,R_Scores!$C$5:$C$44,"Paper condition",R_Scores!L$5:L$44,R_Scores!L30),"")</f>
        <v/>
      </c>
      <c r="CT30" s="1" t="str">
        <f aca="false">IF(AND(R_Scores!$B30=1,OR(R_Scores!$C30="Tool condition",R_Scores!$C30="Paper condition"),ISNUMBER(R_Scores!L30)),(COUNTIFS(R_Scores!$B$5:$B$44,1,R_Scores!$C$5:$C$44,"Tool condition",R_Scores!L$5:L$44,R_Scores!L30)+COUNTIFS(R_Scores!$B$5:$B$44,1,R_Scores!$C$5:$C$44,"Paper condition",R_Scores!L$5:L$44,R_Scores!L30))^2-1,"")</f>
        <v/>
      </c>
      <c r="CU30" s="1" t="str">
        <f aca="false">IF(AND(R_Scores!$B30=2,R_Scores!$C30="Tool condition",ISNUMBER(R_Scores!L30)),COUNTIFS(R_Scores!$B$5:$B$44,2,R_Scores!$C$5:$C$44,"Paper condition",R_Scores!L$5:L$44,"&lt;"&amp;R_Scores!L30)+0.5*COUNTIFS(R_Scores!$B$5:$B$44,2,R_Scores!$C$5:$C$44,"Paper condition",R_Scores!L$5:L$44,R_Scores!L30),"")</f>
        <v/>
      </c>
      <c r="CV30" s="1" t="str">
        <f aca="false">IF(AND(R_Scores!$B30=2,OR(R_Scores!$C30="Tool condition",R_Scores!$C30="Paper condition"),ISNUMBER(R_Scores!L30)),(COUNTIFS(R_Scores!$B$5:$B$44,2,R_Scores!$C$5:$C$44,"Tool condition",R_Scores!L$5:L$44,R_Scores!L30)+COUNTIFS(R_Scores!$B$5:$B$44,2,R_Scores!$C$5:$C$44,"Paper condition",R_Scores!L$5:L$44,R_Scores!L30))^2-1,"")</f>
        <v/>
      </c>
      <c r="CW30" s="1" t="str">
        <f aca="false">IF(ISNUMBER(R_Scores!L30),R_Scores!L30^2,"")</f>
        <v/>
      </c>
      <c r="CX30" s="1" t="str">
        <f aca="false">IF(AND(R_Scores!$B30=1,R_Scores!$C30="Tool condition",ISNUMBER(R_Scores!M30)),COUNTIFS(R_Scores!$B$5:$B$44,1,R_Scores!$C$5:$C$44,"Paper condition",R_Scores!M$5:M$44,"&lt;"&amp;R_Scores!M30)+0.5*COUNTIFS(R_Scores!$B$5:$B$44,1,R_Scores!$C$5:$C$44,"Paper condition",R_Scores!M$5:M$44,R_Scores!M30),"")</f>
        <v/>
      </c>
      <c r="CY30" s="1" t="str">
        <f aca="false">IF(AND(R_Scores!$B30=1,OR(R_Scores!$C30="Tool condition",R_Scores!$C30="Paper condition"),ISNUMBER(R_Scores!M30)),(COUNTIFS(R_Scores!$B$5:$B$44,1,R_Scores!$C$5:$C$44,"Tool condition",R_Scores!M$5:M$44,R_Scores!M30)+COUNTIFS(R_Scores!$B$5:$B$44,1,R_Scores!$C$5:$C$44,"Paper condition",R_Scores!M$5:M$44,R_Scores!M30))^2-1,"")</f>
        <v/>
      </c>
      <c r="CZ30" s="1" t="str">
        <f aca="false">IF(AND(R_Scores!$B30=2,R_Scores!$C30="Tool condition",ISNUMBER(R_Scores!M30)),COUNTIFS(R_Scores!$B$5:$B$44,2,R_Scores!$C$5:$C$44,"Paper condition",R_Scores!M$5:M$44,"&lt;"&amp;R_Scores!M30)+0.5*COUNTIFS(R_Scores!$B$5:$B$44,2,R_Scores!$C$5:$C$44,"Paper condition",R_Scores!M$5:M$44,R_Scores!M30),"")</f>
        <v/>
      </c>
      <c r="DA30" s="1" t="str">
        <f aca="false">IF(AND(R_Scores!$B30=2,OR(R_Scores!$C30="Tool condition",R_Scores!$C30="Paper condition"),ISNUMBER(R_Scores!M30)),(COUNTIFS(R_Scores!$B$5:$B$44,2,R_Scores!$C$5:$C$44,"Tool condition",R_Scores!M$5:M$44,R_Scores!M30)+COUNTIFS(R_Scores!$B$5:$B$44,2,R_Scores!$C$5:$C$44,"Paper condition",R_Scores!M$5:M$44,R_Scores!M30))^2-1,"")</f>
        <v/>
      </c>
      <c r="DB30" s="1" t="str">
        <f aca="false">IF(ISNUMBER(R_Scores!M30),R_Scores!M30^2,"")</f>
        <v/>
      </c>
      <c r="DC30" s="1" t="str">
        <f aca="false">IF(AND(R_Scores!$B30=1,R_Scores!$C30="Tool condition",ISNUMBER(R_Scores!N30)),COUNTIFS(R_Scores!$B$5:$B$44,1,R_Scores!$C$5:$C$44,"Paper condition",R_Scores!N$5:N$44,"&lt;"&amp;R_Scores!N30)+0.5*COUNTIFS(R_Scores!$B$5:$B$44,1,R_Scores!$C$5:$C$44,"Paper condition",R_Scores!N$5:N$44,R_Scores!N30),"")</f>
        <v/>
      </c>
      <c r="DD30" s="1" t="str">
        <f aca="false">IF(AND(R_Scores!$B30=1,OR(R_Scores!$C30="Tool condition",R_Scores!$C30="Paper condition"),ISNUMBER(R_Scores!N30)),(COUNTIFS(R_Scores!$B$5:$B$44,1,R_Scores!$C$5:$C$44,"Tool condition",R_Scores!N$5:N$44,R_Scores!N30)+COUNTIFS(R_Scores!$B$5:$B$44,1,R_Scores!$C$5:$C$44,"Paper condition",R_Scores!N$5:N$44,R_Scores!N30))^2-1,"")</f>
        <v/>
      </c>
      <c r="DE30" s="1" t="n">
        <f aca="false">IF(AND(R_Scores!$B30=2,R_Scores!$C30="Tool condition",ISNUMBER(R_Scores!N30)),COUNTIFS(R_Scores!$B$5:$B$44,2,R_Scores!$C$5:$C$44,"Paper condition",R_Scores!N$5:N$44,"&lt;"&amp;R_Scores!N30)+0.5*COUNTIFS(R_Scores!$B$5:$B$44,2,R_Scores!$C$5:$C$44,"Paper condition",R_Scores!N$5:N$44,R_Scores!N30),"")</f>
        <v>8</v>
      </c>
      <c r="DF30" s="1" t="n">
        <f aca="false">IF(AND(R_Scores!$B30=2,OR(R_Scores!$C30="Tool condition",R_Scores!$C30="Paper condition"),ISNUMBER(R_Scores!N30)),(COUNTIFS(R_Scores!$B$5:$B$44,2,R_Scores!$C$5:$C$44,"Tool condition",R_Scores!N$5:N$44,R_Scores!N30)+COUNTIFS(R_Scores!$B$5:$B$44,2,R_Scores!$C$5:$C$44,"Paper condition",R_Scores!N$5:N$44,R_Scores!N30))^2-1,"")</f>
        <v>143</v>
      </c>
      <c r="DG30" s="1" t="n">
        <f aca="false">IF(ISNUMBER(R_Scores!N30),R_Scores!N30^2,"")</f>
        <v>1</v>
      </c>
      <c r="DH30" s="1" t="str">
        <f aca="false">IF(AND(R_Scores!$B30=1,R_Scores!$C30="Tool condition",ISNUMBER(R_Scores!O30)),COUNTIFS(R_Scores!$B$5:$B$44,1,R_Scores!$C$5:$C$44,"Paper condition",R_Scores!O$5:O$44,"&lt;"&amp;R_Scores!O30)+0.5*COUNTIFS(R_Scores!$B$5:$B$44,1,R_Scores!$C$5:$C$44,"Paper condition",R_Scores!O$5:O$44,R_Scores!O30),"")</f>
        <v/>
      </c>
      <c r="DI30" s="1" t="str">
        <f aca="false">IF(AND(R_Scores!$B30=1,OR(R_Scores!$C30="Tool condition",R_Scores!$C30="Paper condition"),ISNUMBER(R_Scores!O30)),(COUNTIFS(R_Scores!$B$5:$B$44,1,R_Scores!$C$5:$C$44,"Tool condition",R_Scores!O$5:O$44,R_Scores!O30)+COUNTIFS(R_Scores!$B$5:$B$44,1,R_Scores!$C$5:$C$44,"Paper condition",R_Scores!O$5:O$44,R_Scores!O30))^2-1,"")</f>
        <v/>
      </c>
      <c r="DJ30" s="1" t="n">
        <f aca="false">IF(AND(R_Scores!$B30=2,R_Scores!$C30="Tool condition",ISNUMBER(R_Scores!O30)),COUNTIFS(R_Scores!$B$5:$B$44,2,R_Scores!$C$5:$C$44,"Paper condition",R_Scores!O$5:O$44,"&lt;"&amp;R_Scores!O30)+0.5*COUNTIFS(R_Scores!$B$5:$B$44,2,R_Scores!$C$5:$C$44,"Paper condition",R_Scores!O$5:O$44,R_Scores!O30),"")</f>
        <v>2</v>
      </c>
      <c r="DK30" s="1" t="n">
        <f aca="false">IF(AND(R_Scores!$B30=2,OR(R_Scores!$C30="Tool condition",R_Scores!$C30="Paper condition"),ISNUMBER(R_Scores!O30)),(COUNTIFS(R_Scores!$B$5:$B$44,2,R_Scores!$C$5:$C$44,"Tool condition",R_Scores!O$5:O$44,R_Scores!O30)+COUNTIFS(R_Scores!$B$5:$B$44,2,R_Scores!$C$5:$C$44,"Paper condition",R_Scores!O$5:O$44,R_Scores!O30))^2-1,"")</f>
        <v>48</v>
      </c>
      <c r="DL30" s="1" t="n">
        <f aca="false">IF(ISNUMBER(R_Scores!O30),R_Scores!O30^2,"")</f>
        <v>0</v>
      </c>
      <c r="DM30" s="1" t="str">
        <f aca="false">IF(AND(R_Scores!$B30=1,R_Scores!$C30="Tool condition",ISNUMBER(R_Scores!P30)),COUNTIFS(R_Scores!$B$5:$B$44,1,R_Scores!$C$5:$C$44,"Paper condition",R_Scores!P$5:P$44,"&lt;"&amp;R_Scores!P30)+0.5*COUNTIFS(R_Scores!$B$5:$B$44,1,R_Scores!$C$5:$C$44,"Paper condition",R_Scores!P$5:P$44,R_Scores!P30),"")</f>
        <v/>
      </c>
      <c r="DN30" s="1" t="str">
        <f aca="false">IF(AND(R_Scores!$B30=1,OR(R_Scores!$C30="Tool condition",R_Scores!$C30="Paper condition"),ISNUMBER(R_Scores!P30)),(COUNTIFS(R_Scores!$B$5:$B$44,1,R_Scores!$C$5:$C$44,"Tool condition",R_Scores!P$5:P$44,R_Scores!P30)+COUNTIFS(R_Scores!$B$5:$B$44,1,R_Scores!$C$5:$C$44,"Paper condition",R_Scores!P$5:P$44,R_Scores!P30))^2-1,"")</f>
        <v/>
      </c>
      <c r="DO30" s="1" t="n">
        <f aca="false">IF(AND(R_Scores!$B30=2,R_Scores!$C30="Tool condition",ISNUMBER(R_Scores!P30)),COUNTIFS(R_Scores!$B$5:$B$44,2,R_Scores!$C$5:$C$44,"Paper condition",R_Scores!P$5:P$44,"&lt;"&amp;R_Scores!P30)+0.5*COUNTIFS(R_Scores!$B$5:$B$44,2,R_Scores!$C$5:$C$44,"Paper condition",R_Scores!P$5:P$44,R_Scores!P30),"")</f>
        <v>9.5</v>
      </c>
      <c r="DP30" s="1" t="n">
        <f aca="false">IF(AND(R_Scores!$B30=2,OR(R_Scores!$C30="Tool condition",R_Scores!$C30="Paper condition"),ISNUMBER(R_Scores!P30)),(COUNTIFS(R_Scores!$B$5:$B$44,2,R_Scores!$C$5:$C$44,"Tool condition",R_Scores!P$5:P$44,R_Scores!P30)+COUNTIFS(R_Scores!$B$5:$B$44,2,R_Scores!$C$5:$C$44,"Paper condition",R_Scores!P$5:P$44,R_Scores!P30))^2-1,"")</f>
        <v>48</v>
      </c>
      <c r="DQ30" s="1" t="n">
        <f aca="false">IF(ISNUMBER(R_Scores!P30),R_Scores!P30^2,"")</f>
        <v>1</v>
      </c>
      <c r="DR30" s="1" t="str">
        <f aca="false">IF(AND(Scores!$B30=1,Scores!$C30="Tool condition",ISNUMBER(Scores!Q30)),COUNTIFS(Scores!$B$5:$B$44,1,Scores!$C$5:$C$44,"Paper condition",Scores!Q$5:Q$44,"&lt;"&amp;Scores!Q30)+0.5*COUNTIFS(Scores!$B$5:$B$44,1,Scores!$C$5:$C$44,"Paper condition",Scores!Q$5:Q$44,Scores!Q30),"")</f>
        <v/>
      </c>
      <c r="DS30" s="1" t="str">
        <f aca="false">IF(AND(Scores!$B30=1,OR(Scores!$C30="Tool condition",Scores!$C30="Paper condition"),ISNUMBER(Scores!Q30)),(COUNTIFS(Scores!$B$5:$B$44,1,Scores!$C$5:$C$44,"Tool condition",Scores!Q$5:Q$44,Scores!Q30)+COUNTIFS(Scores!$B$5:$B$44,1,Scores!$C$5:$C$44,"Paper condition",Scores!Q$5:Q$44,Scores!Q30))^2-1,"")</f>
        <v/>
      </c>
      <c r="DT30" s="1" t="n">
        <f aca="false">IF(AND(Scores!$B30=2,Scores!$C30="Tool condition",ISNUMBER(Scores!Q30)),COUNTIFS(Scores!$B$5:$B$44,2,Scores!$C$5:$C$44,"Paper condition",Scores!Q$5:Q$44,"&lt;"&amp;Scores!Q30)+0.5*COUNTIFS(Scores!$B$5:$B$44,2,Scores!$C$5:$C$44,"Paper condition",Scores!Q$5:Q$44,Scores!Q30),"")</f>
        <v>9</v>
      </c>
      <c r="DU30" s="1" t="n">
        <f aca="false">IF(AND(Scores!$B30=2,OR(Scores!$C30="Tool condition",Scores!$C30="Paper condition"),ISNUMBER(Scores!Q30)),(COUNTIFS(Scores!$B$5:$B$44,2,Scores!$C$5:$C$44,"Tool condition",Scores!Q$5:Q$44,Scores!Q30)+COUNTIFS(Scores!$B$5:$B$44,2,Scores!$C$5:$C$44,"Paper condition",Scores!Q$5:Q$44,Scores!Q30))^2-1,"")</f>
        <v>15</v>
      </c>
      <c r="DV30" s="1" t="n">
        <f aca="false">IF(ISNUMBER(Scores!Q30),Scores!Q30^2,"")</f>
        <v>324</v>
      </c>
      <c r="DW30" s="1" t="str">
        <f aca="false">IF(AND(Scores!$B30=1,Scores!$C30="Tool condition",ISNUMBER(Scores!R30)),COUNTIFS(Scores!$B$5:$B$44,1,Scores!$C$5:$C$44,"Paper condition",Scores!R$5:R$44,"&lt;"&amp;Scores!R30)+0.5*COUNTIFS(Scores!$B$5:$B$44,1,Scores!$C$5:$C$44,"Paper condition",Scores!R$5:R$44,Scores!R30),"")</f>
        <v/>
      </c>
      <c r="DX30" s="1" t="str">
        <f aca="false">IF(AND(Scores!$B30=1,OR(Scores!$C30="Tool condition",Scores!$C30="Paper condition"),ISNUMBER(Scores!R30)),(COUNTIFS(Scores!$B$5:$B$44,1,Scores!$C$5:$C$44,"Tool condition",Scores!R$5:R$44,Scores!R30)+COUNTIFS(Scores!$B$5:$B$44,1,Scores!$C$5:$C$44,"Paper condition",Scores!R$5:R$44,Scores!R30))^2-1,"")</f>
        <v/>
      </c>
      <c r="DY30" s="1" t="n">
        <f aca="false">IF(AND(Scores!$B30=2,Scores!$C30="Tool condition",ISNUMBER(Scores!R30)),COUNTIFS(Scores!$B$5:$B$44,2,Scores!$C$5:$C$44,"Paper condition",Scores!R$5:R$44,"&lt;"&amp;Scores!R30)+0.5*COUNTIFS(Scores!$B$5:$B$44,2,Scores!$C$5:$C$44,"Paper condition",Scores!R$5:R$44,Scores!R30),"")</f>
        <v>8.5</v>
      </c>
      <c r="DZ30" s="1" t="n">
        <f aca="false">IF(AND(Scores!$B30=2,OR(Scores!$C30="Tool condition",Scores!$C30="Paper condition"),ISNUMBER(Scores!R30)),(COUNTIFS(Scores!$B$5:$B$44,2,Scores!$C$5:$C$44,"Tool condition",Scores!R$5:R$44,Scores!R30)+COUNTIFS(Scores!$B$5:$B$44,2,Scores!$C$5:$C$44,"Paper condition",Scores!R$5:R$44,Scores!R30))^2-1,"")</f>
        <v>80</v>
      </c>
      <c r="EA30" s="1" t="n">
        <f aca="false">IF(ISNUMBER(Scores!R30),Scores!R30^2,"")</f>
        <v>100</v>
      </c>
      <c r="EB30" s="1" t="str">
        <f aca="false">IF(AND(Scores!$B30=1,Scores!$C30="Tool condition",ISNUMBER(Scores!S30)),COUNTIFS(Scores!$B$5:$B$44,1,Scores!$C$5:$C$44,"Paper condition",Scores!S$5:S$44,"&lt;"&amp;Scores!S30)+0.5*COUNTIFS(Scores!$B$5:$B$44,1,Scores!$C$5:$C$44,"Paper condition",Scores!S$5:S$44,Scores!S30),"")</f>
        <v/>
      </c>
      <c r="EC30" s="1" t="str">
        <f aca="false">IF(AND(Scores!$B30=1,OR(Scores!$C30="Tool condition",Scores!$C30="Paper condition"),ISNUMBER(Scores!S30)),(COUNTIFS(Scores!$B$5:$B$44,1,Scores!$C$5:$C$44,"Tool condition",Scores!S$5:S$44,Scores!S30)+COUNTIFS(Scores!$B$5:$B$44,1,Scores!$C$5:$C$44,"Paper condition",Scores!S$5:S$44,Scores!S30))^2-1,"")</f>
        <v/>
      </c>
      <c r="ED30" s="1" t="n">
        <f aca="false">IF(AND(Scores!$B30=2,Scores!$C30="Tool condition",ISNUMBER(Scores!S30)),COUNTIFS(Scores!$B$5:$B$44,2,Scores!$C$5:$C$44,"Paper condition",Scores!S$5:S$44,"&lt;"&amp;Scores!S30)+0.5*COUNTIFS(Scores!$B$5:$B$44,2,Scores!$C$5:$C$44,"Paper condition",Scores!S$5:S$44,Scores!S30),"")</f>
        <v>8</v>
      </c>
      <c r="EE30" s="1" t="n">
        <f aca="false">IF(AND(Scores!$B30=2,OR(Scores!$C30="Tool condition",Scores!$C30="Paper condition"),ISNUMBER(Scores!S30)),(COUNTIFS(Scores!$B$5:$B$44,2,Scores!$C$5:$C$44,"Tool condition",Scores!S$5:S$44,Scores!S30)+COUNTIFS(Scores!$B$5:$B$44,2,Scores!$C$5:$C$44,"Paper condition",Scores!S$5:S$44,Scores!S30))^2-1,"")</f>
        <v>63</v>
      </c>
      <c r="EF30" s="1" t="n">
        <f aca="false">IF(ISNUMBER(Scores!S30),Scores!S30^2,"")</f>
        <v>64</v>
      </c>
      <c r="EG30" s="1" t="str">
        <f aca="false">IF(AND(Scores!$B30=1,Scores!$C30="Tool condition",ISNUMBER(Scores!T30)),COUNTIFS(Scores!$B$5:$B$44,1,Scores!$C$5:$C$44,"Paper condition",Scores!T$5:T$44,"&lt;"&amp;Scores!T30)+0.5*COUNTIFS(Scores!$B$5:$B$44,1,Scores!$C$5:$C$44,"Paper condition",Scores!T$5:T$44,Scores!T30),"")</f>
        <v/>
      </c>
      <c r="EH30" s="1" t="str">
        <f aca="false">IF(AND(Scores!$B30=1,OR(Scores!$C30="Tool condition",Scores!$C30="Paper condition"),ISNUMBER(Scores!T30)),(COUNTIFS(Scores!$B$5:$B$44,1,Scores!$C$5:$C$44,"Tool condition",Scores!T$5:T$44,Scores!T30)+COUNTIFS(Scores!$B$5:$B$44,1,Scores!$C$5:$C$44,"Paper condition",Scores!T$5:T$44,Scores!T30))^2-1,"")</f>
        <v/>
      </c>
      <c r="EI30" s="1" t="n">
        <f aca="false">IF(AND(Scores!$B30=2,Scores!$C30="Tool condition",ISNUMBER(Scores!T30)),COUNTIFS(Scores!$B$5:$B$44,2,Scores!$C$5:$C$44,"Paper condition",Scores!T$5:T$44,"&lt;"&amp;Scores!T30)+0.5*COUNTIFS(Scores!$B$5:$B$44,2,Scores!$C$5:$C$44,"Paper condition",Scores!T$5:T$44,Scores!T30),"")</f>
        <v>9</v>
      </c>
      <c r="EJ30" s="1" t="n">
        <f aca="false">IF(AND(Scores!$B30=2,OR(Scores!$C30="Tool condition",Scores!$C30="Paper condition"),ISNUMBER(Scores!T30)),(COUNTIFS(Scores!$B$5:$B$44,2,Scores!$C$5:$C$44,"Tool condition",Scores!T$5:T$44,Scores!T30)+COUNTIFS(Scores!$B$5:$B$44,2,Scores!$C$5:$C$44,"Paper condition",Scores!T$5:T$44,Scores!T30))^2-1,"")</f>
        <v>15</v>
      </c>
      <c r="EK30" s="1" t="n">
        <f aca="false">IF(ISNUMBER(Scores!T30),Scores!T30^2,"")</f>
        <v>49</v>
      </c>
      <c r="EL30" s="1" t="str">
        <f aca="false">IF(AND(Scores!$B30=1,Scores!$C30="Tool condition",ISNUMBER(Scores!U30)),COUNTIFS(Scores!$B$5:$B$44,1,Scores!$C$5:$C$44,"Paper condition",Scores!U$5:U$44,"&lt;"&amp;Scores!U30)+0.5*COUNTIFS(Scores!$B$5:$B$44,1,Scores!$C$5:$C$44,"Paper condition",Scores!U$5:U$44,Scores!U30),"")</f>
        <v/>
      </c>
      <c r="EM30" s="1" t="str">
        <f aca="false">IF(AND(Scores!$B30=1,OR(Scores!$C30="Tool condition",Scores!$C30="Paper condition"),ISNUMBER(Scores!U30)),(COUNTIFS(Scores!$B$5:$B$44,1,Scores!$C$5:$C$44,"Tool condition",Scores!U$5:U$44,Scores!U30)+COUNTIFS(Scores!$B$5:$B$44,1,Scores!$C$5:$C$44,"Paper condition",Scores!U$5:U$44,Scores!U30))^2-1,"")</f>
        <v/>
      </c>
      <c r="EN30" s="1" t="n">
        <f aca="false">IF(AND(Scores!$B30=2,Scores!$C30="Tool condition",ISNUMBER(Scores!U30)),COUNTIFS(Scores!$B$5:$B$44,2,Scores!$C$5:$C$44,"Paper condition",Scores!U$5:U$44,"&lt;"&amp;Scores!U30)+0.5*COUNTIFS(Scores!$B$5:$B$44,2,Scores!$C$5:$C$44,"Paper condition",Scores!U$5:U$44,Scores!U30),"")</f>
        <v>10</v>
      </c>
      <c r="EO30" s="1" t="n">
        <f aca="false">IF(AND(Scores!$B30=2,OR(Scores!$C30="Tool condition",Scores!$C30="Paper condition"),ISNUMBER(Scores!U30)),(COUNTIFS(Scores!$B$5:$B$44,2,Scores!$C$5:$C$44,"Tool condition",Scores!U$5:U$44,Scores!U30)+COUNTIFS(Scores!$B$5:$B$44,2,Scores!$C$5:$C$44,"Paper condition",Scores!U$5:U$44,Scores!U30))^2-1,"")</f>
        <v>3</v>
      </c>
      <c r="EP30" s="1" t="n">
        <f aca="false">IF(ISNUMBER(Scores!U30),Scores!U30^2,"")</f>
        <v>36</v>
      </c>
      <c r="EQ30" s="1" t="str">
        <f aca="false">IF(AND(Scores!$B30=1,Scores!$C30="Tool condition",ISNUMBER(Scores!V30)),COUNTIFS(Scores!$B$5:$B$44,1,Scores!$C$5:$C$44,"Paper condition",Scores!V$5:V$44,"&lt;"&amp;Scores!V30)+0.5*COUNTIFS(Scores!$B$5:$B$44,1,Scores!$C$5:$C$44,"Paper condition",Scores!V$5:V$44,Scores!V30),"")</f>
        <v/>
      </c>
      <c r="ER30" s="1" t="str">
        <f aca="false">IF(AND(Scores!$B30=1,OR(Scores!$C30="Tool condition",Scores!$C30="Paper condition"),ISNUMBER(Scores!V30)),(COUNTIFS(Scores!$B$5:$B$44,1,Scores!$C$5:$C$44,"Tool condition",Scores!V$5:V$44,Scores!V30)+COUNTIFS(Scores!$B$5:$B$44,1,Scores!$C$5:$C$44,"Paper condition",Scores!V$5:V$44,Scores!V30))^2-1,"")</f>
        <v/>
      </c>
      <c r="ES30" s="1" t="n">
        <f aca="false">IF(AND(Scores!$B30=2,Scores!$C30="Tool condition",ISNUMBER(Scores!V30)),COUNTIFS(Scores!$B$5:$B$44,2,Scores!$C$5:$C$44,"Paper condition",Scores!V$5:V$44,"&lt;"&amp;Scores!V30)+0.5*COUNTIFS(Scores!$B$5:$B$44,2,Scores!$C$5:$C$44,"Paper condition",Scores!V$5:V$44,Scores!V30),"")</f>
        <v>3</v>
      </c>
      <c r="ET30" s="1" t="n">
        <f aca="false">IF(AND(Scores!$B30=2,OR(Scores!$C30="Tool condition",Scores!$C30="Paper condition"),ISNUMBER(Scores!V30)),(COUNTIFS(Scores!$B$5:$B$44,2,Scores!$C$5:$C$44,"Tool condition",Scores!V$5:V$44,Scores!V30)+COUNTIFS(Scores!$B$5:$B$44,2,Scores!$C$5:$C$44,"Paper condition",Scores!V$5:V$44,Scores!V30))^2-1,"")</f>
        <v>15</v>
      </c>
      <c r="EU30" s="1" t="n">
        <f aca="false">IF(ISNUMBER(Scores!V30),Scores!V30^2,"")</f>
        <v>25</v>
      </c>
      <c r="EV30" s="1" t="str">
        <f aca="false">IF(AND(R_Scores!$B30=1,R_Scores!$C30="Tool condition",ISNUMBER(R_Scores!Q30)),COUNTIFS(R_Scores!$B$5:$B$44,1,R_Scores!$C$5:$C$44,"Paper condition",R_Scores!Q$5:Q$44,"&lt;"&amp;R_Scores!Q30)+0.5*COUNTIFS(R_Scores!$B$5:$B$44,1,R_Scores!$C$5:$C$44,"Paper condition",R_Scores!Q$5:Q$44,R_Scores!Q30),"")</f>
        <v/>
      </c>
      <c r="EW30" s="1" t="str">
        <f aca="false">IF(AND(R_Scores!$B30=1,OR(R_Scores!$C30="Tool condition",R_Scores!$C30="Paper condition"),ISNUMBER(R_Scores!Q30)),(COUNTIFS(R_Scores!$B$5:$B$44,1,R_Scores!$C$5:$C$44,"Tool condition",R_Scores!Q$5:Q$44,R_Scores!Q30)+COUNTIFS(R_Scores!$B$5:$B$44,1,R_Scores!$C$5:$C$44,"Paper condition",R_Scores!Q$5:Q$44,R_Scores!Q30))^2-1,"")</f>
        <v/>
      </c>
      <c r="EX30" s="1" t="n">
        <f aca="false">IF(AND(R_Scores!$B30=2,R_Scores!$C30="Tool condition",ISNUMBER(R_Scores!Q30)),COUNTIFS(R_Scores!$B$5:$B$44,2,R_Scores!$C$5:$C$44,"Paper condition",R_Scores!Q$5:Q$44,"&lt;"&amp;R_Scores!Q30)+0.5*COUNTIFS(R_Scores!$B$5:$B$44,2,R_Scores!$C$5:$C$44,"Paper condition",R_Scores!Q$5:Q$44,R_Scores!Q30),"")</f>
        <v>8.5</v>
      </c>
      <c r="EY30" s="1" t="n">
        <f aca="false">IF(AND(R_Scores!$B30=2,OR(R_Scores!$C30="Tool condition",R_Scores!$C30="Paper condition"),ISNUMBER(R_Scores!Q30)),(COUNTIFS(R_Scores!$B$5:$B$44,2,R_Scores!$C$5:$C$44,"Tool condition",R_Scores!Q$5:Q$44,R_Scores!Q30)+COUNTIFS(R_Scores!$B$5:$B$44,2,R_Scores!$C$5:$C$44,"Paper condition",R_Scores!Q$5:Q$44,R_Scores!Q30))^2-1,"")</f>
        <v>143</v>
      </c>
      <c r="EZ30" s="1" t="n">
        <f aca="false">IF(ISNUMBER(R_Scores!Q30),R_Scores!Q30^2,"")</f>
        <v>25</v>
      </c>
      <c r="FA30" s="1" t="str">
        <f aca="false">IF(AND(R_Scores!$B30=1,R_Scores!$C30="Tool condition",ISNUMBER(R_Scores!R30)),COUNTIFS(R_Scores!$B$5:$B$44,1,R_Scores!$C$5:$C$44,"Paper condition",R_Scores!R$5:R$44,"&lt;"&amp;R_Scores!R30)+0.5*COUNTIFS(R_Scores!$B$5:$B$44,1,R_Scores!$C$5:$C$44,"Paper condition",R_Scores!R$5:R$44,R_Scores!R30),"")</f>
        <v/>
      </c>
      <c r="FB30" s="1" t="str">
        <f aca="false">IF(AND(R_Scores!$B30=1,OR(R_Scores!$C30="Tool condition",R_Scores!$C30="Paper condition"),ISNUMBER(R_Scores!R30)),(COUNTIFS(R_Scores!$B$5:$B$44,1,R_Scores!$C$5:$C$44,"Tool condition",R_Scores!R$5:R$44,R_Scores!R30)+COUNTIFS(R_Scores!$B$5:$B$44,1,R_Scores!$C$5:$C$44,"Paper condition",R_Scores!R$5:R$44,R_Scores!R30))^2-1,"")</f>
        <v/>
      </c>
      <c r="FC30" s="1" t="n">
        <f aca="false">IF(AND(R_Scores!$B30=2,R_Scores!$C30="Tool condition",ISNUMBER(R_Scores!R30)),COUNTIFS(R_Scores!$B$5:$B$44,2,R_Scores!$C$5:$C$44,"Paper condition",R_Scores!R$5:R$44,"&lt;"&amp;R_Scores!R30)+0.5*COUNTIFS(R_Scores!$B$5:$B$44,2,R_Scores!$C$5:$C$44,"Paper condition",R_Scores!R$5:R$44,R_Scores!R30),"")</f>
        <v>9</v>
      </c>
      <c r="FD30" s="1" t="n">
        <f aca="false">IF(AND(R_Scores!$B30=2,OR(R_Scores!$C30="Tool condition",R_Scores!$C30="Paper condition"),ISNUMBER(R_Scores!R30)),(COUNTIFS(R_Scores!$B$5:$B$44,2,R_Scores!$C$5:$C$44,"Tool condition",R_Scores!R$5:R$44,R_Scores!R30)+COUNTIFS(R_Scores!$B$5:$B$44,2,R_Scores!$C$5:$C$44,"Paper condition",R_Scores!R$5:R$44,R_Scores!R30))^2-1,"")</f>
        <v>8</v>
      </c>
      <c r="FE30" s="1" t="n">
        <f aca="false">IF(ISNUMBER(R_Scores!R30),R_Scores!R30^2,"")</f>
        <v>529</v>
      </c>
    </row>
    <row r="31" customFormat="false" ht="14.25" hidden="false" customHeight="true" outlineLevel="0" collapsed="false">
      <c r="B31" s="1" t="str">
        <f aca="false">IF(AND(Scores!$B31=1,Scores!$C31="Tool condition",ISNUMBER(Scores!E31)),COUNTIFS(Scores!$B$5:$B$44,1,Scores!$C$5:$C$44,"Paper condition",Scores!E$5:E$44,"&lt;"&amp;Scores!E31)+0.5*COUNTIFS(Scores!$B$5:$B$44,1,Scores!$C$5:$C$44,"Paper condition",Scores!E$5:E$44,Scores!E31),"")</f>
        <v/>
      </c>
      <c r="C31" s="1" t="str">
        <f aca="false">IF(AND(Scores!$B31=1,OR(Scores!$C31="Tool condition",Scores!$C31="Paper condition"),ISNUMBER(Scores!E31)),(COUNTIFS(Scores!$B$5:$B$44,1,Scores!$C$5:$C$44,"Tool condition",Scores!E$5:E$44,Scores!E31)+COUNTIFS(Scores!$B$5:$B$44,1,Scores!$C$5:$C$44,"Paper condition",Scores!E$5:E$44,Scores!E31))^2-1,"")</f>
        <v/>
      </c>
      <c r="D31" s="1" t="n">
        <f aca="false">IF(AND(Scores!$B31=2,Scores!$C31="Tool condition",ISNUMBER(Scores!E31)),COUNTIFS(Scores!$B$5:$B$44,2,Scores!$C$5:$C$44,"Paper condition",Scores!E$5:E$44,"&lt;"&amp;Scores!E31)+0.5*COUNTIFS(Scores!$B$5:$B$44,2,Scores!$C$5:$C$44,"Paper condition",Scores!E$5:E$44,Scores!E31),"")</f>
        <v>2.5</v>
      </c>
      <c r="E31" s="1" t="n">
        <f aca="false">IF(AND(Scores!$B31=2,OR(Scores!$C31="Tool condition",Scores!$C31="Paper condition"),ISNUMBER(Scores!E31)),(COUNTIFS(Scores!$B$5:$B$44,2,Scores!$C$5:$C$44,"Tool condition",Scores!E$5:E$44,Scores!E31)+COUNTIFS(Scores!$B$5:$B$44,2,Scores!$C$5:$C$44,"Paper condition",Scores!E$5:E$44,Scores!E31))^2-1,"")</f>
        <v>63</v>
      </c>
      <c r="F31" s="1" t="n">
        <f aca="false">IF(ISNUMBER(Scores!E31),Scores!E31^2,"")</f>
        <v>1</v>
      </c>
      <c r="G31" s="1" t="str">
        <f aca="false">IF(AND(Scores!$B31=1,Scores!$C31="Tool condition",ISNUMBER(Scores!F31)),COUNTIFS(Scores!$B$5:$B$44,1,Scores!$C$5:$C$44,"Paper condition",Scores!F$5:F$44,"&lt;"&amp;Scores!F31)+0.5*COUNTIFS(Scores!$B$5:$B$44,1,Scores!$C$5:$C$44,"Paper condition",Scores!F$5:F$44,Scores!F31),"")</f>
        <v/>
      </c>
      <c r="H31" s="1" t="str">
        <f aca="false">IF(AND(Scores!$B31=1,OR(Scores!$C31="Tool condition",Scores!$C31="Paper condition"),ISNUMBER(Scores!F31)),(COUNTIFS(Scores!$B$5:$B$44,1,Scores!$C$5:$C$44,"Tool condition",Scores!F$5:F$44,Scores!F31)+COUNTIFS(Scores!$B$5:$B$44,1,Scores!$C$5:$C$44,"Paper condition",Scores!F$5:F$44,Scores!F31))^2-1,"")</f>
        <v/>
      </c>
      <c r="I31" s="1" t="n">
        <f aca="false">IF(AND(Scores!$B31=2,Scores!$C31="Tool condition",ISNUMBER(Scores!F31)),COUNTIFS(Scores!$B$5:$B$44,2,Scores!$C$5:$C$44,"Paper condition",Scores!F$5:F$44,"&lt;"&amp;Scores!F31)+0.5*COUNTIFS(Scores!$B$5:$B$44,2,Scores!$C$5:$C$44,"Paper condition",Scores!F$5:F$44,Scores!F31),"")</f>
        <v>8</v>
      </c>
      <c r="J31" s="1" t="n">
        <f aca="false">IF(AND(Scores!$B31=2,OR(Scores!$C31="Tool condition",Scores!$C31="Paper condition"),ISNUMBER(Scores!F31)),(COUNTIFS(Scores!$B$5:$B$44,2,Scores!$C$5:$C$44,"Tool condition",Scores!F$5:F$44,Scores!F31)+COUNTIFS(Scores!$B$5:$B$44,2,Scores!$C$5:$C$44,"Paper condition",Scores!F$5:F$44,Scores!F31))^2-1,"")</f>
        <v>120</v>
      </c>
      <c r="K31" s="1" t="n">
        <f aca="false">IF(ISNUMBER(Scores!F31),Scores!F31^2,"")</f>
        <v>4</v>
      </c>
      <c r="L31" s="1" t="str">
        <f aca="false">IF(AND(Scores!$B31=1,Scores!$C31="Tool condition",ISNUMBER(Scores!G31)),COUNTIFS(Scores!$B$5:$B$44,1,Scores!$C$5:$C$44,"Paper condition",Scores!G$5:G$44,"&lt;"&amp;Scores!G31)+0.5*COUNTIFS(Scores!$B$5:$B$44,1,Scores!$C$5:$C$44,"Paper condition",Scores!G$5:G$44,Scores!G31),"")</f>
        <v/>
      </c>
      <c r="M31" s="1" t="str">
        <f aca="false">IF(AND(Scores!$B31=1,OR(Scores!$C31="Tool condition",Scores!$C31="Paper condition"),ISNUMBER(Scores!G31)),(COUNTIFS(Scores!$B$5:$B$44,1,Scores!$C$5:$C$44,"Tool condition",Scores!G$5:G$44,Scores!G31)+COUNTIFS(Scores!$B$5:$B$44,1,Scores!$C$5:$C$44,"Paper condition",Scores!G$5:G$44,Scores!G31))^2-1,"")</f>
        <v/>
      </c>
      <c r="N31" s="1" t="n">
        <f aca="false">IF(AND(Scores!$B31=2,Scores!$C31="Tool condition",ISNUMBER(Scores!G31)),COUNTIFS(Scores!$B$5:$B$44,2,Scores!$C$5:$C$44,"Paper condition",Scores!G$5:G$44,"&lt;"&amp;Scores!G31)+0.5*COUNTIFS(Scores!$B$5:$B$44,2,Scores!$C$5:$C$44,"Paper condition",Scores!G$5:G$44,Scores!G31),"")</f>
        <v>2</v>
      </c>
      <c r="O31" s="1" t="n">
        <f aca="false">IF(AND(Scores!$B31=2,OR(Scores!$C31="Tool condition",Scores!$C31="Paper condition"),ISNUMBER(Scores!G31)),(COUNTIFS(Scores!$B$5:$B$44,2,Scores!$C$5:$C$44,"Tool condition",Scores!G$5:G$44,Scores!G31)+COUNTIFS(Scores!$B$5:$B$44,2,Scores!$C$5:$C$44,"Paper condition",Scores!G$5:G$44,Scores!G31))^2-1,"")</f>
        <v>35</v>
      </c>
      <c r="P31" s="1" t="n">
        <f aca="false">IF(ISNUMBER(Scores!G31),Scores!G31^2,"")</f>
        <v>1</v>
      </c>
      <c r="Q31" s="1" t="str">
        <f aca="false">IF(AND(Scores!$B31=1,Scores!$C31="Tool condition",ISNUMBER(Scores!H31)),COUNTIFS(Scores!$B$5:$B$44,1,Scores!$C$5:$C$44,"Paper condition",Scores!H$5:H$44,"&lt;"&amp;Scores!H31)+0.5*COUNTIFS(Scores!$B$5:$B$44,1,Scores!$C$5:$C$44,"Paper condition",Scores!H$5:H$44,Scores!H31),"")</f>
        <v/>
      </c>
      <c r="R31" s="1" t="str">
        <f aca="false">IF(AND(Scores!$B31=1,OR(Scores!$C31="Tool condition",Scores!$C31="Paper condition"),ISNUMBER(Scores!H31)),(COUNTIFS(Scores!$B$5:$B$44,1,Scores!$C$5:$C$44,"Tool condition",Scores!H$5:H$44,Scores!H31)+COUNTIFS(Scores!$B$5:$B$44,1,Scores!$C$5:$C$44,"Paper condition",Scores!H$5:H$44,Scores!H31))^2-1,"")</f>
        <v/>
      </c>
      <c r="S31" s="1" t="n">
        <f aca="false">IF(AND(Scores!$B31=2,Scores!$C31="Tool condition",ISNUMBER(Scores!H31)),COUNTIFS(Scores!$B$5:$B$44,2,Scores!$C$5:$C$44,"Paper condition",Scores!H$5:H$44,"&lt;"&amp;Scores!H31)+0.5*COUNTIFS(Scores!$B$5:$B$44,2,Scores!$C$5:$C$44,"Paper condition",Scores!H$5:H$44,Scores!H31),"")</f>
        <v>8</v>
      </c>
      <c r="T31" s="1" t="n">
        <f aca="false">IF(AND(Scores!$B31=2,OR(Scores!$C31="Tool condition",Scores!$C31="Paper condition"),ISNUMBER(Scores!H31)),(COUNTIFS(Scores!$B$5:$B$44,2,Scores!$C$5:$C$44,"Tool condition",Scores!H$5:H$44,Scores!H31)+COUNTIFS(Scores!$B$5:$B$44,2,Scores!$C$5:$C$44,"Paper condition",Scores!H$5:H$44,Scores!H31))^2-1,"")</f>
        <v>99</v>
      </c>
      <c r="U31" s="1" t="n">
        <f aca="false">IF(ISNUMBER(Scores!H31),Scores!H31^2,"")</f>
        <v>4</v>
      </c>
      <c r="V31" s="1" t="str">
        <f aca="false">IF(AND(Scores!$B31=1,Scores!$C31="Tool condition",ISNUMBER(Scores!I31)),COUNTIFS(Scores!$B$5:$B$44,1,Scores!$C$5:$C$44,"Paper condition",Scores!I$5:I$44,"&lt;"&amp;Scores!I31)+0.5*COUNTIFS(Scores!$B$5:$B$44,1,Scores!$C$5:$C$44,"Paper condition",Scores!I$5:I$44,Scores!I31),"")</f>
        <v/>
      </c>
      <c r="W31" s="1" t="str">
        <f aca="false">IF(AND(Scores!$B31=1,OR(Scores!$C31="Tool condition",Scores!$C31="Paper condition"),ISNUMBER(Scores!I31)),(COUNTIFS(Scores!$B$5:$B$44,1,Scores!$C$5:$C$44,"Tool condition",Scores!I$5:I$44,Scores!I31)+COUNTIFS(Scores!$B$5:$B$44,1,Scores!$C$5:$C$44,"Paper condition",Scores!I$5:I$44,Scores!I31))^2-1,"")</f>
        <v/>
      </c>
      <c r="X31" s="1" t="n">
        <f aca="false">IF(AND(Scores!$B31=2,Scores!$C31="Tool condition",ISNUMBER(Scores!I31)),COUNTIFS(Scores!$B$5:$B$44,2,Scores!$C$5:$C$44,"Paper condition",Scores!I$5:I$44,"&lt;"&amp;Scores!I31)+0.5*COUNTIFS(Scores!$B$5:$B$44,2,Scores!$C$5:$C$44,"Paper condition",Scores!I$5:I$44,Scores!I31),"")</f>
        <v>8.5</v>
      </c>
      <c r="Y31" s="1" t="n">
        <f aca="false">IF(AND(Scores!$B31=2,OR(Scores!$C31="Tool condition",Scores!$C31="Paper condition"),ISNUMBER(Scores!I31)),(COUNTIFS(Scores!$B$5:$B$44,2,Scores!$C$5:$C$44,"Tool condition",Scores!I$5:I$44,Scores!I31)+COUNTIFS(Scores!$B$5:$B$44,2,Scores!$C$5:$C$44,"Paper condition",Scores!I$5:I$44,Scores!I31))^2-1,"")</f>
        <v>99</v>
      </c>
      <c r="Z31" s="1" t="n">
        <f aca="false">IF(ISNUMBER(Scores!I31),Scores!I31^2,"")</f>
        <v>4</v>
      </c>
      <c r="AA31" s="1" t="str">
        <f aca="false">IF(AND(Scores!$B31=1,Scores!$C31="Tool condition",ISNUMBER(Scores!J31)),COUNTIFS(Scores!$B$5:$B$44,1,Scores!$C$5:$C$44,"Paper condition",Scores!J$5:J$44,"&lt;"&amp;Scores!J31)+0.5*COUNTIFS(Scores!$B$5:$B$44,1,Scores!$C$5:$C$44,"Paper condition",Scores!J$5:J$44,Scores!J31),"")</f>
        <v/>
      </c>
      <c r="AB31" s="1" t="str">
        <f aca="false">IF(AND(Scores!$B31=1,OR(Scores!$C31="Tool condition",Scores!$C31="Paper condition"),ISNUMBER(Scores!J31)),(COUNTIFS(Scores!$B$5:$B$44,1,Scores!$C$5:$C$44,"Tool condition",Scores!J$5:J$44,Scores!J31)+COUNTIFS(Scores!$B$5:$B$44,1,Scores!$C$5:$C$44,"Paper condition",Scores!J$5:J$44,Scores!J31))^2-1,"")</f>
        <v/>
      </c>
      <c r="AC31" s="1" t="n">
        <f aca="false">IF(AND(Scores!$B31=2,Scores!$C31="Tool condition",ISNUMBER(Scores!J31)),COUNTIFS(Scores!$B$5:$B$44,2,Scores!$C$5:$C$44,"Paper condition",Scores!J$5:J$44,"&lt;"&amp;Scores!J31)+0.5*COUNTIFS(Scores!$B$5:$B$44,2,Scores!$C$5:$C$44,"Paper condition",Scores!J$5:J$44,Scores!J31),"")</f>
        <v>7.5</v>
      </c>
      <c r="AD31" s="1" t="n">
        <f aca="false">IF(AND(Scores!$B31=2,OR(Scores!$C31="Tool condition",Scores!$C31="Paper condition"),ISNUMBER(Scores!J31)),(COUNTIFS(Scores!$B$5:$B$44,2,Scores!$C$5:$C$44,"Tool condition",Scores!J$5:J$44,Scores!J31)+COUNTIFS(Scores!$B$5:$B$44,2,Scores!$C$5:$C$44,"Paper condition",Scores!J$5:J$44,Scores!J31))^2-1,"")</f>
        <v>120</v>
      </c>
      <c r="AE31" s="1" t="n">
        <f aca="false">IF(ISNUMBER(Scores!J31),Scores!J31^2,"")</f>
        <v>4</v>
      </c>
      <c r="AF31" s="1" t="str">
        <f aca="false">IF(AND(Scores!$B31=1,Scores!$C31="Tool condition",ISNUMBER(Scores!K31)),COUNTIFS(Scores!$B$5:$B$44,1,Scores!$C$5:$C$44,"Paper condition",Scores!K$5:K$44,"&lt;"&amp;Scores!K31)+0.5*COUNTIFS(Scores!$B$5:$B$44,1,Scores!$C$5:$C$44,"Paper condition",Scores!K$5:K$44,Scores!K31),"")</f>
        <v/>
      </c>
      <c r="AG31" s="1" t="str">
        <f aca="false">IF(AND(Scores!$B31=1,OR(Scores!$C31="Tool condition",Scores!$C31="Paper condition"),ISNUMBER(Scores!K31)),(COUNTIFS(Scores!$B$5:$B$44,1,Scores!$C$5:$C$44,"Tool condition",Scores!K$5:K$44,Scores!K31)+COUNTIFS(Scores!$B$5:$B$44,1,Scores!$C$5:$C$44,"Paper condition",Scores!K$5:K$44,Scores!K31))^2-1,"")</f>
        <v/>
      </c>
      <c r="AH31" s="1" t="n">
        <f aca="false">IF(AND(Scores!$B31=2,Scores!$C31="Tool condition",ISNUMBER(Scores!K31)),COUNTIFS(Scores!$B$5:$B$44,2,Scores!$C$5:$C$44,"Paper condition",Scores!K$5:K$44,"&lt;"&amp;Scores!K31)+0.5*COUNTIFS(Scores!$B$5:$B$44,2,Scores!$C$5:$C$44,"Paper condition",Scores!K$5:K$44,Scores!K31),"")</f>
        <v>3.5</v>
      </c>
      <c r="AI31" s="1" t="n">
        <f aca="false">IF(AND(Scores!$B31=2,OR(Scores!$C31="Tool condition",Scores!$C31="Paper condition"),ISNUMBER(Scores!K31)),(COUNTIFS(Scores!$B$5:$B$44,2,Scores!$C$5:$C$44,"Tool condition",Scores!K$5:K$44,Scores!K31)+COUNTIFS(Scores!$B$5:$B$44,2,Scores!$C$5:$C$44,"Paper condition",Scores!K$5:K$44,Scores!K31))^2-1,"")</f>
        <v>120</v>
      </c>
      <c r="AJ31" s="1" t="n">
        <f aca="false">IF(ISNUMBER(Scores!K31),Scores!K31^2,"")</f>
        <v>1</v>
      </c>
      <c r="AK31" s="1" t="str">
        <f aca="false">IF(AND(Scores!$B31=1,Scores!$C31="Tool condition",ISNUMBER(Scores!L31)),COUNTIFS(Scores!$B$5:$B$44,1,Scores!$C$5:$C$44,"Paper condition",Scores!L$5:L$44,"&lt;"&amp;Scores!L31)+0.5*COUNTIFS(Scores!$B$5:$B$44,1,Scores!$C$5:$C$44,"Paper condition",Scores!L$5:L$44,Scores!L31),"")</f>
        <v/>
      </c>
      <c r="AL31" s="1" t="str">
        <f aca="false">IF(AND(Scores!$B31=1,OR(Scores!$C31="Tool condition",Scores!$C31="Paper condition"),ISNUMBER(Scores!L31)),(COUNTIFS(Scores!$B$5:$B$44,1,Scores!$C$5:$C$44,"Tool condition",Scores!L$5:L$44,Scores!L31)+COUNTIFS(Scores!$B$5:$B$44,1,Scores!$C$5:$C$44,"Paper condition",Scores!L$5:L$44,Scores!L31))^2-1,"")</f>
        <v/>
      </c>
      <c r="AM31" s="1" t="n">
        <f aca="false">IF(AND(Scores!$B31=2,Scores!$C31="Tool condition",ISNUMBER(Scores!L31)),COUNTIFS(Scores!$B$5:$B$44,2,Scores!$C$5:$C$44,"Paper condition",Scores!L$5:L$44,"&lt;"&amp;Scores!L31)+0.5*COUNTIFS(Scores!$B$5:$B$44,2,Scores!$C$5:$C$44,"Paper condition",Scores!L$5:L$44,Scores!L31),"")</f>
        <v>7.5</v>
      </c>
      <c r="AN31" s="1" t="n">
        <f aca="false">IF(AND(Scores!$B31=2,OR(Scores!$C31="Tool condition",Scores!$C31="Paper condition"),ISNUMBER(Scores!L31)),(COUNTIFS(Scores!$B$5:$B$44,2,Scores!$C$5:$C$44,"Tool condition",Scores!L$5:L$44,Scores!L31)+COUNTIFS(Scores!$B$5:$B$44,2,Scores!$C$5:$C$44,"Paper condition",Scores!L$5:L$44,Scores!L31))^2-1,"")</f>
        <v>99</v>
      </c>
      <c r="AO31" s="1" t="n">
        <f aca="false">IF(ISNUMBER(Scores!L31),Scores!L31^2,"")</f>
        <v>4</v>
      </c>
      <c r="AP31" s="1" t="str">
        <f aca="false">IF(AND(Scores!$B31=1,Scores!$C31="Tool condition",ISNUMBER(Scores!M31)),COUNTIFS(Scores!$B$5:$B$44,1,Scores!$C$5:$C$44,"Paper condition",Scores!M$5:M$44,"&lt;"&amp;Scores!M31)+0.5*COUNTIFS(Scores!$B$5:$B$44,1,Scores!$C$5:$C$44,"Paper condition",Scores!M$5:M$44,Scores!M31),"")</f>
        <v/>
      </c>
      <c r="AQ31" s="1" t="str">
        <f aca="false">IF(AND(Scores!$B31=1,OR(Scores!$C31="Tool condition",Scores!$C31="Paper condition"),ISNUMBER(Scores!M31)),(COUNTIFS(Scores!$B$5:$B$44,1,Scores!$C$5:$C$44,"Tool condition",Scores!M$5:M$44,Scores!M31)+COUNTIFS(Scores!$B$5:$B$44,1,Scores!$C$5:$C$44,"Paper condition",Scores!M$5:M$44,Scores!M31))^2-1,"")</f>
        <v/>
      </c>
      <c r="AR31" s="1" t="n">
        <f aca="false">IF(AND(Scores!$B31=2,Scores!$C31="Tool condition",ISNUMBER(Scores!M31)),COUNTIFS(Scores!$B$5:$B$44,2,Scores!$C$5:$C$44,"Paper condition",Scores!M$5:M$44,"&lt;"&amp;Scores!M31)+0.5*COUNTIFS(Scores!$B$5:$B$44,2,Scores!$C$5:$C$44,"Paper condition",Scores!M$5:M$44,Scores!M31),"")</f>
        <v>8</v>
      </c>
      <c r="AS31" s="1" t="n">
        <f aca="false">IF(AND(Scores!$B31=2,OR(Scores!$C31="Tool condition",Scores!$C31="Paper condition"),ISNUMBER(Scores!M31)),(COUNTIFS(Scores!$B$5:$B$44,2,Scores!$C$5:$C$44,"Tool condition",Scores!M$5:M$44,Scores!M31)+COUNTIFS(Scores!$B$5:$B$44,2,Scores!$C$5:$C$44,"Paper condition",Scores!M$5:M$44,Scores!M31))^2-1,"")</f>
        <v>63</v>
      </c>
      <c r="AT31" s="1" t="n">
        <f aca="false">IF(ISNUMBER(Scores!M31),Scores!M31^2,"")</f>
        <v>4</v>
      </c>
      <c r="AU31" s="1" t="str">
        <f aca="false">IF(AND(Scores!$B31=1,Scores!$C31="Tool condition",ISNUMBER(Scores!N31)),COUNTIFS(Scores!$B$5:$B$44,1,Scores!$C$5:$C$44,"Paper condition",Scores!N$5:N$44,"&lt;"&amp;Scores!N31)+0.5*COUNTIFS(Scores!$B$5:$B$44,1,Scores!$C$5:$C$44,"Paper condition",Scores!N$5:N$44,Scores!N31),"")</f>
        <v/>
      </c>
      <c r="AV31" s="1" t="str">
        <f aca="false">IF(AND(Scores!$B31=1,OR(Scores!$C31="Tool condition",Scores!$C31="Paper condition"),ISNUMBER(Scores!N31)),(COUNTIFS(Scores!$B$5:$B$44,1,Scores!$C$5:$C$44,"Tool condition",Scores!N$5:N$44,Scores!N31)+COUNTIFS(Scores!$B$5:$B$44,1,Scores!$C$5:$C$44,"Paper condition",Scores!N$5:N$44,Scores!N31))^2-1,"")</f>
        <v/>
      </c>
      <c r="AW31" s="1" t="n">
        <f aca="false">IF(AND(Scores!$B31=2,Scores!$C31="Tool condition",ISNUMBER(Scores!N31)),COUNTIFS(Scores!$B$5:$B$44,2,Scores!$C$5:$C$44,"Paper condition",Scores!N$5:N$44,"&lt;"&amp;Scores!N31)+0.5*COUNTIFS(Scores!$B$5:$B$44,2,Scores!$C$5:$C$44,"Paper condition",Scores!N$5:N$44,Scores!N31),"")</f>
        <v>1</v>
      </c>
      <c r="AX31" s="1" t="n">
        <f aca="false">IF(AND(Scores!$B31=2,OR(Scores!$C31="Tool condition",Scores!$C31="Paper condition"),ISNUMBER(Scores!N31)),(COUNTIFS(Scores!$B$5:$B$44,2,Scores!$C$5:$C$44,"Tool condition",Scores!N$5:N$44,Scores!N31)+COUNTIFS(Scores!$B$5:$B$44,2,Scores!$C$5:$C$44,"Paper condition",Scores!N$5:N$44,Scores!N31))^2-1,"")</f>
        <v>24</v>
      </c>
      <c r="AY31" s="1" t="n">
        <f aca="false">IF(ISNUMBER(Scores!N31),Scores!N31^2,"")</f>
        <v>0</v>
      </c>
      <c r="AZ31" s="1" t="str">
        <f aca="false">IF(AND(Scores!$B31=1,Scores!$C31="Tool condition",ISNUMBER(Scores!O31)),COUNTIFS(Scores!$B$5:$B$44,1,Scores!$C$5:$C$44,"Paper condition",Scores!O$5:O$44,"&lt;"&amp;Scores!O31)+0.5*COUNTIFS(Scores!$B$5:$B$44,1,Scores!$C$5:$C$44,"Paper condition",Scores!O$5:O$44,Scores!O31),"")</f>
        <v/>
      </c>
      <c r="BA31" s="1" t="str">
        <f aca="false">IF(AND(Scores!$B31=1,OR(Scores!$C31="Tool condition",Scores!$C31="Paper condition"),ISNUMBER(Scores!O31)),(COUNTIFS(Scores!$B$5:$B$44,1,Scores!$C$5:$C$44,"Tool condition",Scores!O$5:O$44,Scores!O31)+COUNTIFS(Scores!$B$5:$B$44,1,Scores!$C$5:$C$44,"Paper condition",Scores!O$5:O$44,Scores!O31))^2-1,"")</f>
        <v/>
      </c>
      <c r="BB31" s="1" t="n">
        <f aca="false">IF(AND(Scores!$B31=2,Scores!$C31="Tool condition",ISNUMBER(Scores!O31)),COUNTIFS(Scores!$B$5:$B$44,2,Scores!$C$5:$C$44,"Paper condition",Scores!O$5:O$44,"&lt;"&amp;Scores!O31)+0.5*COUNTIFS(Scores!$B$5:$B$44,2,Scores!$C$5:$C$44,"Paper condition",Scores!O$5:O$44,Scores!O31),"")</f>
        <v>6.5</v>
      </c>
      <c r="BC31" s="1" t="n">
        <f aca="false">IF(AND(Scores!$B31=2,OR(Scores!$C31="Tool condition",Scores!$C31="Paper condition"),ISNUMBER(Scores!O31)),(COUNTIFS(Scores!$B$5:$B$44,2,Scores!$C$5:$C$44,"Tool condition",Scores!O$5:O$44,Scores!O31)+COUNTIFS(Scores!$B$5:$B$44,2,Scores!$C$5:$C$44,"Paper condition",Scores!O$5:O$44,Scores!O31))^2-1,"")</f>
        <v>120</v>
      </c>
      <c r="BD31" s="1" t="n">
        <f aca="false">IF(ISNUMBER(Scores!O31),Scores!O31^2,"")</f>
        <v>1</v>
      </c>
      <c r="BE31" s="1" t="str">
        <f aca="false">IF(AND(Scores!$B31=1,Scores!$C31="Tool condition",ISNUMBER(Scores!P31)),COUNTIFS(Scores!$B$5:$B$44,1,Scores!$C$5:$C$44,"Paper condition",Scores!P$5:P$44,"&lt;"&amp;Scores!P31)+0.5*COUNTIFS(Scores!$B$5:$B$44,1,Scores!$C$5:$C$44,"Paper condition",Scores!P$5:P$44,Scores!P31),"")</f>
        <v/>
      </c>
      <c r="BF31" s="1" t="str">
        <f aca="false">IF(AND(Scores!$B31=1,OR(Scores!$C31="Tool condition",Scores!$C31="Paper condition"),ISNUMBER(Scores!P31)),(COUNTIFS(Scores!$B$5:$B$44,1,Scores!$C$5:$C$44,"Tool condition",Scores!P$5:P$44,Scores!P31)+COUNTIFS(Scores!$B$5:$B$44,1,Scores!$C$5:$C$44,"Paper condition",Scores!P$5:P$44,Scores!P31))^2-1,"")</f>
        <v/>
      </c>
      <c r="BG31" s="1" t="n">
        <f aca="false">IF(AND(Scores!$B31=2,Scores!$C31="Tool condition",ISNUMBER(Scores!P31)),COUNTIFS(Scores!$B$5:$B$44,2,Scores!$C$5:$C$44,"Paper condition",Scores!P$5:P$44,"&lt;"&amp;Scores!P31)+0.5*COUNTIFS(Scores!$B$5:$B$44,2,Scores!$C$5:$C$44,"Paper condition",Scores!P$5:P$44,Scores!P31),"")</f>
        <v>7.5</v>
      </c>
      <c r="BH31" s="1" t="n">
        <f aca="false">IF(AND(Scores!$B31=2,OR(Scores!$C31="Tool condition",Scores!$C31="Paper condition"),ISNUMBER(Scores!P31)),(COUNTIFS(Scores!$B$5:$B$44,2,Scores!$C$5:$C$44,"Tool condition",Scores!P$5:P$44,Scores!P31)+COUNTIFS(Scores!$B$5:$B$44,2,Scores!$C$5:$C$44,"Paper condition",Scores!P$5:P$44,Scores!P31))^2-1,"")</f>
        <v>143</v>
      </c>
      <c r="BI31" s="1" t="n">
        <f aca="false">IF(ISNUMBER(Scores!P31),Scores!P31^2,"")</f>
        <v>1</v>
      </c>
      <c r="BJ31" s="1" t="str">
        <f aca="false">IF(AND(R_Scores!$B31=1,R_Scores!$C31="Tool condition",ISNUMBER(R_Scores!E31)),COUNTIFS(R_Scores!$B$5:$B$44,1,R_Scores!$C$5:$C$44,"Paper condition",R_Scores!E$5:E$44,"&lt;"&amp;R_Scores!E31)+0.5*COUNTIFS(R_Scores!$B$5:$B$44,1,R_Scores!$C$5:$C$44,"Paper condition",R_Scores!E$5:E$44,R_Scores!E31),"")</f>
        <v/>
      </c>
      <c r="BK31" s="1" t="str">
        <f aca="false">IF(AND(R_Scores!$B31=1,OR(R_Scores!$C31="Tool condition",R_Scores!$C31="Paper condition"),ISNUMBER(R_Scores!E31)),(COUNTIFS(R_Scores!$B$5:$B$44,1,R_Scores!$C$5:$C$44,"Tool condition",R_Scores!E$5:E$44,R_Scores!E31)+COUNTIFS(R_Scores!$B$5:$B$44,1,R_Scores!$C$5:$C$44,"Paper condition",R_Scores!E$5:E$44,R_Scores!E31))^2-1,"")</f>
        <v/>
      </c>
      <c r="BL31" s="1" t="n">
        <f aca="false">IF(AND(R_Scores!$B31=2,R_Scores!$C31="Tool condition",ISNUMBER(R_Scores!E31)),COUNTIFS(R_Scores!$B$5:$B$44,2,R_Scores!$C$5:$C$44,"Paper condition",R_Scores!E$5:E$44,"&lt;"&amp;R_Scores!E31)+0.5*COUNTIFS(R_Scores!$B$5:$B$44,2,R_Scores!$C$5:$C$44,"Paper condition",R_Scores!E$5:E$44,R_Scores!E31),"")</f>
        <v>6.5</v>
      </c>
      <c r="BM31" s="1" t="n">
        <f aca="false">IF(AND(R_Scores!$B31=2,OR(R_Scores!$C31="Tool condition",R_Scores!$C31="Paper condition"),ISNUMBER(R_Scores!E31)),(COUNTIFS(R_Scores!$B$5:$B$44,2,R_Scores!$C$5:$C$44,"Tool condition",R_Scores!E$5:E$44,R_Scores!E31)+COUNTIFS(R_Scores!$B$5:$B$44,2,R_Scores!$C$5:$C$44,"Paper condition",R_Scores!E$5:E$44,R_Scores!E31))^2-1,"")</f>
        <v>224</v>
      </c>
      <c r="BN31" s="1" t="n">
        <f aca="false">IF(ISNUMBER(R_Scores!E31),R_Scores!E31^2,"")</f>
        <v>1</v>
      </c>
      <c r="BO31" s="1" t="str">
        <f aca="false">IF(AND(R_Scores!$B31=1,R_Scores!$C31="Tool condition",ISNUMBER(R_Scores!F31)),COUNTIFS(R_Scores!$B$5:$B$44,1,R_Scores!$C$5:$C$44,"Paper condition",R_Scores!F$5:F$44,"&lt;"&amp;R_Scores!F31)+0.5*COUNTIFS(R_Scores!$B$5:$B$44,1,R_Scores!$C$5:$C$44,"Paper condition",R_Scores!F$5:F$44,R_Scores!F31),"")</f>
        <v/>
      </c>
      <c r="BP31" s="1" t="str">
        <f aca="false">IF(AND(R_Scores!$B31=1,OR(R_Scores!$C31="Tool condition",R_Scores!$C31="Paper condition"),ISNUMBER(R_Scores!F31)),(COUNTIFS(R_Scores!$B$5:$B$44,1,R_Scores!$C$5:$C$44,"Tool condition",R_Scores!F$5:F$44,R_Scores!F31)+COUNTIFS(R_Scores!$B$5:$B$44,1,R_Scores!$C$5:$C$44,"Paper condition",R_Scores!F$5:F$44,R_Scores!F31))^2-1,"")</f>
        <v/>
      </c>
      <c r="BQ31" s="1" t="n">
        <f aca="false">IF(AND(R_Scores!$B31=2,R_Scores!$C31="Tool condition",ISNUMBER(R_Scores!F31)),COUNTIFS(R_Scores!$B$5:$B$44,2,R_Scores!$C$5:$C$44,"Paper condition",R_Scores!F$5:F$44,"&lt;"&amp;R_Scores!F31)+0.5*COUNTIFS(R_Scores!$B$5:$B$44,2,R_Scores!$C$5:$C$44,"Paper condition",R_Scores!F$5:F$44,R_Scores!F31),"")</f>
        <v>6.5</v>
      </c>
      <c r="BR31" s="1" t="n">
        <f aca="false">IF(AND(R_Scores!$B31=2,OR(R_Scores!$C31="Tool condition",R_Scores!$C31="Paper condition"),ISNUMBER(R_Scores!F31)),(COUNTIFS(R_Scores!$B$5:$B$44,2,R_Scores!$C$5:$C$44,"Tool condition",R_Scores!F$5:F$44,R_Scores!F31)+COUNTIFS(R_Scores!$B$5:$B$44,2,R_Scores!$C$5:$C$44,"Paper condition",R_Scores!F$5:F$44,R_Scores!F31))^2-1,"")</f>
        <v>195</v>
      </c>
      <c r="BS31" s="1" t="n">
        <f aca="false">IF(ISNUMBER(R_Scores!F31),R_Scores!F31^2,"")</f>
        <v>1</v>
      </c>
      <c r="BT31" s="1" t="str">
        <f aca="false">IF(AND(R_Scores!$B31=1,R_Scores!$C31="Tool condition",ISNUMBER(R_Scores!G31)),COUNTIFS(R_Scores!$B$5:$B$44,1,R_Scores!$C$5:$C$44,"Paper condition",R_Scores!G$5:G$44,"&lt;"&amp;R_Scores!G31)+0.5*COUNTIFS(R_Scores!$B$5:$B$44,1,R_Scores!$C$5:$C$44,"Paper condition",R_Scores!G$5:G$44,R_Scores!G31),"")</f>
        <v/>
      </c>
      <c r="BU31" s="1" t="str">
        <f aca="false">IF(AND(R_Scores!$B31=1,OR(R_Scores!$C31="Tool condition",R_Scores!$C31="Paper condition"),ISNUMBER(R_Scores!G31)),(COUNTIFS(R_Scores!$B$5:$B$44,1,R_Scores!$C$5:$C$44,"Tool condition",R_Scores!G$5:G$44,R_Scores!G31)+COUNTIFS(R_Scores!$B$5:$B$44,1,R_Scores!$C$5:$C$44,"Paper condition",R_Scores!G$5:G$44,R_Scores!G31))^2-1,"")</f>
        <v/>
      </c>
      <c r="BV31" s="1" t="str">
        <f aca="false">IF(AND(R_Scores!$B31=2,R_Scores!$C31="Tool condition",ISNUMBER(R_Scores!G31)),COUNTIFS(R_Scores!$B$5:$B$44,2,R_Scores!$C$5:$C$44,"Paper condition",R_Scores!G$5:G$44,"&lt;"&amp;R_Scores!G31)+0.5*COUNTIFS(R_Scores!$B$5:$B$44,2,R_Scores!$C$5:$C$44,"Paper condition",R_Scores!G$5:G$44,R_Scores!G31),"")</f>
        <v/>
      </c>
      <c r="BW31" s="1" t="str">
        <f aca="false">IF(AND(R_Scores!$B31=2,OR(R_Scores!$C31="Tool condition",R_Scores!$C31="Paper condition"),ISNUMBER(R_Scores!G31)),(COUNTIFS(R_Scores!$B$5:$B$44,2,R_Scores!$C$5:$C$44,"Tool condition",R_Scores!G$5:G$44,R_Scores!G31)+COUNTIFS(R_Scores!$B$5:$B$44,2,R_Scores!$C$5:$C$44,"Paper condition",R_Scores!G$5:G$44,R_Scores!G31))^2-1,"")</f>
        <v/>
      </c>
      <c r="BX31" s="1" t="str">
        <f aca="false">IF(ISNUMBER(R_Scores!G31),R_Scores!G31^2,"")</f>
        <v/>
      </c>
      <c r="BY31" s="1" t="str">
        <f aca="false">IF(AND(R_Scores!$B31=1,R_Scores!$C31="Tool condition",ISNUMBER(R_Scores!H31)),COUNTIFS(R_Scores!$B$5:$B$44,1,R_Scores!$C$5:$C$44,"Paper condition",R_Scores!H$5:H$44,"&lt;"&amp;R_Scores!H31)+0.5*COUNTIFS(R_Scores!$B$5:$B$44,1,R_Scores!$C$5:$C$44,"Paper condition",R_Scores!H$5:H$44,R_Scores!H31),"")</f>
        <v/>
      </c>
      <c r="BZ31" s="1" t="str">
        <f aca="false">IF(AND(R_Scores!$B31=1,OR(R_Scores!$C31="Tool condition",R_Scores!$C31="Paper condition"),ISNUMBER(R_Scores!H31)),(COUNTIFS(R_Scores!$B$5:$B$44,1,R_Scores!$C$5:$C$44,"Tool condition",R_Scores!H$5:H$44,R_Scores!H31)+COUNTIFS(R_Scores!$B$5:$B$44,1,R_Scores!$C$5:$C$44,"Paper condition",R_Scores!H$5:H$44,R_Scores!H31))^2-1,"")</f>
        <v/>
      </c>
      <c r="CA31" s="1" t="str">
        <f aca="false">IF(AND(R_Scores!$B31=2,R_Scores!$C31="Tool condition",ISNUMBER(R_Scores!H31)),COUNTIFS(R_Scores!$B$5:$B$44,2,R_Scores!$C$5:$C$44,"Paper condition",R_Scores!H$5:H$44,"&lt;"&amp;R_Scores!H31)+0.5*COUNTIFS(R_Scores!$B$5:$B$44,2,R_Scores!$C$5:$C$44,"Paper condition",R_Scores!H$5:H$44,R_Scores!H31),"")</f>
        <v/>
      </c>
      <c r="CB31" s="1" t="str">
        <f aca="false">IF(AND(R_Scores!$B31=2,OR(R_Scores!$C31="Tool condition",R_Scores!$C31="Paper condition"),ISNUMBER(R_Scores!H31)),(COUNTIFS(R_Scores!$B$5:$B$44,2,R_Scores!$C$5:$C$44,"Tool condition",R_Scores!H$5:H$44,R_Scores!H31)+COUNTIFS(R_Scores!$B$5:$B$44,2,R_Scores!$C$5:$C$44,"Paper condition",R_Scores!H$5:H$44,R_Scores!H31))^2-1,"")</f>
        <v/>
      </c>
      <c r="CC31" s="1" t="str">
        <f aca="false">IF(ISNUMBER(R_Scores!H31),R_Scores!H31^2,"")</f>
        <v/>
      </c>
      <c r="CD31" s="1" t="str">
        <f aca="false">IF(AND(R_Scores!$B31=1,R_Scores!$C31="Tool condition",ISNUMBER(R_Scores!I31)),COUNTIFS(R_Scores!$B$5:$B$44,1,R_Scores!$C$5:$C$44,"Paper condition",R_Scores!I$5:I$44,"&lt;"&amp;R_Scores!I31)+0.5*COUNTIFS(R_Scores!$B$5:$B$44,1,R_Scores!$C$5:$C$44,"Paper condition",R_Scores!I$5:I$44,R_Scores!I31),"")</f>
        <v/>
      </c>
      <c r="CE31" s="1" t="str">
        <f aca="false">IF(AND(R_Scores!$B31=1,OR(R_Scores!$C31="Tool condition",R_Scores!$C31="Paper condition"),ISNUMBER(R_Scores!I31)),(COUNTIFS(R_Scores!$B$5:$B$44,1,R_Scores!$C$5:$C$44,"Tool condition",R_Scores!I$5:I$44,R_Scores!I31)+COUNTIFS(R_Scores!$B$5:$B$44,1,R_Scores!$C$5:$C$44,"Paper condition",R_Scores!I$5:I$44,R_Scores!I31))^2-1,"")</f>
        <v/>
      </c>
      <c r="CF31" s="1" t="n">
        <f aca="false">IF(AND(R_Scores!$B31=2,R_Scores!$C31="Tool condition",ISNUMBER(R_Scores!I31)),COUNTIFS(R_Scores!$B$5:$B$44,2,R_Scores!$C$5:$C$44,"Paper condition",R_Scores!I$5:I$44,"&lt;"&amp;R_Scores!I31)+0.5*COUNTIFS(R_Scores!$B$5:$B$44,2,R_Scores!$C$5:$C$44,"Paper condition",R_Scores!I$5:I$44,R_Scores!I31),"")</f>
        <v>6</v>
      </c>
      <c r="CG31" s="1" t="n">
        <f aca="false">IF(AND(R_Scores!$B31=2,OR(R_Scores!$C31="Tool condition",R_Scores!$C31="Paper condition"),ISNUMBER(R_Scores!I31)),(COUNTIFS(R_Scores!$B$5:$B$44,2,R_Scores!$C$5:$C$44,"Tool condition",R_Scores!I$5:I$44,R_Scores!I31)+COUNTIFS(R_Scores!$B$5:$B$44,2,R_Scores!$C$5:$C$44,"Paper condition",R_Scores!I$5:I$44,R_Scores!I31))^2-1,"")</f>
        <v>255</v>
      </c>
      <c r="CH31" s="1" t="n">
        <f aca="false">IF(ISNUMBER(R_Scores!I31),R_Scores!I31^2,"")</f>
        <v>1</v>
      </c>
      <c r="CI31" s="1" t="str">
        <f aca="false">IF(AND(R_Scores!$B31=1,R_Scores!$C31="Tool condition",ISNUMBER(R_Scores!J31)),COUNTIFS(R_Scores!$B$5:$B$44,1,R_Scores!$C$5:$C$44,"Paper condition",R_Scores!J$5:J$44,"&lt;"&amp;R_Scores!J31)+0.5*COUNTIFS(R_Scores!$B$5:$B$44,1,R_Scores!$C$5:$C$44,"Paper condition",R_Scores!J$5:J$44,R_Scores!J31),"")</f>
        <v/>
      </c>
      <c r="CJ31" s="1" t="str">
        <f aca="false">IF(AND(R_Scores!$B31=1,OR(R_Scores!$C31="Tool condition",R_Scores!$C31="Paper condition"),ISNUMBER(R_Scores!J31)),(COUNTIFS(R_Scores!$B$5:$B$44,1,R_Scores!$C$5:$C$44,"Tool condition",R_Scores!J$5:J$44,R_Scores!J31)+COUNTIFS(R_Scores!$B$5:$B$44,1,R_Scores!$C$5:$C$44,"Paper condition",R_Scores!J$5:J$44,R_Scores!J31))^2-1,"")</f>
        <v/>
      </c>
      <c r="CK31" s="1" t="n">
        <f aca="false">IF(AND(R_Scores!$B31=2,R_Scores!$C31="Tool condition",ISNUMBER(R_Scores!J31)),COUNTIFS(R_Scores!$B$5:$B$44,2,R_Scores!$C$5:$C$44,"Paper condition",R_Scores!J$5:J$44,"&lt;"&amp;R_Scores!J31)+0.5*COUNTIFS(R_Scores!$B$5:$B$44,2,R_Scores!$C$5:$C$44,"Paper condition",R_Scores!J$5:J$44,R_Scores!J31),"")</f>
        <v>2</v>
      </c>
      <c r="CL31" s="1" t="n">
        <f aca="false">IF(AND(R_Scores!$B31=2,OR(R_Scores!$C31="Tool condition",R_Scores!$C31="Paper condition"),ISNUMBER(R_Scores!J31)),(COUNTIFS(R_Scores!$B$5:$B$44,2,R_Scores!$C$5:$C$44,"Tool condition",R_Scores!J$5:J$44,R_Scores!J31)+COUNTIFS(R_Scores!$B$5:$B$44,2,R_Scores!$C$5:$C$44,"Paper condition",R_Scores!J$5:J$44,R_Scores!J31))^2-1,"")</f>
        <v>35</v>
      </c>
      <c r="CM31" s="1" t="n">
        <f aca="false">IF(ISNUMBER(R_Scores!J31),R_Scores!J31^2,"")</f>
        <v>0</v>
      </c>
      <c r="CN31" s="1" t="str">
        <f aca="false">IF(AND(R_Scores!$B31=1,R_Scores!$C31="Tool condition",ISNUMBER(R_Scores!K31)),COUNTIFS(R_Scores!$B$5:$B$44,1,R_Scores!$C$5:$C$44,"Paper condition",R_Scores!K$5:K$44,"&lt;"&amp;R_Scores!K31)+0.5*COUNTIFS(R_Scores!$B$5:$B$44,1,R_Scores!$C$5:$C$44,"Paper condition",R_Scores!K$5:K$44,R_Scores!K31),"")</f>
        <v/>
      </c>
      <c r="CO31" s="1" t="str">
        <f aca="false">IF(AND(R_Scores!$B31=1,OR(R_Scores!$C31="Tool condition",R_Scores!$C31="Paper condition"),ISNUMBER(R_Scores!K31)),(COUNTIFS(R_Scores!$B$5:$B$44,1,R_Scores!$C$5:$C$44,"Tool condition",R_Scores!K$5:K$44,R_Scores!K31)+COUNTIFS(R_Scores!$B$5:$B$44,1,R_Scores!$C$5:$C$44,"Paper condition",R_Scores!K$5:K$44,R_Scores!K31))^2-1,"")</f>
        <v/>
      </c>
      <c r="CP31" s="1" t="str">
        <f aca="false">IF(AND(R_Scores!$B31=2,R_Scores!$C31="Tool condition",ISNUMBER(R_Scores!K31)),COUNTIFS(R_Scores!$B$5:$B$44,2,R_Scores!$C$5:$C$44,"Paper condition",R_Scores!K$5:K$44,"&lt;"&amp;R_Scores!K31)+0.5*COUNTIFS(R_Scores!$B$5:$B$44,2,R_Scores!$C$5:$C$44,"Paper condition",R_Scores!K$5:K$44,R_Scores!K31),"")</f>
        <v/>
      </c>
      <c r="CQ31" s="1" t="str">
        <f aca="false">IF(AND(R_Scores!$B31=2,OR(R_Scores!$C31="Tool condition",R_Scores!$C31="Paper condition"),ISNUMBER(R_Scores!K31)),(COUNTIFS(R_Scores!$B$5:$B$44,2,R_Scores!$C$5:$C$44,"Tool condition",R_Scores!K$5:K$44,R_Scores!K31)+COUNTIFS(R_Scores!$B$5:$B$44,2,R_Scores!$C$5:$C$44,"Paper condition",R_Scores!K$5:K$44,R_Scores!K31))^2-1,"")</f>
        <v/>
      </c>
      <c r="CR31" s="1" t="str">
        <f aca="false">IF(ISNUMBER(R_Scores!K31),R_Scores!K31^2,"")</f>
        <v/>
      </c>
      <c r="CS31" s="1" t="str">
        <f aca="false">IF(AND(R_Scores!$B31=1,R_Scores!$C31="Tool condition",ISNUMBER(R_Scores!L31)),COUNTIFS(R_Scores!$B$5:$B$44,1,R_Scores!$C$5:$C$44,"Paper condition",R_Scores!L$5:L$44,"&lt;"&amp;R_Scores!L31)+0.5*COUNTIFS(R_Scores!$B$5:$B$44,1,R_Scores!$C$5:$C$44,"Paper condition",R_Scores!L$5:L$44,R_Scores!L31),"")</f>
        <v/>
      </c>
      <c r="CT31" s="1" t="str">
        <f aca="false">IF(AND(R_Scores!$B31=1,OR(R_Scores!$C31="Tool condition",R_Scores!$C31="Paper condition"),ISNUMBER(R_Scores!L31)),(COUNTIFS(R_Scores!$B$5:$B$44,1,R_Scores!$C$5:$C$44,"Tool condition",R_Scores!L$5:L$44,R_Scores!L31)+COUNTIFS(R_Scores!$B$5:$B$44,1,R_Scores!$C$5:$C$44,"Paper condition",R_Scores!L$5:L$44,R_Scores!L31))^2-1,"")</f>
        <v/>
      </c>
      <c r="CU31" s="1" t="str">
        <f aca="false">IF(AND(R_Scores!$B31=2,R_Scores!$C31="Tool condition",ISNUMBER(R_Scores!L31)),COUNTIFS(R_Scores!$B$5:$B$44,2,R_Scores!$C$5:$C$44,"Paper condition",R_Scores!L$5:L$44,"&lt;"&amp;R_Scores!L31)+0.5*COUNTIFS(R_Scores!$B$5:$B$44,2,R_Scores!$C$5:$C$44,"Paper condition",R_Scores!L$5:L$44,R_Scores!L31),"")</f>
        <v/>
      </c>
      <c r="CV31" s="1" t="str">
        <f aca="false">IF(AND(R_Scores!$B31=2,OR(R_Scores!$C31="Tool condition",R_Scores!$C31="Paper condition"),ISNUMBER(R_Scores!L31)),(COUNTIFS(R_Scores!$B$5:$B$44,2,R_Scores!$C$5:$C$44,"Tool condition",R_Scores!L$5:L$44,R_Scores!L31)+COUNTIFS(R_Scores!$B$5:$B$44,2,R_Scores!$C$5:$C$44,"Paper condition",R_Scores!L$5:L$44,R_Scores!L31))^2-1,"")</f>
        <v/>
      </c>
      <c r="CW31" s="1" t="str">
        <f aca="false">IF(ISNUMBER(R_Scores!L31),R_Scores!L31^2,"")</f>
        <v/>
      </c>
      <c r="CX31" s="1" t="str">
        <f aca="false">IF(AND(R_Scores!$B31=1,R_Scores!$C31="Tool condition",ISNUMBER(R_Scores!M31)),COUNTIFS(R_Scores!$B$5:$B$44,1,R_Scores!$C$5:$C$44,"Paper condition",R_Scores!M$5:M$44,"&lt;"&amp;R_Scores!M31)+0.5*COUNTIFS(R_Scores!$B$5:$B$44,1,R_Scores!$C$5:$C$44,"Paper condition",R_Scores!M$5:M$44,R_Scores!M31),"")</f>
        <v/>
      </c>
      <c r="CY31" s="1" t="str">
        <f aca="false">IF(AND(R_Scores!$B31=1,OR(R_Scores!$C31="Tool condition",R_Scores!$C31="Paper condition"),ISNUMBER(R_Scores!M31)),(COUNTIFS(R_Scores!$B$5:$B$44,1,R_Scores!$C$5:$C$44,"Tool condition",R_Scores!M$5:M$44,R_Scores!M31)+COUNTIFS(R_Scores!$B$5:$B$44,1,R_Scores!$C$5:$C$44,"Paper condition",R_Scores!M$5:M$44,R_Scores!M31))^2-1,"")</f>
        <v/>
      </c>
      <c r="CZ31" s="1" t="str">
        <f aca="false">IF(AND(R_Scores!$B31=2,R_Scores!$C31="Tool condition",ISNUMBER(R_Scores!M31)),COUNTIFS(R_Scores!$B$5:$B$44,2,R_Scores!$C$5:$C$44,"Paper condition",R_Scores!M$5:M$44,"&lt;"&amp;R_Scores!M31)+0.5*COUNTIFS(R_Scores!$B$5:$B$44,2,R_Scores!$C$5:$C$44,"Paper condition",R_Scores!M$5:M$44,R_Scores!M31),"")</f>
        <v/>
      </c>
      <c r="DA31" s="1" t="str">
        <f aca="false">IF(AND(R_Scores!$B31=2,OR(R_Scores!$C31="Tool condition",R_Scores!$C31="Paper condition"),ISNUMBER(R_Scores!M31)),(COUNTIFS(R_Scores!$B$5:$B$44,2,R_Scores!$C$5:$C$44,"Tool condition",R_Scores!M$5:M$44,R_Scores!M31)+COUNTIFS(R_Scores!$B$5:$B$44,2,R_Scores!$C$5:$C$44,"Paper condition",R_Scores!M$5:M$44,R_Scores!M31))^2-1,"")</f>
        <v/>
      </c>
      <c r="DB31" s="1" t="str">
        <f aca="false">IF(ISNUMBER(R_Scores!M31),R_Scores!M31^2,"")</f>
        <v/>
      </c>
      <c r="DC31" s="1" t="str">
        <f aca="false">IF(AND(R_Scores!$B31=1,R_Scores!$C31="Tool condition",ISNUMBER(R_Scores!N31)),COUNTIFS(R_Scores!$B$5:$B$44,1,R_Scores!$C$5:$C$44,"Paper condition",R_Scores!N$5:N$44,"&lt;"&amp;R_Scores!N31)+0.5*COUNTIFS(R_Scores!$B$5:$B$44,1,R_Scores!$C$5:$C$44,"Paper condition",R_Scores!N$5:N$44,R_Scores!N31),"")</f>
        <v/>
      </c>
      <c r="DD31" s="1" t="str">
        <f aca="false">IF(AND(R_Scores!$B31=1,OR(R_Scores!$C31="Tool condition",R_Scores!$C31="Paper condition"),ISNUMBER(R_Scores!N31)),(COUNTIFS(R_Scores!$B$5:$B$44,1,R_Scores!$C$5:$C$44,"Tool condition",R_Scores!N$5:N$44,R_Scores!N31)+COUNTIFS(R_Scores!$B$5:$B$44,1,R_Scores!$C$5:$C$44,"Paper condition",R_Scores!N$5:N$44,R_Scores!N31))^2-1,"")</f>
        <v/>
      </c>
      <c r="DE31" s="1" t="n">
        <f aca="false">IF(AND(R_Scores!$B31=2,R_Scores!$C31="Tool condition",ISNUMBER(R_Scores!N31)),COUNTIFS(R_Scores!$B$5:$B$44,2,R_Scores!$C$5:$C$44,"Paper condition",R_Scores!N$5:N$44,"&lt;"&amp;R_Scores!N31)+0.5*COUNTIFS(R_Scores!$B$5:$B$44,2,R_Scores!$C$5:$C$44,"Paper condition",R_Scores!N$5:N$44,R_Scores!N31),"")</f>
        <v>8</v>
      </c>
      <c r="DF31" s="1" t="n">
        <f aca="false">IF(AND(R_Scores!$B31=2,OR(R_Scores!$C31="Tool condition",R_Scores!$C31="Paper condition"),ISNUMBER(R_Scores!N31)),(COUNTIFS(R_Scores!$B$5:$B$44,2,R_Scores!$C$5:$C$44,"Tool condition",R_Scores!N$5:N$44,R_Scores!N31)+COUNTIFS(R_Scores!$B$5:$B$44,2,R_Scores!$C$5:$C$44,"Paper condition",R_Scores!N$5:N$44,R_Scores!N31))^2-1,"")</f>
        <v>143</v>
      </c>
      <c r="DG31" s="1" t="n">
        <f aca="false">IF(ISNUMBER(R_Scores!N31),R_Scores!N31^2,"")</f>
        <v>1</v>
      </c>
      <c r="DH31" s="1" t="str">
        <f aca="false">IF(AND(R_Scores!$B31=1,R_Scores!$C31="Tool condition",ISNUMBER(R_Scores!O31)),COUNTIFS(R_Scores!$B$5:$B$44,1,R_Scores!$C$5:$C$44,"Paper condition",R_Scores!O$5:O$44,"&lt;"&amp;R_Scores!O31)+0.5*COUNTIFS(R_Scores!$B$5:$B$44,1,R_Scores!$C$5:$C$44,"Paper condition",R_Scores!O$5:O$44,R_Scores!O31),"")</f>
        <v/>
      </c>
      <c r="DI31" s="1" t="str">
        <f aca="false">IF(AND(R_Scores!$B31=1,OR(R_Scores!$C31="Tool condition",R_Scores!$C31="Paper condition"),ISNUMBER(R_Scores!O31)),(COUNTIFS(R_Scores!$B$5:$B$44,1,R_Scores!$C$5:$C$44,"Tool condition",R_Scores!O$5:O$44,R_Scores!O31)+COUNTIFS(R_Scores!$B$5:$B$44,1,R_Scores!$C$5:$C$44,"Paper condition",R_Scores!O$5:O$44,R_Scores!O31))^2-1,"")</f>
        <v/>
      </c>
      <c r="DJ31" s="1" t="n">
        <f aca="false">IF(AND(R_Scores!$B31=2,R_Scores!$C31="Tool condition",ISNUMBER(R_Scores!O31)),COUNTIFS(R_Scores!$B$5:$B$44,2,R_Scores!$C$5:$C$44,"Paper condition",R_Scores!O$5:O$44,"&lt;"&amp;R_Scores!O31)+0.5*COUNTIFS(R_Scores!$B$5:$B$44,2,R_Scores!$C$5:$C$44,"Paper condition",R_Scores!O$5:O$44,R_Scores!O31),"")</f>
        <v>7</v>
      </c>
      <c r="DK31" s="1" t="n">
        <f aca="false">IF(AND(R_Scores!$B31=2,OR(R_Scores!$C31="Tool condition",R_Scores!$C31="Paper condition"),ISNUMBER(R_Scores!O31)),(COUNTIFS(R_Scores!$B$5:$B$44,2,R_Scores!$C$5:$C$44,"Tool condition",R_Scores!O$5:O$44,R_Scores!O31)+COUNTIFS(R_Scores!$B$5:$B$44,2,R_Scores!$C$5:$C$44,"Paper condition",R_Scores!O$5:O$44,R_Scores!O31))^2-1,"")</f>
        <v>168</v>
      </c>
      <c r="DL31" s="1" t="n">
        <f aca="false">IF(ISNUMBER(R_Scores!O31),R_Scores!O31^2,"")</f>
        <v>1</v>
      </c>
      <c r="DM31" s="1" t="str">
        <f aca="false">IF(AND(R_Scores!$B31=1,R_Scores!$C31="Tool condition",ISNUMBER(R_Scores!P31)),COUNTIFS(R_Scores!$B$5:$B$44,1,R_Scores!$C$5:$C$44,"Paper condition",R_Scores!P$5:P$44,"&lt;"&amp;R_Scores!P31)+0.5*COUNTIFS(R_Scores!$B$5:$B$44,1,R_Scores!$C$5:$C$44,"Paper condition",R_Scores!P$5:P$44,R_Scores!P31),"")</f>
        <v/>
      </c>
      <c r="DN31" s="1" t="str">
        <f aca="false">IF(AND(R_Scores!$B31=1,OR(R_Scores!$C31="Tool condition",R_Scores!$C31="Paper condition"),ISNUMBER(R_Scores!P31)),(COUNTIFS(R_Scores!$B$5:$B$44,1,R_Scores!$C$5:$C$44,"Tool condition",R_Scores!P$5:P$44,R_Scores!P31)+COUNTIFS(R_Scores!$B$5:$B$44,1,R_Scores!$C$5:$C$44,"Paper condition",R_Scores!P$5:P$44,R_Scores!P31))^2-1,"")</f>
        <v/>
      </c>
      <c r="DO31" s="1" t="n">
        <f aca="false">IF(AND(R_Scores!$B31=2,R_Scores!$C31="Tool condition",ISNUMBER(R_Scores!P31)),COUNTIFS(R_Scores!$B$5:$B$44,2,R_Scores!$C$5:$C$44,"Paper condition",R_Scores!P$5:P$44,"&lt;"&amp;R_Scores!P31)+0.5*COUNTIFS(R_Scores!$B$5:$B$44,2,R_Scores!$C$5:$C$44,"Paper condition",R_Scores!P$5:P$44,R_Scores!P31),"")</f>
        <v>4.5</v>
      </c>
      <c r="DP31" s="1" t="n">
        <f aca="false">IF(AND(R_Scores!$B31=2,OR(R_Scores!$C31="Tool condition",R_Scores!$C31="Paper condition"),ISNUMBER(R_Scores!P31)),(COUNTIFS(R_Scores!$B$5:$B$44,2,R_Scores!$C$5:$C$44,"Tool condition",R_Scores!P$5:P$44,R_Scores!P31)+COUNTIFS(R_Scores!$B$5:$B$44,2,R_Scores!$C$5:$C$44,"Paper condition",R_Scores!P$5:P$44,R_Scores!P31))^2-1,"")</f>
        <v>168</v>
      </c>
      <c r="DQ31" s="1" t="n">
        <f aca="false">IF(ISNUMBER(R_Scores!P31),R_Scores!P31^2,"")</f>
        <v>0</v>
      </c>
      <c r="DR31" s="1" t="str">
        <f aca="false">IF(AND(Scores!$B31=1,Scores!$C31="Tool condition",ISNUMBER(Scores!Q31)),COUNTIFS(Scores!$B$5:$B$44,1,Scores!$C$5:$C$44,"Paper condition",Scores!Q$5:Q$44,"&lt;"&amp;Scores!Q31)+0.5*COUNTIFS(Scores!$B$5:$B$44,1,Scores!$C$5:$C$44,"Paper condition",Scores!Q$5:Q$44,Scores!Q31),"")</f>
        <v/>
      </c>
      <c r="DS31" s="1" t="str">
        <f aca="false">IF(AND(Scores!$B31=1,OR(Scores!$C31="Tool condition",Scores!$C31="Paper condition"),ISNUMBER(Scores!Q31)),(COUNTIFS(Scores!$B$5:$B$44,1,Scores!$C$5:$C$44,"Tool condition",Scores!Q$5:Q$44,Scores!Q31)+COUNTIFS(Scores!$B$5:$B$44,1,Scores!$C$5:$C$44,"Paper condition",Scores!Q$5:Q$44,Scores!Q31))^2-1,"")</f>
        <v/>
      </c>
      <c r="DT31" s="1" t="n">
        <f aca="false">IF(AND(Scores!$B31=2,Scores!$C31="Tool condition",ISNUMBER(Scores!Q31)),COUNTIFS(Scores!$B$5:$B$44,2,Scores!$C$5:$C$44,"Paper condition",Scores!Q$5:Q$44,"&lt;"&amp;Scores!Q31)+0.5*COUNTIFS(Scores!$B$5:$B$44,2,Scores!$C$5:$C$44,"Paper condition",Scores!Q$5:Q$44,Scores!Q31),"")</f>
        <v>8</v>
      </c>
      <c r="DU31" s="1" t="n">
        <f aca="false">IF(AND(Scores!$B31=2,OR(Scores!$C31="Tool condition",Scores!$C31="Paper condition"),ISNUMBER(Scores!Q31)),(COUNTIFS(Scores!$B$5:$B$44,2,Scores!$C$5:$C$44,"Tool condition",Scores!Q$5:Q$44,Scores!Q31)+COUNTIFS(Scores!$B$5:$B$44,2,Scores!$C$5:$C$44,"Paper condition",Scores!Q$5:Q$44,Scores!Q31))^2-1,"")</f>
        <v>35</v>
      </c>
      <c r="DV31" s="1" t="n">
        <f aca="false">IF(ISNUMBER(Scores!Q31),Scores!Q31^2,"")</f>
        <v>289</v>
      </c>
      <c r="DW31" s="1" t="str">
        <f aca="false">IF(AND(Scores!$B31=1,Scores!$C31="Tool condition",ISNUMBER(Scores!R31)),COUNTIFS(Scores!$B$5:$B$44,1,Scores!$C$5:$C$44,"Paper condition",Scores!R$5:R$44,"&lt;"&amp;Scores!R31)+0.5*COUNTIFS(Scores!$B$5:$B$44,1,Scores!$C$5:$C$44,"Paper condition",Scores!R$5:R$44,Scores!R31),"")</f>
        <v/>
      </c>
      <c r="DX31" s="1" t="str">
        <f aca="false">IF(AND(Scores!$B31=1,OR(Scores!$C31="Tool condition",Scores!$C31="Paper condition"),ISNUMBER(Scores!R31)),(COUNTIFS(Scores!$B$5:$B$44,1,Scores!$C$5:$C$44,"Tool condition",Scores!R$5:R$44,Scores!R31)+COUNTIFS(Scores!$B$5:$B$44,1,Scores!$C$5:$C$44,"Paper condition",Scores!R$5:R$44,Scores!R31))^2-1,"")</f>
        <v/>
      </c>
      <c r="DY31" s="1" t="n">
        <f aca="false">IF(AND(Scores!$B31=2,Scores!$C31="Tool condition",ISNUMBER(Scores!R31)),COUNTIFS(Scores!$B$5:$B$44,2,Scores!$C$5:$C$44,"Paper condition",Scores!R$5:R$44,"&lt;"&amp;Scores!R31)+0.5*COUNTIFS(Scores!$B$5:$B$44,2,Scores!$C$5:$C$44,"Paper condition",Scores!R$5:R$44,Scores!R31),"")</f>
        <v>10</v>
      </c>
      <c r="DZ31" s="1" t="n">
        <f aca="false">IF(AND(Scores!$B31=2,OR(Scores!$C31="Tool condition",Scores!$C31="Paper condition"),ISNUMBER(Scores!R31)),(COUNTIFS(Scores!$B$5:$B$44,2,Scores!$C$5:$C$44,"Tool condition",Scores!R$5:R$44,Scores!R31)+COUNTIFS(Scores!$B$5:$B$44,2,Scores!$C$5:$C$44,"Paper condition",Scores!R$5:R$44,Scores!R31))^2-1,"")</f>
        <v>8</v>
      </c>
      <c r="EA31" s="1" t="n">
        <f aca="false">IF(ISNUMBER(Scores!R31),Scores!R31^2,"")</f>
        <v>121</v>
      </c>
      <c r="EB31" s="1" t="str">
        <f aca="false">IF(AND(Scores!$B31=1,Scores!$C31="Tool condition",ISNUMBER(Scores!S31)),COUNTIFS(Scores!$B$5:$B$44,1,Scores!$C$5:$C$44,"Paper condition",Scores!S$5:S$44,"&lt;"&amp;Scores!S31)+0.5*COUNTIFS(Scores!$B$5:$B$44,1,Scores!$C$5:$C$44,"Paper condition",Scores!S$5:S$44,Scores!S31),"")</f>
        <v/>
      </c>
      <c r="EC31" s="1" t="str">
        <f aca="false">IF(AND(Scores!$B31=1,OR(Scores!$C31="Tool condition",Scores!$C31="Paper condition"),ISNUMBER(Scores!S31)),(COUNTIFS(Scores!$B$5:$B$44,1,Scores!$C$5:$C$44,"Tool condition",Scores!S$5:S$44,Scores!S31)+COUNTIFS(Scores!$B$5:$B$44,1,Scores!$C$5:$C$44,"Paper condition",Scores!S$5:S$44,Scores!S31))^2-1,"")</f>
        <v/>
      </c>
      <c r="ED31" s="1" t="n">
        <f aca="false">IF(AND(Scores!$B31=2,Scores!$C31="Tool condition",ISNUMBER(Scores!S31)),COUNTIFS(Scores!$B$5:$B$44,2,Scores!$C$5:$C$44,"Paper condition",Scores!S$5:S$44,"&lt;"&amp;Scores!S31)+0.5*COUNTIFS(Scores!$B$5:$B$44,2,Scores!$C$5:$C$44,"Paper condition",Scores!S$5:S$44,Scores!S31),"")</f>
        <v>3</v>
      </c>
      <c r="EE31" s="1" t="n">
        <f aca="false">IF(AND(Scores!$B31=2,OR(Scores!$C31="Tool condition",Scores!$C31="Paper condition"),ISNUMBER(Scores!S31)),(COUNTIFS(Scores!$B$5:$B$44,2,Scores!$C$5:$C$44,"Tool condition",Scores!S$5:S$44,Scores!S31)+COUNTIFS(Scores!$B$5:$B$44,2,Scores!$C$5:$C$44,"Paper condition",Scores!S$5:S$44,Scores!S31))^2-1,"")</f>
        <v>24</v>
      </c>
      <c r="EF31" s="1" t="n">
        <f aca="false">IF(ISNUMBER(Scores!S31),Scores!S31^2,"")</f>
        <v>36</v>
      </c>
      <c r="EG31" s="1" t="str">
        <f aca="false">IF(AND(Scores!$B31=1,Scores!$C31="Tool condition",ISNUMBER(Scores!T31)),COUNTIFS(Scores!$B$5:$B$44,1,Scores!$C$5:$C$44,"Paper condition",Scores!T$5:T$44,"&lt;"&amp;Scores!T31)+0.5*COUNTIFS(Scores!$B$5:$B$44,1,Scores!$C$5:$C$44,"Paper condition",Scores!T$5:T$44,Scores!T31),"")</f>
        <v/>
      </c>
      <c r="EH31" s="1" t="str">
        <f aca="false">IF(AND(Scores!$B31=1,OR(Scores!$C31="Tool condition",Scores!$C31="Paper condition"),ISNUMBER(Scores!T31)),(COUNTIFS(Scores!$B$5:$B$44,1,Scores!$C$5:$C$44,"Tool condition",Scores!T$5:T$44,Scores!T31)+COUNTIFS(Scores!$B$5:$B$44,1,Scores!$C$5:$C$44,"Paper condition",Scores!T$5:T$44,Scores!T31))^2-1,"")</f>
        <v/>
      </c>
      <c r="EI31" s="1" t="n">
        <f aca="false">IF(AND(Scores!$B31=2,Scores!$C31="Tool condition",ISNUMBER(Scores!T31)),COUNTIFS(Scores!$B$5:$B$44,2,Scores!$C$5:$C$44,"Paper condition",Scores!T$5:T$44,"&lt;"&amp;Scores!T31)+0.5*COUNTIFS(Scores!$B$5:$B$44,2,Scores!$C$5:$C$44,"Paper condition",Scores!T$5:T$44,Scores!T31),"")</f>
        <v>2</v>
      </c>
      <c r="EJ31" s="1" t="n">
        <f aca="false">IF(AND(Scores!$B31=2,OR(Scores!$C31="Tool condition",Scores!$C31="Paper condition"),ISNUMBER(Scores!T31)),(COUNTIFS(Scores!$B$5:$B$44,2,Scores!$C$5:$C$44,"Tool condition",Scores!T$5:T$44,Scores!T31)+COUNTIFS(Scores!$B$5:$B$44,2,Scores!$C$5:$C$44,"Paper condition",Scores!T$5:T$44,Scores!T31))^2-1,"")</f>
        <v>8</v>
      </c>
      <c r="EK31" s="1" t="n">
        <f aca="false">IF(ISNUMBER(Scores!T31),Scores!T31^2,"")</f>
        <v>25</v>
      </c>
      <c r="EL31" s="1" t="str">
        <f aca="false">IF(AND(Scores!$B31=1,Scores!$C31="Tool condition",ISNUMBER(Scores!U31)),COUNTIFS(Scores!$B$5:$B$44,1,Scores!$C$5:$C$44,"Paper condition",Scores!U$5:U$44,"&lt;"&amp;Scores!U31)+0.5*COUNTIFS(Scores!$B$5:$B$44,1,Scores!$C$5:$C$44,"Paper condition",Scores!U$5:U$44,Scores!U31),"")</f>
        <v/>
      </c>
      <c r="EM31" s="1" t="str">
        <f aca="false">IF(AND(Scores!$B31=1,OR(Scores!$C31="Tool condition",Scores!$C31="Paper condition"),ISNUMBER(Scores!U31)),(COUNTIFS(Scores!$B$5:$B$44,1,Scores!$C$5:$C$44,"Tool condition",Scores!U$5:U$44,Scores!U31)+COUNTIFS(Scores!$B$5:$B$44,1,Scores!$C$5:$C$44,"Paper condition",Scores!U$5:U$44,Scores!U31))^2-1,"")</f>
        <v/>
      </c>
      <c r="EN31" s="1" t="n">
        <f aca="false">IF(AND(Scores!$B31=2,Scores!$C31="Tool condition",ISNUMBER(Scores!U31)),COUNTIFS(Scores!$B$5:$B$44,2,Scores!$C$5:$C$44,"Paper condition",Scores!U$5:U$44,"&lt;"&amp;Scores!U31)+0.5*COUNTIFS(Scores!$B$5:$B$44,2,Scores!$C$5:$C$44,"Paper condition",Scores!U$5:U$44,Scores!U31),"")</f>
        <v>9.5</v>
      </c>
      <c r="EO31" s="1" t="n">
        <f aca="false">IF(AND(Scores!$B31=2,OR(Scores!$C31="Tool condition",Scores!$C31="Paper condition"),ISNUMBER(Scores!U31)),(COUNTIFS(Scores!$B$5:$B$44,2,Scores!$C$5:$C$44,"Tool condition",Scores!U$5:U$44,Scores!U31)+COUNTIFS(Scores!$B$5:$B$44,2,Scores!$C$5:$C$44,"Paper condition",Scores!U$5:U$44,Scores!U31))^2-1,"")</f>
        <v>15</v>
      </c>
      <c r="EP31" s="1" t="n">
        <f aca="false">IF(ISNUMBER(Scores!U31),Scores!U31^2,"")</f>
        <v>25</v>
      </c>
      <c r="EQ31" s="1" t="str">
        <f aca="false">IF(AND(Scores!$B31=1,Scores!$C31="Tool condition",ISNUMBER(Scores!V31)),COUNTIFS(Scores!$B$5:$B$44,1,Scores!$C$5:$C$44,"Paper condition",Scores!V$5:V$44,"&lt;"&amp;Scores!V31)+0.5*COUNTIFS(Scores!$B$5:$B$44,1,Scores!$C$5:$C$44,"Paper condition",Scores!V$5:V$44,Scores!V31),"")</f>
        <v/>
      </c>
      <c r="ER31" s="1" t="str">
        <f aca="false">IF(AND(Scores!$B31=1,OR(Scores!$C31="Tool condition",Scores!$C31="Paper condition"),ISNUMBER(Scores!V31)),(COUNTIFS(Scores!$B$5:$B$44,1,Scores!$C$5:$C$44,"Tool condition",Scores!V$5:V$44,Scores!V31)+COUNTIFS(Scores!$B$5:$B$44,1,Scores!$C$5:$C$44,"Paper condition",Scores!V$5:V$44,Scores!V31))^2-1,"")</f>
        <v/>
      </c>
      <c r="ES31" s="1" t="n">
        <f aca="false">IF(AND(Scores!$B31=2,Scores!$C31="Tool condition",ISNUMBER(Scores!V31)),COUNTIFS(Scores!$B$5:$B$44,2,Scores!$C$5:$C$44,"Paper condition",Scores!V$5:V$44,"&lt;"&amp;Scores!V31)+0.5*COUNTIFS(Scores!$B$5:$B$44,2,Scores!$C$5:$C$44,"Paper condition",Scores!V$5:V$44,Scores!V31),"")</f>
        <v>8</v>
      </c>
      <c r="ET31" s="1" t="n">
        <f aca="false">IF(AND(Scores!$B31=2,OR(Scores!$C31="Tool condition",Scores!$C31="Paper condition"),ISNUMBER(Scores!V31)),(COUNTIFS(Scores!$B$5:$B$44,2,Scores!$C$5:$C$44,"Tool condition",Scores!V$5:V$44,Scores!V31)+COUNTIFS(Scores!$B$5:$B$44,2,Scores!$C$5:$C$44,"Paper condition",Scores!V$5:V$44,Scores!V31))^2-1,"")</f>
        <v>48</v>
      </c>
      <c r="EU31" s="1" t="n">
        <f aca="false">IF(ISNUMBER(Scores!V31),Scores!V31^2,"")</f>
        <v>49</v>
      </c>
      <c r="EV31" s="1" t="str">
        <f aca="false">IF(AND(R_Scores!$B31=1,R_Scores!$C31="Tool condition",ISNUMBER(R_Scores!Q31)),COUNTIFS(R_Scores!$B$5:$B$44,1,R_Scores!$C$5:$C$44,"Paper condition",R_Scores!Q$5:Q$44,"&lt;"&amp;R_Scores!Q31)+0.5*COUNTIFS(R_Scores!$B$5:$B$44,1,R_Scores!$C$5:$C$44,"Paper condition",R_Scores!Q$5:Q$44,R_Scores!Q31),"")</f>
        <v/>
      </c>
      <c r="EW31" s="1" t="str">
        <f aca="false">IF(AND(R_Scores!$B31=1,OR(R_Scores!$C31="Tool condition",R_Scores!$C31="Paper condition"),ISNUMBER(R_Scores!Q31)),(COUNTIFS(R_Scores!$B$5:$B$44,1,R_Scores!$C$5:$C$44,"Tool condition",R_Scores!Q$5:Q$44,R_Scores!Q31)+COUNTIFS(R_Scores!$B$5:$B$44,1,R_Scores!$C$5:$C$44,"Paper condition",R_Scores!Q$5:Q$44,R_Scores!Q31))^2-1,"")</f>
        <v/>
      </c>
      <c r="EX31" s="1" t="n">
        <f aca="false">IF(AND(R_Scores!$B31=2,R_Scores!$C31="Tool condition",ISNUMBER(R_Scores!Q31)),COUNTIFS(R_Scores!$B$5:$B$44,2,R_Scores!$C$5:$C$44,"Paper condition",R_Scores!Q$5:Q$44,"&lt;"&amp;R_Scores!Q31)+0.5*COUNTIFS(R_Scores!$B$5:$B$44,2,R_Scores!$C$5:$C$44,"Paper condition",R_Scores!Q$5:Q$44,R_Scores!Q31),"")</f>
        <v>8.5</v>
      </c>
      <c r="EY31" s="1" t="n">
        <f aca="false">IF(AND(R_Scores!$B31=2,OR(R_Scores!$C31="Tool condition",R_Scores!$C31="Paper condition"),ISNUMBER(R_Scores!Q31)),(COUNTIFS(R_Scores!$B$5:$B$44,2,R_Scores!$C$5:$C$44,"Tool condition",R_Scores!Q$5:Q$44,R_Scores!Q31)+COUNTIFS(R_Scores!$B$5:$B$44,2,R_Scores!$C$5:$C$44,"Paper condition",R_Scores!Q$5:Q$44,R_Scores!Q31))^2-1,"")</f>
        <v>143</v>
      </c>
      <c r="EZ31" s="1" t="n">
        <f aca="false">IF(ISNUMBER(R_Scores!Q31),R_Scores!Q31^2,"")</f>
        <v>25</v>
      </c>
      <c r="FA31" s="1" t="str">
        <f aca="false">IF(AND(R_Scores!$B31=1,R_Scores!$C31="Tool condition",ISNUMBER(R_Scores!R31)),COUNTIFS(R_Scores!$B$5:$B$44,1,R_Scores!$C$5:$C$44,"Paper condition",R_Scores!R$5:R$44,"&lt;"&amp;R_Scores!R31)+0.5*COUNTIFS(R_Scores!$B$5:$B$44,1,R_Scores!$C$5:$C$44,"Paper condition",R_Scores!R$5:R$44,R_Scores!R31),"")</f>
        <v/>
      </c>
      <c r="FB31" s="1" t="str">
        <f aca="false">IF(AND(R_Scores!$B31=1,OR(R_Scores!$C31="Tool condition",R_Scores!$C31="Paper condition"),ISNUMBER(R_Scores!R31)),(COUNTIFS(R_Scores!$B$5:$B$44,1,R_Scores!$C$5:$C$44,"Tool condition",R_Scores!R$5:R$44,R_Scores!R31)+COUNTIFS(R_Scores!$B$5:$B$44,1,R_Scores!$C$5:$C$44,"Paper condition",R_Scores!R$5:R$44,R_Scores!R31))^2-1,"")</f>
        <v/>
      </c>
      <c r="FC31" s="1" t="n">
        <f aca="false">IF(AND(R_Scores!$B31=2,R_Scores!$C31="Tool condition",ISNUMBER(R_Scores!R31)),COUNTIFS(R_Scores!$B$5:$B$44,2,R_Scores!$C$5:$C$44,"Paper condition",R_Scores!R$5:R$44,"&lt;"&amp;R_Scores!R31)+0.5*COUNTIFS(R_Scores!$B$5:$B$44,2,R_Scores!$C$5:$C$44,"Paper condition",R_Scores!R$5:R$44,R_Scores!R31),"")</f>
        <v>8</v>
      </c>
      <c r="FD31" s="1" t="n">
        <f aca="false">IF(AND(R_Scores!$B31=2,OR(R_Scores!$C31="Tool condition",R_Scores!$C31="Paper condition"),ISNUMBER(R_Scores!R31)),(COUNTIFS(R_Scores!$B$5:$B$44,2,R_Scores!$C$5:$C$44,"Tool condition",R_Scores!R$5:R$44,R_Scores!R31)+COUNTIFS(R_Scores!$B$5:$B$44,2,R_Scores!$C$5:$C$44,"Paper condition",R_Scores!R$5:R$44,R_Scores!R31))^2-1,"")</f>
        <v>35</v>
      </c>
      <c r="FE31" s="1" t="n">
        <f aca="false">IF(ISNUMBER(R_Scores!R31),R_Scores!R31^2,"")</f>
        <v>484</v>
      </c>
    </row>
    <row r="32" customFormat="false" ht="14.25" hidden="false" customHeight="true" outlineLevel="0" collapsed="false">
      <c r="B32" s="1" t="str">
        <f aca="false">IF(AND(Scores!$B32=1,Scores!$C32="Tool condition",ISNUMBER(Scores!E32)),COUNTIFS(Scores!$B$5:$B$44,1,Scores!$C$5:$C$44,"Paper condition",Scores!E$5:E$44,"&lt;"&amp;Scores!E32)+0.5*COUNTIFS(Scores!$B$5:$B$44,1,Scores!$C$5:$C$44,"Paper condition",Scores!E$5:E$44,Scores!E32),"")</f>
        <v/>
      </c>
      <c r="C32" s="1" t="str">
        <f aca="false">IF(AND(Scores!$B32=1,OR(Scores!$C32="Tool condition",Scores!$C32="Paper condition"),ISNUMBER(Scores!E32)),(COUNTIFS(Scores!$B$5:$B$44,1,Scores!$C$5:$C$44,"Tool condition",Scores!E$5:E$44,Scores!E32)+COUNTIFS(Scores!$B$5:$B$44,1,Scores!$C$5:$C$44,"Paper condition",Scores!E$5:E$44,Scores!E32))^2-1,"")</f>
        <v/>
      </c>
      <c r="D32" s="1" t="n">
        <f aca="false">IF(AND(Scores!$B32=2,Scores!$C32="Tool condition",ISNUMBER(Scores!E32)),COUNTIFS(Scores!$B$5:$B$44,2,Scores!$C$5:$C$44,"Paper condition",Scores!E$5:E$44,"&lt;"&amp;Scores!E32)+0.5*COUNTIFS(Scores!$B$5:$B$44,2,Scores!$C$5:$C$44,"Paper condition",Scores!E$5:E$44,Scores!E32),"")</f>
        <v>7.5</v>
      </c>
      <c r="E32" s="1" t="n">
        <f aca="false">IF(AND(Scores!$B32=2,OR(Scores!$C32="Tool condition",Scores!$C32="Paper condition"),ISNUMBER(Scores!E32)),(COUNTIFS(Scores!$B$5:$B$44,2,Scores!$C$5:$C$44,"Tool condition",Scores!E$5:E$44,Scores!E32)+COUNTIFS(Scores!$B$5:$B$44,2,Scores!$C$5:$C$44,"Paper condition",Scores!E$5:E$44,Scores!E32))^2-1,"")</f>
        <v>143</v>
      </c>
      <c r="F32" s="1" t="n">
        <f aca="false">IF(ISNUMBER(Scores!E32),Scores!E32^2,"")</f>
        <v>4</v>
      </c>
      <c r="G32" s="1" t="str">
        <f aca="false">IF(AND(Scores!$B32=1,Scores!$C32="Tool condition",ISNUMBER(Scores!F32)),COUNTIFS(Scores!$B$5:$B$44,1,Scores!$C$5:$C$44,"Paper condition",Scores!F$5:F$44,"&lt;"&amp;Scores!F32)+0.5*COUNTIFS(Scores!$B$5:$B$44,1,Scores!$C$5:$C$44,"Paper condition",Scores!F$5:F$44,Scores!F32),"")</f>
        <v/>
      </c>
      <c r="H32" s="1" t="str">
        <f aca="false">IF(AND(Scores!$B32=1,OR(Scores!$C32="Tool condition",Scores!$C32="Paper condition"),ISNUMBER(Scores!F32)),(COUNTIFS(Scores!$B$5:$B$44,1,Scores!$C$5:$C$44,"Tool condition",Scores!F$5:F$44,Scores!F32)+COUNTIFS(Scores!$B$5:$B$44,1,Scores!$C$5:$C$44,"Paper condition",Scores!F$5:F$44,Scores!F32))^2-1,"")</f>
        <v/>
      </c>
      <c r="I32" s="1" t="n">
        <f aca="false">IF(AND(Scores!$B32=2,Scores!$C32="Tool condition",ISNUMBER(Scores!F32)),COUNTIFS(Scores!$B$5:$B$44,2,Scores!$C$5:$C$44,"Paper condition",Scores!F$5:F$44,"&lt;"&amp;Scores!F32)+0.5*COUNTIFS(Scores!$B$5:$B$44,2,Scores!$C$5:$C$44,"Paper condition",Scores!F$5:F$44,Scores!F32),"")</f>
        <v>8</v>
      </c>
      <c r="J32" s="1" t="n">
        <f aca="false">IF(AND(Scores!$B32=2,OR(Scores!$C32="Tool condition",Scores!$C32="Paper condition"),ISNUMBER(Scores!F32)),(COUNTIFS(Scores!$B$5:$B$44,2,Scores!$C$5:$C$44,"Tool condition",Scores!F$5:F$44,Scores!F32)+COUNTIFS(Scores!$B$5:$B$44,2,Scores!$C$5:$C$44,"Paper condition",Scores!F$5:F$44,Scores!F32))^2-1,"")</f>
        <v>120</v>
      </c>
      <c r="K32" s="1" t="n">
        <f aca="false">IF(ISNUMBER(Scores!F32),Scores!F32^2,"")</f>
        <v>4</v>
      </c>
      <c r="L32" s="1" t="str">
        <f aca="false">IF(AND(Scores!$B32=1,Scores!$C32="Tool condition",ISNUMBER(Scores!G32)),COUNTIFS(Scores!$B$5:$B$44,1,Scores!$C$5:$C$44,"Paper condition",Scores!G$5:G$44,"&lt;"&amp;Scores!G32)+0.5*COUNTIFS(Scores!$B$5:$B$44,1,Scores!$C$5:$C$44,"Paper condition",Scores!G$5:G$44,Scores!G32),"")</f>
        <v/>
      </c>
      <c r="M32" s="1" t="str">
        <f aca="false">IF(AND(Scores!$B32=1,OR(Scores!$C32="Tool condition",Scores!$C32="Paper condition"),ISNUMBER(Scores!G32)),(COUNTIFS(Scores!$B$5:$B$44,1,Scores!$C$5:$C$44,"Tool condition",Scores!G$5:G$44,Scores!G32)+COUNTIFS(Scores!$B$5:$B$44,1,Scores!$C$5:$C$44,"Paper condition",Scores!G$5:G$44,Scores!G32))^2-1,"")</f>
        <v/>
      </c>
      <c r="N32" s="1" t="n">
        <f aca="false">IF(AND(Scores!$B32=2,Scores!$C32="Tool condition",ISNUMBER(Scores!G32)),COUNTIFS(Scores!$B$5:$B$44,2,Scores!$C$5:$C$44,"Paper condition",Scores!G$5:G$44,"&lt;"&amp;Scores!G32)+0.5*COUNTIFS(Scores!$B$5:$B$44,2,Scores!$C$5:$C$44,"Paper condition",Scores!G$5:G$44,Scores!G32),"")</f>
        <v>7</v>
      </c>
      <c r="O32" s="1" t="n">
        <f aca="false">IF(AND(Scores!$B32=2,OR(Scores!$C32="Tool condition",Scores!$C32="Paper condition"),ISNUMBER(Scores!G32)),(COUNTIFS(Scores!$B$5:$B$44,2,Scores!$C$5:$C$44,"Tool condition",Scores!G$5:G$44,Scores!G32)+COUNTIFS(Scores!$B$5:$B$44,2,Scores!$C$5:$C$44,"Paper condition",Scores!G$5:G$44,Scores!G32))^2-1,"")</f>
        <v>195</v>
      </c>
      <c r="P32" s="1" t="n">
        <f aca="false">IF(ISNUMBER(Scores!G32),Scores!G32^2,"")</f>
        <v>4</v>
      </c>
      <c r="Q32" s="1" t="str">
        <f aca="false">IF(AND(Scores!$B32=1,Scores!$C32="Tool condition",ISNUMBER(Scores!H32)),COUNTIFS(Scores!$B$5:$B$44,1,Scores!$C$5:$C$44,"Paper condition",Scores!H$5:H$44,"&lt;"&amp;Scores!H32)+0.5*COUNTIFS(Scores!$B$5:$B$44,1,Scores!$C$5:$C$44,"Paper condition",Scores!H$5:H$44,Scores!H32),"")</f>
        <v/>
      </c>
      <c r="R32" s="1" t="str">
        <f aca="false">IF(AND(Scores!$B32=1,OR(Scores!$C32="Tool condition",Scores!$C32="Paper condition"),ISNUMBER(Scores!H32)),(COUNTIFS(Scores!$B$5:$B$44,1,Scores!$C$5:$C$44,"Tool condition",Scores!H$5:H$44,Scores!H32)+COUNTIFS(Scores!$B$5:$B$44,1,Scores!$C$5:$C$44,"Paper condition",Scores!H$5:H$44,Scores!H32))^2-1,"")</f>
        <v/>
      </c>
      <c r="S32" s="1" t="n">
        <f aca="false">IF(AND(Scores!$B32=2,Scores!$C32="Tool condition",ISNUMBER(Scores!H32)),COUNTIFS(Scores!$B$5:$B$44,2,Scores!$C$5:$C$44,"Paper condition",Scores!H$5:H$44,"&lt;"&amp;Scores!H32)+0.5*COUNTIFS(Scores!$B$5:$B$44,2,Scores!$C$5:$C$44,"Paper condition",Scores!H$5:H$44,Scores!H32),"")</f>
        <v>8</v>
      </c>
      <c r="T32" s="1" t="n">
        <f aca="false">IF(AND(Scores!$B32=2,OR(Scores!$C32="Tool condition",Scores!$C32="Paper condition"),ISNUMBER(Scores!H32)),(COUNTIFS(Scores!$B$5:$B$44,2,Scores!$C$5:$C$44,"Tool condition",Scores!H$5:H$44,Scores!H32)+COUNTIFS(Scores!$B$5:$B$44,2,Scores!$C$5:$C$44,"Paper condition",Scores!H$5:H$44,Scores!H32))^2-1,"")</f>
        <v>99</v>
      </c>
      <c r="U32" s="1" t="n">
        <f aca="false">IF(ISNUMBER(Scores!H32),Scores!H32^2,"")</f>
        <v>4</v>
      </c>
      <c r="V32" s="1" t="str">
        <f aca="false">IF(AND(Scores!$B32=1,Scores!$C32="Tool condition",ISNUMBER(Scores!I32)),COUNTIFS(Scores!$B$5:$B$44,1,Scores!$C$5:$C$44,"Paper condition",Scores!I$5:I$44,"&lt;"&amp;Scores!I32)+0.5*COUNTIFS(Scores!$B$5:$B$44,1,Scores!$C$5:$C$44,"Paper condition",Scores!I$5:I$44,Scores!I32),"")</f>
        <v/>
      </c>
      <c r="W32" s="1" t="str">
        <f aca="false">IF(AND(Scores!$B32=1,OR(Scores!$C32="Tool condition",Scores!$C32="Paper condition"),ISNUMBER(Scores!I32)),(COUNTIFS(Scores!$B$5:$B$44,1,Scores!$C$5:$C$44,"Tool condition",Scores!I$5:I$44,Scores!I32)+COUNTIFS(Scores!$B$5:$B$44,1,Scores!$C$5:$C$44,"Paper condition",Scores!I$5:I$44,Scores!I32))^2-1,"")</f>
        <v/>
      </c>
      <c r="X32" s="1" t="n">
        <f aca="false">IF(AND(Scores!$B32=2,Scores!$C32="Tool condition",ISNUMBER(Scores!I32)),COUNTIFS(Scores!$B$5:$B$44,2,Scores!$C$5:$C$44,"Paper condition",Scores!I$5:I$44,"&lt;"&amp;Scores!I32)+0.5*COUNTIFS(Scores!$B$5:$B$44,2,Scores!$C$5:$C$44,"Paper condition",Scores!I$5:I$44,Scores!I32),"")</f>
        <v>4</v>
      </c>
      <c r="Y32" s="1" t="n">
        <f aca="false">IF(AND(Scores!$B32=2,OR(Scores!$C32="Tool condition",Scores!$C32="Paper condition"),ISNUMBER(Scores!I32)),(COUNTIFS(Scores!$B$5:$B$44,2,Scores!$C$5:$C$44,"Tool condition",Scores!I$5:I$44,Scores!I32)+COUNTIFS(Scores!$B$5:$B$44,2,Scores!$C$5:$C$44,"Paper condition",Scores!I$5:I$44,Scores!I32))^2-1,"")</f>
        <v>80</v>
      </c>
      <c r="Z32" s="1" t="n">
        <f aca="false">IF(ISNUMBER(Scores!I32),Scores!I32^2,"")</f>
        <v>1</v>
      </c>
      <c r="AA32" s="1" t="str">
        <f aca="false">IF(AND(Scores!$B32=1,Scores!$C32="Tool condition",ISNUMBER(Scores!J32)),COUNTIFS(Scores!$B$5:$B$44,1,Scores!$C$5:$C$44,"Paper condition",Scores!J$5:J$44,"&lt;"&amp;Scores!J32)+0.5*COUNTIFS(Scores!$B$5:$B$44,1,Scores!$C$5:$C$44,"Paper condition",Scores!J$5:J$44,Scores!J32),"")</f>
        <v/>
      </c>
      <c r="AB32" s="1" t="str">
        <f aca="false">IF(AND(Scores!$B32=1,OR(Scores!$C32="Tool condition",Scores!$C32="Paper condition"),ISNUMBER(Scores!J32)),(COUNTIFS(Scores!$B$5:$B$44,1,Scores!$C$5:$C$44,"Tool condition",Scores!J$5:J$44,Scores!J32)+COUNTIFS(Scores!$B$5:$B$44,1,Scores!$C$5:$C$44,"Paper condition",Scores!J$5:J$44,Scores!J32))^2-1,"")</f>
        <v/>
      </c>
      <c r="AC32" s="1" t="n">
        <f aca="false">IF(AND(Scores!$B32=2,Scores!$C32="Tool condition",ISNUMBER(Scores!J32)),COUNTIFS(Scores!$B$5:$B$44,2,Scores!$C$5:$C$44,"Paper condition",Scores!J$5:J$44,"&lt;"&amp;Scores!J32)+0.5*COUNTIFS(Scores!$B$5:$B$44,2,Scores!$C$5:$C$44,"Paper condition",Scores!J$5:J$44,Scores!J32),"")</f>
        <v>2.5</v>
      </c>
      <c r="AD32" s="1" t="n">
        <f aca="false">IF(AND(Scores!$B32=2,OR(Scores!$C32="Tool condition",Scores!$C32="Paper condition"),ISNUMBER(Scores!J32)),(COUNTIFS(Scores!$B$5:$B$44,2,Scores!$C$5:$C$44,"Tool condition",Scores!J$5:J$44,Scores!J32)+COUNTIFS(Scores!$B$5:$B$44,2,Scores!$C$5:$C$44,"Paper condition",Scores!J$5:J$44,Scores!J32))^2-1,"")</f>
        <v>80</v>
      </c>
      <c r="AE32" s="1" t="n">
        <f aca="false">IF(ISNUMBER(Scores!J32),Scores!J32^2,"")</f>
        <v>1</v>
      </c>
      <c r="AF32" s="1" t="str">
        <f aca="false">IF(AND(Scores!$B32=1,Scores!$C32="Tool condition",ISNUMBER(Scores!K32)),COUNTIFS(Scores!$B$5:$B$44,1,Scores!$C$5:$C$44,"Paper condition",Scores!K$5:K$44,"&lt;"&amp;Scores!K32)+0.5*COUNTIFS(Scores!$B$5:$B$44,1,Scores!$C$5:$C$44,"Paper condition",Scores!K$5:K$44,Scores!K32),"")</f>
        <v/>
      </c>
      <c r="AG32" s="1" t="str">
        <f aca="false">IF(AND(Scores!$B32=1,OR(Scores!$C32="Tool condition",Scores!$C32="Paper condition"),ISNUMBER(Scores!K32)),(COUNTIFS(Scores!$B$5:$B$44,1,Scores!$C$5:$C$44,"Tool condition",Scores!K$5:K$44,Scores!K32)+COUNTIFS(Scores!$B$5:$B$44,1,Scores!$C$5:$C$44,"Paper condition",Scores!K$5:K$44,Scores!K32))^2-1,"")</f>
        <v/>
      </c>
      <c r="AH32" s="1" t="n">
        <f aca="false">IF(AND(Scores!$B32=2,Scores!$C32="Tool condition",ISNUMBER(Scores!K32)),COUNTIFS(Scores!$B$5:$B$44,2,Scores!$C$5:$C$44,"Paper condition",Scores!K$5:K$44,"&lt;"&amp;Scores!K32)+0.5*COUNTIFS(Scores!$B$5:$B$44,2,Scores!$C$5:$C$44,"Paper condition",Scores!K$5:K$44,Scores!K32),"")</f>
        <v>8.5</v>
      </c>
      <c r="AI32" s="1" t="n">
        <f aca="false">IF(AND(Scores!$B32=2,OR(Scores!$C32="Tool condition",Scores!$C32="Paper condition"),ISNUMBER(Scores!K32)),(COUNTIFS(Scores!$B$5:$B$44,2,Scores!$C$5:$C$44,"Tool condition",Scores!K$5:K$44,Scores!K32)+COUNTIFS(Scores!$B$5:$B$44,2,Scores!$C$5:$C$44,"Paper condition",Scores!K$5:K$44,Scores!K32))^2-1,"")</f>
        <v>80</v>
      </c>
      <c r="AJ32" s="1" t="n">
        <f aca="false">IF(ISNUMBER(Scores!K32),Scores!K32^2,"")</f>
        <v>4</v>
      </c>
      <c r="AK32" s="1" t="str">
        <f aca="false">IF(AND(Scores!$B32=1,Scores!$C32="Tool condition",ISNUMBER(Scores!L32)),COUNTIFS(Scores!$B$5:$B$44,1,Scores!$C$5:$C$44,"Paper condition",Scores!L$5:L$44,"&lt;"&amp;Scores!L32)+0.5*COUNTIFS(Scores!$B$5:$B$44,1,Scores!$C$5:$C$44,"Paper condition",Scores!L$5:L$44,Scores!L32),"")</f>
        <v/>
      </c>
      <c r="AL32" s="1" t="str">
        <f aca="false">IF(AND(Scores!$B32=1,OR(Scores!$C32="Tool condition",Scores!$C32="Paper condition"),ISNUMBER(Scores!L32)),(COUNTIFS(Scores!$B$5:$B$44,1,Scores!$C$5:$C$44,"Tool condition",Scores!L$5:L$44,Scores!L32)+COUNTIFS(Scores!$B$5:$B$44,1,Scores!$C$5:$C$44,"Paper condition",Scores!L$5:L$44,Scores!L32))^2-1,"")</f>
        <v/>
      </c>
      <c r="AM32" s="1" t="n">
        <f aca="false">IF(AND(Scores!$B32=2,Scores!$C32="Tool condition",ISNUMBER(Scores!L32)),COUNTIFS(Scores!$B$5:$B$44,2,Scores!$C$5:$C$44,"Paper condition",Scores!L$5:L$44,"&lt;"&amp;Scores!L32)+0.5*COUNTIFS(Scores!$B$5:$B$44,2,Scores!$C$5:$C$44,"Paper condition",Scores!L$5:L$44,Scores!L32),"")</f>
        <v>2.5</v>
      </c>
      <c r="AN32" s="1" t="n">
        <f aca="false">IF(AND(Scores!$B32=2,OR(Scores!$C32="Tool condition",Scores!$C32="Paper condition"),ISNUMBER(Scores!L32)),(COUNTIFS(Scores!$B$5:$B$44,2,Scores!$C$5:$C$44,"Tool condition",Scores!L$5:L$44,Scores!L32)+COUNTIFS(Scores!$B$5:$B$44,2,Scores!$C$5:$C$44,"Paper condition",Scores!L$5:L$44,Scores!L32))^2-1,"")</f>
        <v>99</v>
      </c>
      <c r="AO32" s="1" t="n">
        <f aca="false">IF(ISNUMBER(Scores!L32),Scores!L32^2,"")</f>
        <v>1</v>
      </c>
      <c r="AP32" s="1" t="str">
        <f aca="false">IF(AND(Scores!$B32=1,Scores!$C32="Tool condition",ISNUMBER(Scores!M32)),COUNTIFS(Scores!$B$5:$B$44,1,Scores!$C$5:$C$44,"Paper condition",Scores!M$5:M$44,"&lt;"&amp;Scores!M32)+0.5*COUNTIFS(Scores!$B$5:$B$44,1,Scores!$C$5:$C$44,"Paper condition",Scores!M$5:M$44,Scores!M32),"")</f>
        <v/>
      </c>
      <c r="AQ32" s="1" t="str">
        <f aca="false">IF(AND(Scores!$B32=1,OR(Scores!$C32="Tool condition",Scores!$C32="Paper condition"),ISNUMBER(Scores!M32)),(COUNTIFS(Scores!$B$5:$B$44,1,Scores!$C$5:$C$44,"Tool condition",Scores!M$5:M$44,Scores!M32)+COUNTIFS(Scores!$B$5:$B$44,1,Scores!$C$5:$C$44,"Paper condition",Scores!M$5:M$44,Scores!M32))^2-1,"")</f>
        <v/>
      </c>
      <c r="AR32" s="1" t="n">
        <f aca="false">IF(AND(Scores!$B32=2,Scores!$C32="Tool condition",ISNUMBER(Scores!M32)),COUNTIFS(Scores!$B$5:$B$44,2,Scores!$C$5:$C$44,"Paper condition",Scores!M$5:M$44,"&lt;"&amp;Scores!M32)+0.5*COUNTIFS(Scores!$B$5:$B$44,2,Scores!$C$5:$C$44,"Paper condition",Scores!M$5:M$44,Scores!M32),"")</f>
        <v>3.5</v>
      </c>
      <c r="AS32" s="1" t="n">
        <f aca="false">IF(AND(Scores!$B32=2,OR(Scores!$C32="Tool condition",Scores!$C32="Paper condition"),ISNUMBER(Scores!M32)),(COUNTIFS(Scores!$B$5:$B$44,2,Scores!$C$5:$C$44,"Tool condition",Scores!M$5:M$44,Scores!M32)+COUNTIFS(Scores!$B$5:$B$44,2,Scores!$C$5:$C$44,"Paper condition",Scores!M$5:M$44,Scores!M32))^2-1,"")</f>
        <v>80</v>
      </c>
      <c r="AT32" s="1" t="n">
        <f aca="false">IF(ISNUMBER(Scores!M32),Scores!M32^2,"")</f>
        <v>1</v>
      </c>
      <c r="AU32" s="1" t="str">
        <f aca="false">IF(AND(Scores!$B32=1,Scores!$C32="Tool condition",ISNUMBER(Scores!N32)),COUNTIFS(Scores!$B$5:$B$44,1,Scores!$C$5:$C$44,"Paper condition",Scores!N$5:N$44,"&lt;"&amp;Scores!N32)+0.5*COUNTIFS(Scores!$B$5:$B$44,1,Scores!$C$5:$C$44,"Paper condition",Scores!N$5:N$44,Scores!N32),"")</f>
        <v/>
      </c>
      <c r="AV32" s="1" t="str">
        <f aca="false">IF(AND(Scores!$B32=1,OR(Scores!$C32="Tool condition",Scores!$C32="Paper condition"),ISNUMBER(Scores!N32)),(COUNTIFS(Scores!$B$5:$B$44,1,Scores!$C$5:$C$44,"Tool condition",Scores!N$5:N$44,Scores!N32)+COUNTIFS(Scores!$B$5:$B$44,1,Scores!$C$5:$C$44,"Paper condition",Scores!N$5:N$44,Scores!N32))^2-1,"")</f>
        <v/>
      </c>
      <c r="AW32" s="1" t="n">
        <f aca="false">IF(AND(Scores!$B32=2,Scores!$C32="Tool condition",ISNUMBER(Scores!N32)),COUNTIFS(Scores!$B$5:$B$44,2,Scores!$C$5:$C$44,"Paper condition",Scores!N$5:N$44,"&lt;"&amp;Scores!N32)+0.5*COUNTIFS(Scores!$B$5:$B$44,2,Scores!$C$5:$C$44,"Paper condition",Scores!N$5:N$44,Scores!N32),"")</f>
        <v>8.5</v>
      </c>
      <c r="AX32" s="1" t="n">
        <f aca="false">IF(AND(Scores!$B32=2,OR(Scores!$C32="Tool condition",Scores!$C32="Paper condition"),ISNUMBER(Scores!N32)),(COUNTIFS(Scores!$B$5:$B$44,2,Scores!$C$5:$C$44,"Tool condition",Scores!N$5:N$44,Scores!N32)+COUNTIFS(Scores!$B$5:$B$44,2,Scores!$C$5:$C$44,"Paper condition",Scores!N$5:N$44,Scores!N32))^2-1,"")</f>
        <v>35</v>
      </c>
      <c r="AY32" s="1" t="n">
        <f aca="false">IF(ISNUMBER(Scores!N32),Scores!N32^2,"")</f>
        <v>4</v>
      </c>
      <c r="AZ32" s="1" t="str">
        <f aca="false">IF(AND(Scores!$B32=1,Scores!$C32="Tool condition",ISNUMBER(Scores!O32)),COUNTIFS(Scores!$B$5:$B$44,1,Scores!$C$5:$C$44,"Paper condition",Scores!O$5:O$44,"&lt;"&amp;Scores!O32)+0.5*COUNTIFS(Scores!$B$5:$B$44,1,Scores!$C$5:$C$44,"Paper condition",Scores!O$5:O$44,Scores!O32),"")</f>
        <v/>
      </c>
      <c r="BA32" s="1" t="str">
        <f aca="false">IF(AND(Scores!$B32=1,OR(Scores!$C32="Tool condition",Scores!$C32="Paper condition"),ISNUMBER(Scores!O32)),(COUNTIFS(Scores!$B$5:$B$44,1,Scores!$C$5:$C$44,"Tool condition",Scores!O$5:O$44,Scores!O32)+COUNTIFS(Scores!$B$5:$B$44,1,Scores!$C$5:$C$44,"Paper condition",Scores!O$5:O$44,Scores!O32))^2-1,"")</f>
        <v/>
      </c>
      <c r="BB32" s="1" t="n">
        <f aca="false">IF(AND(Scores!$B32=2,Scores!$C32="Tool condition",ISNUMBER(Scores!O32)),COUNTIFS(Scores!$B$5:$B$44,2,Scores!$C$5:$C$44,"Paper condition",Scores!O$5:O$44,"&lt;"&amp;Scores!O32)+0.5*COUNTIFS(Scores!$B$5:$B$44,2,Scores!$C$5:$C$44,"Paper condition",Scores!O$5:O$44,Scores!O32),"")</f>
        <v>1.5</v>
      </c>
      <c r="BC32" s="1" t="n">
        <f aca="false">IF(AND(Scores!$B32=2,OR(Scores!$C32="Tool condition",Scores!$C32="Paper condition"),ISNUMBER(Scores!O32)),(COUNTIFS(Scores!$B$5:$B$44,2,Scores!$C$5:$C$44,"Tool condition",Scores!O$5:O$44,Scores!O32)+COUNTIFS(Scores!$B$5:$B$44,2,Scores!$C$5:$C$44,"Paper condition",Scores!O$5:O$44,Scores!O32))^2-1,"")</f>
        <v>24</v>
      </c>
      <c r="BD32" s="1" t="n">
        <f aca="false">IF(ISNUMBER(Scores!O32),Scores!O32^2,"")</f>
        <v>0</v>
      </c>
      <c r="BE32" s="1" t="str">
        <f aca="false">IF(AND(Scores!$B32=1,Scores!$C32="Tool condition",ISNUMBER(Scores!P32)),COUNTIFS(Scores!$B$5:$B$44,1,Scores!$C$5:$C$44,"Paper condition",Scores!P$5:P$44,"&lt;"&amp;Scores!P32)+0.5*COUNTIFS(Scores!$B$5:$B$44,1,Scores!$C$5:$C$44,"Paper condition",Scores!P$5:P$44,Scores!P32),"")</f>
        <v/>
      </c>
      <c r="BF32" s="1" t="str">
        <f aca="false">IF(AND(Scores!$B32=1,OR(Scores!$C32="Tool condition",Scores!$C32="Paper condition"),ISNUMBER(Scores!P32)),(COUNTIFS(Scores!$B$5:$B$44,1,Scores!$C$5:$C$44,"Tool condition",Scores!P$5:P$44,Scores!P32)+COUNTIFS(Scores!$B$5:$B$44,1,Scores!$C$5:$C$44,"Paper condition",Scores!P$5:P$44,Scores!P32))^2-1,"")</f>
        <v/>
      </c>
      <c r="BG32" s="1" t="n">
        <f aca="false">IF(AND(Scores!$B32=2,Scores!$C32="Tool condition",ISNUMBER(Scores!P32)),COUNTIFS(Scores!$B$5:$B$44,2,Scores!$C$5:$C$44,"Paper condition",Scores!P$5:P$44,"&lt;"&amp;Scores!P32)+0.5*COUNTIFS(Scores!$B$5:$B$44,2,Scores!$C$5:$C$44,"Paper condition",Scores!P$5:P$44,Scores!P32),"")</f>
        <v>7.5</v>
      </c>
      <c r="BH32" s="1" t="n">
        <f aca="false">IF(AND(Scores!$B32=2,OR(Scores!$C32="Tool condition",Scores!$C32="Paper condition"),ISNUMBER(Scores!P32)),(COUNTIFS(Scores!$B$5:$B$44,2,Scores!$C$5:$C$44,"Tool condition",Scores!P$5:P$44,Scores!P32)+COUNTIFS(Scores!$B$5:$B$44,2,Scores!$C$5:$C$44,"Paper condition",Scores!P$5:P$44,Scores!P32))^2-1,"")</f>
        <v>143</v>
      </c>
      <c r="BI32" s="1" t="n">
        <f aca="false">IF(ISNUMBER(Scores!P32),Scores!P32^2,"")</f>
        <v>1</v>
      </c>
      <c r="BJ32" s="1" t="str">
        <f aca="false">IF(AND(R_Scores!$B32=1,R_Scores!$C32="Tool condition",ISNUMBER(R_Scores!E32)),COUNTIFS(R_Scores!$B$5:$B$44,1,R_Scores!$C$5:$C$44,"Paper condition",R_Scores!E$5:E$44,"&lt;"&amp;R_Scores!E32)+0.5*COUNTIFS(R_Scores!$B$5:$B$44,1,R_Scores!$C$5:$C$44,"Paper condition",R_Scores!E$5:E$44,R_Scores!E32),"")</f>
        <v/>
      </c>
      <c r="BK32" s="1" t="str">
        <f aca="false">IF(AND(R_Scores!$B32=1,OR(R_Scores!$C32="Tool condition",R_Scores!$C32="Paper condition"),ISNUMBER(R_Scores!E32)),(COUNTIFS(R_Scores!$B$5:$B$44,1,R_Scores!$C$5:$C$44,"Tool condition",R_Scores!E$5:E$44,R_Scores!E32)+COUNTIFS(R_Scores!$B$5:$B$44,1,R_Scores!$C$5:$C$44,"Paper condition",R_Scores!E$5:E$44,R_Scores!E32))^2-1,"")</f>
        <v/>
      </c>
      <c r="BL32" s="1" t="n">
        <f aca="false">IF(AND(R_Scores!$B32=2,R_Scores!$C32="Tool condition",ISNUMBER(R_Scores!E32)),COUNTIFS(R_Scores!$B$5:$B$44,2,R_Scores!$C$5:$C$44,"Paper condition",R_Scores!E$5:E$44,"&lt;"&amp;R_Scores!E32)+0.5*COUNTIFS(R_Scores!$B$5:$B$44,2,R_Scores!$C$5:$C$44,"Paper condition",R_Scores!E$5:E$44,R_Scores!E32),"")</f>
        <v>1.5</v>
      </c>
      <c r="BM32" s="1" t="n">
        <f aca="false">IF(AND(R_Scores!$B32=2,OR(R_Scores!$C32="Tool condition",R_Scores!$C32="Paper condition"),ISNUMBER(R_Scores!E32)),(COUNTIFS(R_Scores!$B$5:$B$44,2,R_Scores!$C$5:$C$44,"Tool condition",R_Scores!E$5:E$44,R_Scores!E32)+COUNTIFS(R_Scores!$B$5:$B$44,2,R_Scores!$C$5:$C$44,"Paper condition",R_Scores!E$5:E$44,R_Scores!E32))^2-1,"")</f>
        <v>24</v>
      </c>
      <c r="BN32" s="1" t="n">
        <f aca="false">IF(ISNUMBER(R_Scores!E32),R_Scores!E32^2,"")</f>
        <v>0</v>
      </c>
      <c r="BO32" s="1" t="str">
        <f aca="false">IF(AND(R_Scores!$B32=1,R_Scores!$C32="Tool condition",ISNUMBER(R_Scores!F32)),COUNTIFS(R_Scores!$B$5:$B$44,1,R_Scores!$C$5:$C$44,"Paper condition",R_Scores!F$5:F$44,"&lt;"&amp;R_Scores!F32)+0.5*COUNTIFS(R_Scores!$B$5:$B$44,1,R_Scores!$C$5:$C$44,"Paper condition",R_Scores!F$5:F$44,R_Scores!F32),"")</f>
        <v/>
      </c>
      <c r="BP32" s="1" t="str">
        <f aca="false">IF(AND(R_Scores!$B32=1,OR(R_Scores!$C32="Tool condition",R_Scores!$C32="Paper condition"),ISNUMBER(R_Scores!F32)),(COUNTIFS(R_Scores!$B$5:$B$44,1,R_Scores!$C$5:$C$44,"Tool condition",R_Scores!F$5:F$44,R_Scores!F32)+COUNTIFS(R_Scores!$B$5:$B$44,1,R_Scores!$C$5:$C$44,"Paper condition",R_Scores!F$5:F$44,R_Scores!F32))^2-1,"")</f>
        <v/>
      </c>
      <c r="BQ32" s="1" t="n">
        <f aca="false">IF(AND(R_Scores!$B32=2,R_Scores!$C32="Tool condition",ISNUMBER(R_Scores!F32)),COUNTIFS(R_Scores!$B$5:$B$44,2,R_Scores!$C$5:$C$44,"Paper condition",R_Scores!F$5:F$44,"&lt;"&amp;R_Scores!F32)+0.5*COUNTIFS(R_Scores!$B$5:$B$44,2,R_Scores!$C$5:$C$44,"Paper condition",R_Scores!F$5:F$44,R_Scores!F32),"")</f>
        <v>6.5</v>
      </c>
      <c r="BR32" s="1" t="n">
        <f aca="false">IF(AND(R_Scores!$B32=2,OR(R_Scores!$C32="Tool condition",R_Scores!$C32="Paper condition"),ISNUMBER(R_Scores!F32)),(COUNTIFS(R_Scores!$B$5:$B$44,2,R_Scores!$C$5:$C$44,"Tool condition",R_Scores!F$5:F$44,R_Scores!F32)+COUNTIFS(R_Scores!$B$5:$B$44,2,R_Scores!$C$5:$C$44,"Paper condition",R_Scores!F$5:F$44,R_Scores!F32))^2-1,"")</f>
        <v>195</v>
      </c>
      <c r="BS32" s="1" t="n">
        <f aca="false">IF(ISNUMBER(R_Scores!F32),R_Scores!F32^2,"")</f>
        <v>1</v>
      </c>
      <c r="BT32" s="1" t="str">
        <f aca="false">IF(AND(R_Scores!$B32=1,R_Scores!$C32="Tool condition",ISNUMBER(R_Scores!G32)),COUNTIFS(R_Scores!$B$5:$B$44,1,R_Scores!$C$5:$C$44,"Paper condition",R_Scores!G$5:G$44,"&lt;"&amp;R_Scores!G32)+0.5*COUNTIFS(R_Scores!$B$5:$B$44,1,R_Scores!$C$5:$C$44,"Paper condition",R_Scores!G$5:G$44,R_Scores!G32),"")</f>
        <v/>
      </c>
      <c r="BU32" s="1" t="str">
        <f aca="false">IF(AND(R_Scores!$B32=1,OR(R_Scores!$C32="Tool condition",R_Scores!$C32="Paper condition"),ISNUMBER(R_Scores!G32)),(COUNTIFS(R_Scores!$B$5:$B$44,1,R_Scores!$C$5:$C$44,"Tool condition",R_Scores!G$5:G$44,R_Scores!G32)+COUNTIFS(R_Scores!$B$5:$B$44,1,R_Scores!$C$5:$C$44,"Paper condition",R_Scores!G$5:G$44,R_Scores!G32))^2-1,"")</f>
        <v/>
      </c>
      <c r="BV32" s="1" t="str">
        <f aca="false">IF(AND(R_Scores!$B32=2,R_Scores!$C32="Tool condition",ISNUMBER(R_Scores!G32)),COUNTIFS(R_Scores!$B$5:$B$44,2,R_Scores!$C$5:$C$44,"Paper condition",R_Scores!G$5:G$44,"&lt;"&amp;R_Scores!G32)+0.5*COUNTIFS(R_Scores!$B$5:$B$44,2,R_Scores!$C$5:$C$44,"Paper condition",R_Scores!G$5:G$44,R_Scores!G32),"")</f>
        <v/>
      </c>
      <c r="BW32" s="1" t="str">
        <f aca="false">IF(AND(R_Scores!$B32=2,OR(R_Scores!$C32="Tool condition",R_Scores!$C32="Paper condition"),ISNUMBER(R_Scores!G32)),(COUNTIFS(R_Scores!$B$5:$B$44,2,R_Scores!$C$5:$C$44,"Tool condition",R_Scores!G$5:G$44,R_Scores!G32)+COUNTIFS(R_Scores!$B$5:$B$44,2,R_Scores!$C$5:$C$44,"Paper condition",R_Scores!G$5:G$44,R_Scores!G32))^2-1,"")</f>
        <v/>
      </c>
      <c r="BX32" s="1" t="str">
        <f aca="false">IF(ISNUMBER(R_Scores!G32),R_Scores!G32^2,"")</f>
        <v/>
      </c>
      <c r="BY32" s="1" t="str">
        <f aca="false">IF(AND(R_Scores!$B32=1,R_Scores!$C32="Tool condition",ISNUMBER(R_Scores!H32)),COUNTIFS(R_Scores!$B$5:$B$44,1,R_Scores!$C$5:$C$44,"Paper condition",R_Scores!H$5:H$44,"&lt;"&amp;R_Scores!H32)+0.5*COUNTIFS(R_Scores!$B$5:$B$44,1,R_Scores!$C$5:$C$44,"Paper condition",R_Scores!H$5:H$44,R_Scores!H32),"")</f>
        <v/>
      </c>
      <c r="BZ32" s="1" t="str">
        <f aca="false">IF(AND(R_Scores!$B32=1,OR(R_Scores!$C32="Tool condition",R_Scores!$C32="Paper condition"),ISNUMBER(R_Scores!H32)),(COUNTIFS(R_Scores!$B$5:$B$44,1,R_Scores!$C$5:$C$44,"Tool condition",R_Scores!H$5:H$44,R_Scores!H32)+COUNTIFS(R_Scores!$B$5:$B$44,1,R_Scores!$C$5:$C$44,"Paper condition",R_Scores!H$5:H$44,R_Scores!H32))^2-1,"")</f>
        <v/>
      </c>
      <c r="CA32" s="1" t="str">
        <f aca="false">IF(AND(R_Scores!$B32=2,R_Scores!$C32="Tool condition",ISNUMBER(R_Scores!H32)),COUNTIFS(R_Scores!$B$5:$B$44,2,R_Scores!$C$5:$C$44,"Paper condition",R_Scores!H$5:H$44,"&lt;"&amp;R_Scores!H32)+0.5*COUNTIFS(R_Scores!$B$5:$B$44,2,R_Scores!$C$5:$C$44,"Paper condition",R_Scores!H$5:H$44,R_Scores!H32),"")</f>
        <v/>
      </c>
      <c r="CB32" s="1" t="str">
        <f aca="false">IF(AND(R_Scores!$B32=2,OR(R_Scores!$C32="Tool condition",R_Scores!$C32="Paper condition"),ISNUMBER(R_Scores!H32)),(COUNTIFS(R_Scores!$B$5:$B$44,2,R_Scores!$C$5:$C$44,"Tool condition",R_Scores!H$5:H$44,R_Scores!H32)+COUNTIFS(R_Scores!$B$5:$B$44,2,R_Scores!$C$5:$C$44,"Paper condition",R_Scores!H$5:H$44,R_Scores!H32))^2-1,"")</f>
        <v/>
      </c>
      <c r="CC32" s="1" t="str">
        <f aca="false">IF(ISNUMBER(R_Scores!H32),R_Scores!H32^2,"")</f>
        <v/>
      </c>
      <c r="CD32" s="1" t="str">
        <f aca="false">IF(AND(R_Scores!$B32=1,R_Scores!$C32="Tool condition",ISNUMBER(R_Scores!I32)),COUNTIFS(R_Scores!$B$5:$B$44,1,R_Scores!$C$5:$C$44,"Paper condition",R_Scores!I$5:I$44,"&lt;"&amp;R_Scores!I32)+0.5*COUNTIFS(R_Scores!$B$5:$B$44,1,R_Scores!$C$5:$C$44,"Paper condition",R_Scores!I$5:I$44,R_Scores!I32),"")</f>
        <v/>
      </c>
      <c r="CE32" s="1" t="str">
        <f aca="false">IF(AND(R_Scores!$B32=1,OR(R_Scores!$C32="Tool condition",R_Scores!$C32="Paper condition"),ISNUMBER(R_Scores!I32)),(COUNTIFS(R_Scores!$B$5:$B$44,1,R_Scores!$C$5:$C$44,"Tool condition",R_Scores!I$5:I$44,R_Scores!I32)+COUNTIFS(R_Scores!$B$5:$B$44,1,R_Scores!$C$5:$C$44,"Paper condition",R_Scores!I$5:I$44,R_Scores!I32))^2-1,"")</f>
        <v/>
      </c>
      <c r="CF32" s="1" t="n">
        <f aca="false">IF(AND(R_Scores!$B32=2,R_Scores!$C32="Tool condition",ISNUMBER(R_Scores!I32)),COUNTIFS(R_Scores!$B$5:$B$44,2,R_Scores!$C$5:$C$44,"Paper condition",R_Scores!I$5:I$44,"&lt;"&amp;R_Scores!I32)+0.5*COUNTIFS(R_Scores!$B$5:$B$44,2,R_Scores!$C$5:$C$44,"Paper condition",R_Scores!I$5:I$44,R_Scores!I32),"")</f>
        <v>6</v>
      </c>
      <c r="CG32" s="1" t="n">
        <f aca="false">IF(AND(R_Scores!$B32=2,OR(R_Scores!$C32="Tool condition",R_Scores!$C32="Paper condition"),ISNUMBER(R_Scores!I32)),(COUNTIFS(R_Scores!$B$5:$B$44,2,R_Scores!$C$5:$C$44,"Tool condition",R_Scores!I$5:I$44,R_Scores!I32)+COUNTIFS(R_Scores!$B$5:$B$44,2,R_Scores!$C$5:$C$44,"Paper condition",R_Scores!I$5:I$44,R_Scores!I32))^2-1,"")</f>
        <v>255</v>
      </c>
      <c r="CH32" s="1" t="n">
        <f aca="false">IF(ISNUMBER(R_Scores!I32),R_Scores!I32^2,"")</f>
        <v>1</v>
      </c>
      <c r="CI32" s="1" t="str">
        <f aca="false">IF(AND(R_Scores!$B32=1,R_Scores!$C32="Tool condition",ISNUMBER(R_Scores!J32)),COUNTIFS(R_Scores!$B$5:$B$44,1,R_Scores!$C$5:$C$44,"Paper condition",R_Scores!J$5:J$44,"&lt;"&amp;R_Scores!J32)+0.5*COUNTIFS(R_Scores!$B$5:$B$44,1,R_Scores!$C$5:$C$44,"Paper condition",R_Scores!J$5:J$44,R_Scores!J32),"")</f>
        <v/>
      </c>
      <c r="CJ32" s="1" t="str">
        <f aca="false">IF(AND(R_Scores!$B32=1,OR(R_Scores!$C32="Tool condition",R_Scores!$C32="Paper condition"),ISNUMBER(R_Scores!J32)),(COUNTIFS(R_Scores!$B$5:$B$44,1,R_Scores!$C$5:$C$44,"Tool condition",R_Scores!J$5:J$44,R_Scores!J32)+COUNTIFS(R_Scores!$B$5:$B$44,1,R_Scores!$C$5:$C$44,"Paper condition",R_Scores!J$5:J$44,R_Scores!J32))^2-1,"")</f>
        <v/>
      </c>
      <c r="CK32" s="1" t="n">
        <f aca="false">IF(AND(R_Scores!$B32=2,R_Scores!$C32="Tool condition",ISNUMBER(R_Scores!J32)),COUNTIFS(R_Scores!$B$5:$B$44,2,R_Scores!$C$5:$C$44,"Paper condition",R_Scores!J$5:J$44,"&lt;"&amp;R_Scores!J32)+0.5*COUNTIFS(R_Scores!$B$5:$B$44,2,R_Scores!$C$5:$C$44,"Paper condition",R_Scores!J$5:J$44,R_Scores!J32),"")</f>
        <v>7</v>
      </c>
      <c r="CL32" s="1" t="n">
        <f aca="false">IF(AND(R_Scores!$B32=2,OR(R_Scores!$C32="Tool condition",R_Scores!$C32="Paper condition"),ISNUMBER(R_Scores!J32)),(COUNTIFS(R_Scores!$B$5:$B$44,2,R_Scores!$C$5:$C$44,"Tool condition",R_Scores!J$5:J$44,R_Scores!J32)+COUNTIFS(R_Scores!$B$5:$B$44,2,R_Scores!$C$5:$C$44,"Paper condition",R_Scores!J$5:J$44,R_Scores!J32))^2-1,"")</f>
        <v>195</v>
      </c>
      <c r="CM32" s="1" t="n">
        <f aca="false">IF(ISNUMBER(R_Scores!J32),R_Scores!J32^2,"")</f>
        <v>1</v>
      </c>
      <c r="CN32" s="1" t="str">
        <f aca="false">IF(AND(R_Scores!$B32=1,R_Scores!$C32="Tool condition",ISNUMBER(R_Scores!K32)),COUNTIFS(R_Scores!$B$5:$B$44,1,R_Scores!$C$5:$C$44,"Paper condition",R_Scores!K$5:K$44,"&lt;"&amp;R_Scores!K32)+0.5*COUNTIFS(R_Scores!$B$5:$B$44,1,R_Scores!$C$5:$C$44,"Paper condition",R_Scores!K$5:K$44,R_Scores!K32),"")</f>
        <v/>
      </c>
      <c r="CO32" s="1" t="str">
        <f aca="false">IF(AND(R_Scores!$B32=1,OR(R_Scores!$C32="Tool condition",R_Scores!$C32="Paper condition"),ISNUMBER(R_Scores!K32)),(COUNTIFS(R_Scores!$B$5:$B$44,1,R_Scores!$C$5:$C$44,"Tool condition",R_Scores!K$5:K$44,R_Scores!K32)+COUNTIFS(R_Scores!$B$5:$B$44,1,R_Scores!$C$5:$C$44,"Paper condition",R_Scores!K$5:K$44,R_Scores!K32))^2-1,"")</f>
        <v/>
      </c>
      <c r="CP32" s="1" t="str">
        <f aca="false">IF(AND(R_Scores!$B32=2,R_Scores!$C32="Tool condition",ISNUMBER(R_Scores!K32)),COUNTIFS(R_Scores!$B$5:$B$44,2,R_Scores!$C$5:$C$44,"Paper condition",R_Scores!K$5:K$44,"&lt;"&amp;R_Scores!K32)+0.5*COUNTIFS(R_Scores!$B$5:$B$44,2,R_Scores!$C$5:$C$44,"Paper condition",R_Scores!K$5:K$44,R_Scores!K32),"")</f>
        <v/>
      </c>
      <c r="CQ32" s="1" t="str">
        <f aca="false">IF(AND(R_Scores!$B32=2,OR(R_Scores!$C32="Tool condition",R_Scores!$C32="Paper condition"),ISNUMBER(R_Scores!K32)),(COUNTIFS(R_Scores!$B$5:$B$44,2,R_Scores!$C$5:$C$44,"Tool condition",R_Scores!K$5:K$44,R_Scores!K32)+COUNTIFS(R_Scores!$B$5:$B$44,2,R_Scores!$C$5:$C$44,"Paper condition",R_Scores!K$5:K$44,R_Scores!K32))^2-1,"")</f>
        <v/>
      </c>
      <c r="CR32" s="1" t="str">
        <f aca="false">IF(ISNUMBER(R_Scores!K32),R_Scores!K32^2,"")</f>
        <v/>
      </c>
      <c r="CS32" s="1" t="str">
        <f aca="false">IF(AND(R_Scores!$B32=1,R_Scores!$C32="Tool condition",ISNUMBER(R_Scores!L32)),COUNTIFS(R_Scores!$B$5:$B$44,1,R_Scores!$C$5:$C$44,"Paper condition",R_Scores!L$5:L$44,"&lt;"&amp;R_Scores!L32)+0.5*COUNTIFS(R_Scores!$B$5:$B$44,1,R_Scores!$C$5:$C$44,"Paper condition",R_Scores!L$5:L$44,R_Scores!L32),"")</f>
        <v/>
      </c>
      <c r="CT32" s="1" t="str">
        <f aca="false">IF(AND(R_Scores!$B32=1,OR(R_Scores!$C32="Tool condition",R_Scores!$C32="Paper condition"),ISNUMBER(R_Scores!L32)),(COUNTIFS(R_Scores!$B$5:$B$44,1,R_Scores!$C$5:$C$44,"Tool condition",R_Scores!L$5:L$44,R_Scores!L32)+COUNTIFS(R_Scores!$B$5:$B$44,1,R_Scores!$C$5:$C$44,"Paper condition",R_Scores!L$5:L$44,R_Scores!L32))^2-1,"")</f>
        <v/>
      </c>
      <c r="CU32" s="1" t="str">
        <f aca="false">IF(AND(R_Scores!$B32=2,R_Scores!$C32="Tool condition",ISNUMBER(R_Scores!L32)),COUNTIFS(R_Scores!$B$5:$B$44,2,R_Scores!$C$5:$C$44,"Paper condition",R_Scores!L$5:L$44,"&lt;"&amp;R_Scores!L32)+0.5*COUNTIFS(R_Scores!$B$5:$B$44,2,R_Scores!$C$5:$C$44,"Paper condition",R_Scores!L$5:L$44,R_Scores!L32),"")</f>
        <v/>
      </c>
      <c r="CV32" s="1" t="str">
        <f aca="false">IF(AND(R_Scores!$B32=2,OR(R_Scores!$C32="Tool condition",R_Scores!$C32="Paper condition"),ISNUMBER(R_Scores!L32)),(COUNTIFS(R_Scores!$B$5:$B$44,2,R_Scores!$C$5:$C$44,"Tool condition",R_Scores!L$5:L$44,R_Scores!L32)+COUNTIFS(R_Scores!$B$5:$B$44,2,R_Scores!$C$5:$C$44,"Paper condition",R_Scores!L$5:L$44,R_Scores!L32))^2-1,"")</f>
        <v/>
      </c>
      <c r="CW32" s="1" t="str">
        <f aca="false">IF(ISNUMBER(R_Scores!L32),R_Scores!L32^2,"")</f>
        <v/>
      </c>
      <c r="CX32" s="1" t="str">
        <f aca="false">IF(AND(R_Scores!$B32=1,R_Scores!$C32="Tool condition",ISNUMBER(R_Scores!M32)),COUNTIFS(R_Scores!$B$5:$B$44,1,R_Scores!$C$5:$C$44,"Paper condition",R_Scores!M$5:M$44,"&lt;"&amp;R_Scores!M32)+0.5*COUNTIFS(R_Scores!$B$5:$B$44,1,R_Scores!$C$5:$C$44,"Paper condition",R_Scores!M$5:M$44,R_Scores!M32),"")</f>
        <v/>
      </c>
      <c r="CY32" s="1" t="str">
        <f aca="false">IF(AND(R_Scores!$B32=1,OR(R_Scores!$C32="Tool condition",R_Scores!$C32="Paper condition"),ISNUMBER(R_Scores!M32)),(COUNTIFS(R_Scores!$B$5:$B$44,1,R_Scores!$C$5:$C$44,"Tool condition",R_Scores!M$5:M$44,R_Scores!M32)+COUNTIFS(R_Scores!$B$5:$B$44,1,R_Scores!$C$5:$C$44,"Paper condition",R_Scores!M$5:M$44,R_Scores!M32))^2-1,"")</f>
        <v/>
      </c>
      <c r="CZ32" s="1" t="str">
        <f aca="false">IF(AND(R_Scores!$B32=2,R_Scores!$C32="Tool condition",ISNUMBER(R_Scores!M32)),COUNTIFS(R_Scores!$B$5:$B$44,2,R_Scores!$C$5:$C$44,"Paper condition",R_Scores!M$5:M$44,"&lt;"&amp;R_Scores!M32)+0.5*COUNTIFS(R_Scores!$B$5:$B$44,2,R_Scores!$C$5:$C$44,"Paper condition",R_Scores!M$5:M$44,R_Scores!M32),"")</f>
        <v/>
      </c>
      <c r="DA32" s="1" t="str">
        <f aca="false">IF(AND(R_Scores!$B32=2,OR(R_Scores!$C32="Tool condition",R_Scores!$C32="Paper condition"),ISNUMBER(R_Scores!M32)),(COUNTIFS(R_Scores!$B$5:$B$44,2,R_Scores!$C$5:$C$44,"Tool condition",R_Scores!M$5:M$44,R_Scores!M32)+COUNTIFS(R_Scores!$B$5:$B$44,2,R_Scores!$C$5:$C$44,"Paper condition",R_Scores!M$5:M$44,R_Scores!M32))^2-1,"")</f>
        <v/>
      </c>
      <c r="DB32" s="1" t="str">
        <f aca="false">IF(ISNUMBER(R_Scores!M32),R_Scores!M32^2,"")</f>
        <v/>
      </c>
      <c r="DC32" s="1" t="str">
        <f aca="false">IF(AND(R_Scores!$B32=1,R_Scores!$C32="Tool condition",ISNUMBER(R_Scores!N32)),COUNTIFS(R_Scores!$B$5:$B$44,1,R_Scores!$C$5:$C$44,"Paper condition",R_Scores!N$5:N$44,"&lt;"&amp;R_Scores!N32)+0.5*COUNTIFS(R_Scores!$B$5:$B$44,1,R_Scores!$C$5:$C$44,"Paper condition",R_Scores!N$5:N$44,R_Scores!N32),"")</f>
        <v/>
      </c>
      <c r="DD32" s="1" t="str">
        <f aca="false">IF(AND(R_Scores!$B32=1,OR(R_Scores!$C32="Tool condition",R_Scores!$C32="Paper condition"),ISNUMBER(R_Scores!N32)),(COUNTIFS(R_Scores!$B$5:$B$44,1,R_Scores!$C$5:$C$44,"Tool condition",R_Scores!N$5:N$44,R_Scores!N32)+COUNTIFS(R_Scores!$B$5:$B$44,1,R_Scores!$C$5:$C$44,"Paper condition",R_Scores!N$5:N$44,R_Scores!N32))^2-1,"")</f>
        <v/>
      </c>
      <c r="DE32" s="1" t="n">
        <f aca="false">IF(AND(R_Scores!$B32=2,R_Scores!$C32="Tool condition",ISNUMBER(R_Scores!N32)),COUNTIFS(R_Scores!$B$5:$B$44,2,R_Scores!$C$5:$C$44,"Paper condition",R_Scores!N$5:N$44,"&lt;"&amp;R_Scores!N32)+0.5*COUNTIFS(R_Scores!$B$5:$B$44,2,R_Scores!$C$5:$C$44,"Paper condition",R_Scores!N$5:N$44,R_Scores!N32),"")</f>
        <v>8</v>
      </c>
      <c r="DF32" s="1" t="n">
        <f aca="false">IF(AND(R_Scores!$B32=2,OR(R_Scores!$C32="Tool condition",R_Scores!$C32="Paper condition"),ISNUMBER(R_Scores!N32)),(COUNTIFS(R_Scores!$B$5:$B$44,2,R_Scores!$C$5:$C$44,"Tool condition",R_Scores!N$5:N$44,R_Scores!N32)+COUNTIFS(R_Scores!$B$5:$B$44,2,R_Scores!$C$5:$C$44,"Paper condition",R_Scores!N$5:N$44,R_Scores!N32))^2-1,"")</f>
        <v>143</v>
      </c>
      <c r="DG32" s="1" t="n">
        <f aca="false">IF(ISNUMBER(R_Scores!N32),R_Scores!N32^2,"")</f>
        <v>1</v>
      </c>
      <c r="DH32" s="1" t="str">
        <f aca="false">IF(AND(R_Scores!$B32=1,R_Scores!$C32="Tool condition",ISNUMBER(R_Scores!O32)),COUNTIFS(R_Scores!$B$5:$B$44,1,R_Scores!$C$5:$C$44,"Paper condition",R_Scores!O$5:O$44,"&lt;"&amp;R_Scores!O32)+0.5*COUNTIFS(R_Scores!$B$5:$B$44,1,R_Scores!$C$5:$C$44,"Paper condition",R_Scores!O$5:O$44,R_Scores!O32),"")</f>
        <v/>
      </c>
      <c r="DI32" s="1" t="str">
        <f aca="false">IF(AND(R_Scores!$B32=1,OR(R_Scores!$C32="Tool condition",R_Scores!$C32="Paper condition"),ISNUMBER(R_Scores!O32)),(COUNTIFS(R_Scores!$B$5:$B$44,1,R_Scores!$C$5:$C$44,"Tool condition",R_Scores!O$5:O$44,R_Scores!O32)+COUNTIFS(R_Scores!$B$5:$B$44,1,R_Scores!$C$5:$C$44,"Paper condition",R_Scores!O$5:O$44,R_Scores!O32))^2-1,"")</f>
        <v/>
      </c>
      <c r="DJ32" s="1" t="n">
        <f aca="false">IF(AND(R_Scores!$B32=2,R_Scores!$C32="Tool condition",ISNUMBER(R_Scores!O32)),COUNTIFS(R_Scores!$B$5:$B$44,2,R_Scores!$C$5:$C$44,"Paper condition",R_Scores!O$5:O$44,"&lt;"&amp;R_Scores!O32)+0.5*COUNTIFS(R_Scores!$B$5:$B$44,2,R_Scores!$C$5:$C$44,"Paper condition",R_Scores!O$5:O$44,R_Scores!O32),"")</f>
        <v>7</v>
      </c>
      <c r="DK32" s="1" t="n">
        <f aca="false">IF(AND(R_Scores!$B32=2,OR(R_Scores!$C32="Tool condition",R_Scores!$C32="Paper condition"),ISNUMBER(R_Scores!O32)),(COUNTIFS(R_Scores!$B$5:$B$44,2,R_Scores!$C$5:$C$44,"Tool condition",R_Scores!O$5:O$44,R_Scores!O32)+COUNTIFS(R_Scores!$B$5:$B$44,2,R_Scores!$C$5:$C$44,"Paper condition",R_Scores!O$5:O$44,R_Scores!O32))^2-1,"")</f>
        <v>168</v>
      </c>
      <c r="DL32" s="1" t="n">
        <f aca="false">IF(ISNUMBER(R_Scores!O32),R_Scores!O32^2,"")</f>
        <v>1</v>
      </c>
      <c r="DM32" s="1" t="str">
        <f aca="false">IF(AND(R_Scores!$B32=1,R_Scores!$C32="Tool condition",ISNUMBER(R_Scores!P32)),COUNTIFS(R_Scores!$B$5:$B$44,1,R_Scores!$C$5:$C$44,"Paper condition",R_Scores!P$5:P$44,"&lt;"&amp;R_Scores!P32)+0.5*COUNTIFS(R_Scores!$B$5:$B$44,1,R_Scores!$C$5:$C$44,"Paper condition",R_Scores!P$5:P$44,R_Scores!P32),"")</f>
        <v/>
      </c>
      <c r="DN32" s="1" t="str">
        <f aca="false">IF(AND(R_Scores!$B32=1,OR(R_Scores!$C32="Tool condition",R_Scores!$C32="Paper condition"),ISNUMBER(R_Scores!P32)),(COUNTIFS(R_Scores!$B$5:$B$44,1,R_Scores!$C$5:$C$44,"Tool condition",R_Scores!P$5:P$44,R_Scores!P32)+COUNTIFS(R_Scores!$B$5:$B$44,1,R_Scores!$C$5:$C$44,"Paper condition",R_Scores!P$5:P$44,R_Scores!P32))^2-1,"")</f>
        <v/>
      </c>
      <c r="DO32" s="1" t="n">
        <f aca="false">IF(AND(R_Scores!$B32=2,R_Scores!$C32="Tool condition",ISNUMBER(R_Scores!P32)),COUNTIFS(R_Scores!$B$5:$B$44,2,R_Scores!$C$5:$C$44,"Paper condition",R_Scores!P$5:P$44,"&lt;"&amp;R_Scores!P32)+0.5*COUNTIFS(R_Scores!$B$5:$B$44,2,R_Scores!$C$5:$C$44,"Paper condition",R_Scores!P$5:P$44,R_Scores!P32),"")</f>
        <v>4.5</v>
      </c>
      <c r="DP32" s="1" t="n">
        <f aca="false">IF(AND(R_Scores!$B32=2,OR(R_Scores!$C32="Tool condition",R_Scores!$C32="Paper condition"),ISNUMBER(R_Scores!P32)),(COUNTIFS(R_Scores!$B$5:$B$44,2,R_Scores!$C$5:$C$44,"Tool condition",R_Scores!P$5:P$44,R_Scores!P32)+COUNTIFS(R_Scores!$B$5:$B$44,2,R_Scores!$C$5:$C$44,"Paper condition",R_Scores!P$5:P$44,R_Scores!P32))^2-1,"")</f>
        <v>168</v>
      </c>
      <c r="DQ32" s="1" t="n">
        <f aca="false">IF(ISNUMBER(R_Scores!P32),R_Scores!P32^2,"")</f>
        <v>0</v>
      </c>
      <c r="DR32" s="1" t="str">
        <f aca="false">IF(AND(Scores!$B32=1,Scores!$C32="Tool condition",ISNUMBER(Scores!Q32)),COUNTIFS(Scores!$B$5:$B$44,1,Scores!$C$5:$C$44,"Paper condition",Scores!Q$5:Q$44,"&lt;"&amp;Scores!Q32)+0.5*COUNTIFS(Scores!$B$5:$B$44,1,Scores!$C$5:$C$44,"Paper condition",Scores!Q$5:Q$44,Scores!Q32),"")</f>
        <v/>
      </c>
      <c r="DS32" s="1" t="str">
        <f aca="false">IF(AND(Scores!$B32=1,OR(Scores!$C32="Tool condition",Scores!$C32="Paper condition"),ISNUMBER(Scores!Q32)),(COUNTIFS(Scores!$B$5:$B$44,1,Scores!$C$5:$C$44,"Tool condition",Scores!Q$5:Q$44,Scores!Q32)+COUNTIFS(Scores!$B$5:$B$44,1,Scores!$C$5:$C$44,"Paper condition",Scores!Q$5:Q$44,Scores!Q32))^2-1,"")</f>
        <v/>
      </c>
      <c r="DT32" s="1" t="n">
        <f aca="false">IF(AND(Scores!$B32=2,Scores!$C32="Tool condition",ISNUMBER(Scores!Q32)),COUNTIFS(Scores!$B$5:$B$44,2,Scores!$C$5:$C$44,"Paper condition",Scores!Q$5:Q$44,"&lt;"&amp;Scores!Q32)+0.5*COUNTIFS(Scores!$B$5:$B$44,2,Scores!$C$5:$C$44,"Paper condition",Scores!Q$5:Q$44,Scores!Q32),"")</f>
        <v>8</v>
      </c>
      <c r="DU32" s="1" t="n">
        <f aca="false">IF(AND(Scores!$B32=2,OR(Scores!$C32="Tool condition",Scores!$C32="Paper condition"),ISNUMBER(Scores!Q32)),(COUNTIFS(Scores!$B$5:$B$44,2,Scores!$C$5:$C$44,"Tool condition",Scores!Q$5:Q$44,Scores!Q32)+COUNTIFS(Scores!$B$5:$B$44,2,Scores!$C$5:$C$44,"Paper condition",Scores!Q$5:Q$44,Scores!Q32))^2-1,"")</f>
        <v>35</v>
      </c>
      <c r="DV32" s="1" t="n">
        <f aca="false">IF(ISNUMBER(Scores!Q32),Scores!Q32^2,"")</f>
        <v>289</v>
      </c>
      <c r="DW32" s="1" t="str">
        <f aca="false">IF(AND(Scores!$B32=1,Scores!$C32="Tool condition",ISNUMBER(Scores!R32)),COUNTIFS(Scores!$B$5:$B$44,1,Scores!$C$5:$C$44,"Paper condition",Scores!R$5:R$44,"&lt;"&amp;Scores!R32)+0.5*COUNTIFS(Scores!$B$5:$B$44,1,Scores!$C$5:$C$44,"Paper condition",Scores!R$5:R$44,Scores!R32),"")</f>
        <v/>
      </c>
      <c r="DX32" s="1" t="str">
        <f aca="false">IF(AND(Scores!$B32=1,OR(Scores!$C32="Tool condition",Scores!$C32="Paper condition"),ISNUMBER(Scores!R32)),(COUNTIFS(Scores!$B$5:$B$44,1,Scores!$C$5:$C$44,"Tool condition",Scores!R$5:R$44,Scores!R32)+COUNTIFS(Scores!$B$5:$B$44,1,Scores!$C$5:$C$44,"Paper condition",Scores!R$5:R$44,Scores!R32))^2-1,"")</f>
        <v/>
      </c>
      <c r="DY32" s="1" t="n">
        <f aca="false">IF(AND(Scores!$B32=2,Scores!$C32="Tool condition",ISNUMBER(Scores!R32)),COUNTIFS(Scores!$B$5:$B$44,2,Scores!$C$5:$C$44,"Paper condition",Scores!R$5:R$44,"&lt;"&amp;Scores!R32)+0.5*COUNTIFS(Scores!$B$5:$B$44,2,Scores!$C$5:$C$44,"Paper condition",Scores!R$5:R$44,Scores!R32),"")</f>
        <v>6.5</v>
      </c>
      <c r="DZ32" s="1" t="n">
        <f aca="false">IF(AND(Scores!$B32=2,OR(Scores!$C32="Tool condition",Scores!$C32="Paper condition"),ISNUMBER(Scores!R32)),(COUNTIFS(Scores!$B$5:$B$44,2,Scores!$C$5:$C$44,"Tool condition",Scores!R$5:R$44,Scores!R32)+COUNTIFS(Scores!$B$5:$B$44,2,Scores!$C$5:$C$44,"Paper condition",Scores!R$5:R$44,Scores!R32))^2-1,"")</f>
        <v>3</v>
      </c>
      <c r="EA32" s="1" t="n">
        <f aca="false">IF(ISNUMBER(Scores!R32),Scores!R32^2,"")</f>
        <v>81</v>
      </c>
      <c r="EB32" s="1" t="str">
        <f aca="false">IF(AND(Scores!$B32=1,Scores!$C32="Tool condition",ISNUMBER(Scores!S32)),COUNTIFS(Scores!$B$5:$B$44,1,Scores!$C$5:$C$44,"Paper condition",Scores!S$5:S$44,"&lt;"&amp;Scores!S32)+0.5*COUNTIFS(Scores!$B$5:$B$44,1,Scores!$C$5:$C$44,"Paper condition",Scores!S$5:S$44,Scores!S32),"")</f>
        <v/>
      </c>
      <c r="EC32" s="1" t="str">
        <f aca="false">IF(AND(Scores!$B32=1,OR(Scores!$C32="Tool condition",Scores!$C32="Paper condition"),ISNUMBER(Scores!S32)),(COUNTIFS(Scores!$B$5:$B$44,1,Scores!$C$5:$C$44,"Tool condition",Scores!S$5:S$44,Scores!S32)+COUNTIFS(Scores!$B$5:$B$44,1,Scores!$C$5:$C$44,"Paper condition",Scores!S$5:S$44,Scores!S32))^2-1,"")</f>
        <v/>
      </c>
      <c r="ED32" s="1" t="n">
        <f aca="false">IF(AND(Scores!$B32=2,Scores!$C32="Tool condition",ISNUMBER(Scores!S32)),COUNTIFS(Scores!$B$5:$B$44,2,Scores!$C$5:$C$44,"Paper condition",Scores!S$5:S$44,"&lt;"&amp;Scores!S32)+0.5*COUNTIFS(Scores!$B$5:$B$44,2,Scores!$C$5:$C$44,"Paper condition",Scores!S$5:S$44,Scores!S32),"")</f>
        <v>8</v>
      </c>
      <c r="EE32" s="1" t="n">
        <f aca="false">IF(AND(Scores!$B32=2,OR(Scores!$C32="Tool condition",Scores!$C32="Paper condition"),ISNUMBER(Scores!S32)),(COUNTIFS(Scores!$B$5:$B$44,2,Scores!$C$5:$C$44,"Tool condition",Scores!S$5:S$44,Scores!S32)+COUNTIFS(Scores!$B$5:$B$44,2,Scores!$C$5:$C$44,"Paper condition",Scores!S$5:S$44,Scores!S32))^2-1,"")</f>
        <v>63</v>
      </c>
      <c r="EF32" s="1" t="n">
        <f aca="false">IF(ISNUMBER(Scores!S32),Scores!S32^2,"")</f>
        <v>64</v>
      </c>
      <c r="EG32" s="1" t="str">
        <f aca="false">IF(AND(Scores!$B32=1,Scores!$C32="Tool condition",ISNUMBER(Scores!T32)),COUNTIFS(Scores!$B$5:$B$44,1,Scores!$C$5:$C$44,"Paper condition",Scores!T$5:T$44,"&lt;"&amp;Scores!T32)+0.5*COUNTIFS(Scores!$B$5:$B$44,1,Scores!$C$5:$C$44,"Paper condition",Scores!T$5:T$44,Scores!T32),"")</f>
        <v/>
      </c>
      <c r="EH32" s="1" t="str">
        <f aca="false">IF(AND(Scores!$B32=1,OR(Scores!$C32="Tool condition",Scores!$C32="Paper condition"),ISNUMBER(Scores!T32)),(COUNTIFS(Scores!$B$5:$B$44,1,Scores!$C$5:$C$44,"Tool condition",Scores!T$5:T$44,Scores!T32)+COUNTIFS(Scores!$B$5:$B$44,1,Scores!$C$5:$C$44,"Paper condition",Scores!T$5:T$44,Scores!T32))^2-1,"")</f>
        <v/>
      </c>
      <c r="EI32" s="1" t="n">
        <f aca="false">IF(AND(Scores!$B32=2,Scores!$C32="Tool condition",ISNUMBER(Scores!T32)),COUNTIFS(Scores!$B$5:$B$44,2,Scores!$C$5:$C$44,"Paper condition",Scores!T$5:T$44,"&lt;"&amp;Scores!T32)+0.5*COUNTIFS(Scores!$B$5:$B$44,2,Scores!$C$5:$C$44,"Paper condition",Scores!T$5:T$44,Scores!T32),"")</f>
        <v>9.5</v>
      </c>
      <c r="EJ32" s="1" t="n">
        <f aca="false">IF(AND(Scores!$B32=2,OR(Scores!$C32="Tool condition",Scores!$C32="Paper condition"),ISNUMBER(Scores!T32)),(COUNTIFS(Scores!$B$5:$B$44,2,Scores!$C$5:$C$44,"Tool condition",Scores!T$5:T$44,Scores!T32)+COUNTIFS(Scores!$B$5:$B$44,2,Scores!$C$5:$C$44,"Paper condition",Scores!T$5:T$44,Scores!T32))^2-1,"")</f>
        <v>8</v>
      </c>
      <c r="EK32" s="1" t="n">
        <f aca="false">IF(ISNUMBER(Scores!T32),Scores!T32^2,"")</f>
        <v>64</v>
      </c>
      <c r="EL32" s="1" t="str">
        <f aca="false">IF(AND(Scores!$B32=1,Scores!$C32="Tool condition",ISNUMBER(Scores!U32)),COUNTIFS(Scores!$B$5:$B$44,1,Scores!$C$5:$C$44,"Paper condition",Scores!U$5:U$44,"&lt;"&amp;Scores!U32)+0.5*COUNTIFS(Scores!$B$5:$B$44,1,Scores!$C$5:$C$44,"Paper condition",Scores!U$5:U$44,Scores!U32),"")</f>
        <v/>
      </c>
      <c r="EM32" s="1" t="str">
        <f aca="false">IF(AND(Scores!$B32=1,OR(Scores!$C32="Tool condition",Scores!$C32="Paper condition"),ISNUMBER(Scores!U32)),(COUNTIFS(Scores!$B$5:$B$44,1,Scores!$C$5:$C$44,"Tool condition",Scores!U$5:U$44,Scores!U32)+COUNTIFS(Scores!$B$5:$B$44,1,Scores!$C$5:$C$44,"Paper condition",Scores!U$5:U$44,Scores!U32))^2-1,"")</f>
        <v/>
      </c>
      <c r="EN32" s="1" t="n">
        <f aca="false">IF(AND(Scores!$B32=2,Scores!$C32="Tool condition",ISNUMBER(Scores!U32)),COUNTIFS(Scores!$B$5:$B$44,2,Scores!$C$5:$C$44,"Paper condition",Scores!U$5:U$44,"&lt;"&amp;Scores!U32)+0.5*COUNTIFS(Scores!$B$5:$B$44,2,Scores!$C$5:$C$44,"Paper condition",Scores!U$5:U$44,Scores!U32),"")</f>
        <v>0.5</v>
      </c>
      <c r="EO32" s="1" t="n">
        <f aca="false">IF(AND(Scores!$B32=2,OR(Scores!$C32="Tool condition",Scores!$C32="Paper condition"),ISNUMBER(Scores!U32)),(COUNTIFS(Scores!$B$5:$B$44,2,Scores!$C$5:$C$44,"Tool condition",Scores!U$5:U$44,Scores!U32)+COUNTIFS(Scores!$B$5:$B$44,2,Scores!$C$5:$C$44,"Paper condition",Scores!U$5:U$44,Scores!U32))^2-1,"")</f>
        <v>3</v>
      </c>
      <c r="EP32" s="1" t="n">
        <f aca="false">IF(ISNUMBER(Scores!U32),Scores!U32^2,"")</f>
        <v>4</v>
      </c>
      <c r="EQ32" s="1" t="str">
        <f aca="false">IF(AND(Scores!$B32=1,Scores!$C32="Tool condition",ISNUMBER(Scores!V32)),COUNTIFS(Scores!$B$5:$B$44,1,Scores!$C$5:$C$44,"Paper condition",Scores!V$5:V$44,"&lt;"&amp;Scores!V32)+0.5*COUNTIFS(Scores!$B$5:$B$44,1,Scores!$C$5:$C$44,"Paper condition",Scores!V$5:V$44,Scores!V32),"")</f>
        <v/>
      </c>
      <c r="ER32" s="1" t="str">
        <f aca="false">IF(AND(Scores!$B32=1,OR(Scores!$C32="Tool condition",Scores!$C32="Paper condition"),ISNUMBER(Scores!V32)),(COUNTIFS(Scores!$B$5:$B$44,1,Scores!$C$5:$C$44,"Tool condition",Scores!V$5:V$44,Scores!V32)+COUNTIFS(Scores!$B$5:$B$44,1,Scores!$C$5:$C$44,"Paper condition",Scores!V$5:V$44,Scores!V32))^2-1,"")</f>
        <v/>
      </c>
      <c r="ES32" s="1" t="n">
        <f aca="false">IF(AND(Scores!$B32=2,Scores!$C32="Tool condition",ISNUMBER(Scores!V32)),COUNTIFS(Scores!$B$5:$B$44,2,Scores!$C$5:$C$44,"Paper condition",Scores!V$5:V$44,"&lt;"&amp;Scores!V32)+0.5*COUNTIFS(Scores!$B$5:$B$44,2,Scores!$C$5:$C$44,"Paper condition",Scores!V$5:V$44,Scores!V32),"")</f>
        <v>8</v>
      </c>
      <c r="ET32" s="1" t="n">
        <f aca="false">IF(AND(Scores!$B32=2,OR(Scores!$C32="Tool condition",Scores!$C32="Paper condition"),ISNUMBER(Scores!V32)),(COUNTIFS(Scores!$B$5:$B$44,2,Scores!$C$5:$C$44,"Tool condition",Scores!V$5:V$44,Scores!V32)+COUNTIFS(Scores!$B$5:$B$44,2,Scores!$C$5:$C$44,"Paper condition",Scores!V$5:V$44,Scores!V32))^2-1,"")</f>
        <v>48</v>
      </c>
      <c r="EU32" s="1" t="n">
        <f aca="false">IF(ISNUMBER(Scores!V32),Scores!V32^2,"")</f>
        <v>49</v>
      </c>
      <c r="EV32" s="1" t="str">
        <f aca="false">IF(AND(R_Scores!$B32=1,R_Scores!$C32="Tool condition",ISNUMBER(R_Scores!Q32)),COUNTIFS(R_Scores!$B$5:$B$44,1,R_Scores!$C$5:$C$44,"Paper condition",R_Scores!Q$5:Q$44,"&lt;"&amp;R_Scores!Q32)+0.5*COUNTIFS(R_Scores!$B$5:$B$44,1,R_Scores!$C$5:$C$44,"Paper condition",R_Scores!Q$5:Q$44,R_Scores!Q32),"")</f>
        <v/>
      </c>
      <c r="EW32" s="1" t="str">
        <f aca="false">IF(AND(R_Scores!$B32=1,OR(R_Scores!$C32="Tool condition",R_Scores!$C32="Paper condition"),ISNUMBER(R_Scores!Q32)),(COUNTIFS(R_Scores!$B$5:$B$44,1,R_Scores!$C$5:$C$44,"Tool condition",R_Scores!Q$5:Q$44,R_Scores!Q32)+COUNTIFS(R_Scores!$B$5:$B$44,1,R_Scores!$C$5:$C$44,"Paper condition",R_Scores!Q$5:Q$44,R_Scores!Q32))^2-1,"")</f>
        <v/>
      </c>
      <c r="EX32" s="1" t="n">
        <f aca="false">IF(AND(R_Scores!$B32=2,R_Scores!$C32="Tool condition",ISNUMBER(R_Scores!Q32)),COUNTIFS(R_Scores!$B$5:$B$44,2,R_Scores!$C$5:$C$44,"Paper condition",R_Scores!Q$5:Q$44,"&lt;"&amp;R_Scores!Q32)+0.5*COUNTIFS(R_Scores!$B$5:$B$44,2,R_Scores!$C$5:$C$44,"Paper condition",R_Scores!Q$5:Q$44,R_Scores!Q32),"")</f>
        <v>8.5</v>
      </c>
      <c r="EY32" s="1" t="n">
        <f aca="false">IF(AND(R_Scores!$B32=2,OR(R_Scores!$C32="Tool condition",R_Scores!$C32="Paper condition"),ISNUMBER(R_Scores!Q32)),(COUNTIFS(R_Scores!$B$5:$B$44,2,R_Scores!$C$5:$C$44,"Tool condition",R_Scores!Q$5:Q$44,R_Scores!Q32)+COUNTIFS(R_Scores!$B$5:$B$44,2,R_Scores!$C$5:$C$44,"Paper condition",R_Scores!Q$5:Q$44,R_Scores!Q32))^2-1,"")</f>
        <v>143</v>
      </c>
      <c r="EZ32" s="1" t="n">
        <f aca="false">IF(ISNUMBER(R_Scores!Q32),R_Scores!Q32^2,"")</f>
        <v>25</v>
      </c>
      <c r="FA32" s="1" t="str">
        <f aca="false">IF(AND(R_Scores!$B32=1,R_Scores!$C32="Tool condition",ISNUMBER(R_Scores!R32)),COUNTIFS(R_Scores!$B$5:$B$44,1,R_Scores!$C$5:$C$44,"Paper condition",R_Scores!R$5:R$44,"&lt;"&amp;R_Scores!R32)+0.5*COUNTIFS(R_Scores!$B$5:$B$44,1,R_Scores!$C$5:$C$44,"Paper condition",R_Scores!R$5:R$44,R_Scores!R32),"")</f>
        <v/>
      </c>
      <c r="FB32" s="1" t="str">
        <f aca="false">IF(AND(R_Scores!$B32=1,OR(R_Scores!$C32="Tool condition",R_Scores!$C32="Paper condition"),ISNUMBER(R_Scores!R32)),(COUNTIFS(R_Scores!$B$5:$B$44,1,R_Scores!$C$5:$C$44,"Tool condition",R_Scores!R$5:R$44,R_Scores!R32)+COUNTIFS(R_Scores!$B$5:$B$44,1,R_Scores!$C$5:$C$44,"Paper condition",R_Scores!R$5:R$44,R_Scores!R32))^2-1,"")</f>
        <v/>
      </c>
      <c r="FC32" s="1" t="n">
        <f aca="false">IF(AND(R_Scores!$B32=2,R_Scores!$C32="Tool condition",ISNUMBER(R_Scores!R32)),COUNTIFS(R_Scores!$B$5:$B$44,2,R_Scores!$C$5:$C$44,"Paper condition",R_Scores!R$5:R$44,"&lt;"&amp;R_Scores!R32)+0.5*COUNTIFS(R_Scores!$B$5:$B$44,2,R_Scores!$C$5:$C$44,"Paper condition",R_Scores!R$5:R$44,R_Scores!R32),"")</f>
        <v>8</v>
      </c>
      <c r="FD32" s="1" t="n">
        <f aca="false">IF(AND(R_Scores!$B32=2,OR(R_Scores!$C32="Tool condition",R_Scores!$C32="Paper condition"),ISNUMBER(R_Scores!R32)),(COUNTIFS(R_Scores!$B$5:$B$44,2,R_Scores!$C$5:$C$44,"Tool condition",R_Scores!R$5:R$44,R_Scores!R32)+COUNTIFS(R_Scores!$B$5:$B$44,2,R_Scores!$C$5:$C$44,"Paper condition",R_Scores!R$5:R$44,R_Scores!R32))^2-1,"")</f>
        <v>35</v>
      </c>
      <c r="FE32" s="1" t="n">
        <f aca="false">IF(ISNUMBER(R_Scores!R32),R_Scores!R32^2,"")</f>
        <v>484</v>
      </c>
    </row>
    <row r="33" customFormat="false" ht="14.25" hidden="false" customHeight="true" outlineLevel="0" collapsed="false">
      <c r="B33" s="1" t="str">
        <f aca="false">IF(AND(Scores!$B33=1,Scores!$C33="Tool condition",ISNUMBER(Scores!E33)),COUNTIFS(Scores!$B$5:$B$44,1,Scores!$C$5:$C$44,"Paper condition",Scores!E$5:E$44,"&lt;"&amp;Scores!E33)+0.5*COUNTIFS(Scores!$B$5:$B$44,1,Scores!$C$5:$C$44,"Paper condition",Scores!E$5:E$44,Scores!E33),"")</f>
        <v/>
      </c>
      <c r="C33" s="1" t="str">
        <f aca="false">IF(AND(Scores!$B33=1,OR(Scores!$C33="Tool condition",Scores!$C33="Paper condition"),ISNUMBER(Scores!E33)),(COUNTIFS(Scores!$B$5:$B$44,1,Scores!$C$5:$C$44,"Tool condition",Scores!E$5:E$44,Scores!E33)+COUNTIFS(Scores!$B$5:$B$44,1,Scores!$C$5:$C$44,"Paper condition",Scores!E$5:E$44,Scores!E33))^2-1,"")</f>
        <v/>
      </c>
      <c r="D33" s="1" t="n">
        <f aca="false">IF(AND(Scores!$B33=2,Scores!$C33="Tool condition",ISNUMBER(Scores!E33)),COUNTIFS(Scores!$B$5:$B$44,2,Scores!$C$5:$C$44,"Paper condition",Scores!E$5:E$44,"&lt;"&amp;Scores!E33)+0.5*COUNTIFS(Scores!$B$5:$B$44,2,Scores!$C$5:$C$44,"Paper condition",Scores!E$5:E$44,Scores!E33),"")</f>
        <v>7.5</v>
      </c>
      <c r="E33" s="1" t="n">
        <f aca="false">IF(AND(Scores!$B33=2,OR(Scores!$C33="Tool condition",Scores!$C33="Paper condition"),ISNUMBER(Scores!E33)),(COUNTIFS(Scores!$B$5:$B$44,2,Scores!$C$5:$C$44,"Tool condition",Scores!E$5:E$44,Scores!E33)+COUNTIFS(Scores!$B$5:$B$44,2,Scores!$C$5:$C$44,"Paper condition",Scores!E$5:E$44,Scores!E33))^2-1,"")</f>
        <v>143</v>
      </c>
      <c r="F33" s="1" t="n">
        <f aca="false">IF(ISNUMBER(Scores!E33),Scores!E33^2,"")</f>
        <v>4</v>
      </c>
      <c r="G33" s="1" t="str">
        <f aca="false">IF(AND(Scores!$B33=1,Scores!$C33="Tool condition",ISNUMBER(Scores!F33)),COUNTIFS(Scores!$B$5:$B$44,1,Scores!$C$5:$C$44,"Paper condition",Scores!F$5:F$44,"&lt;"&amp;Scores!F33)+0.5*COUNTIFS(Scores!$B$5:$B$44,1,Scores!$C$5:$C$44,"Paper condition",Scores!F$5:F$44,Scores!F33),"")</f>
        <v/>
      </c>
      <c r="H33" s="1" t="str">
        <f aca="false">IF(AND(Scores!$B33=1,OR(Scores!$C33="Tool condition",Scores!$C33="Paper condition"),ISNUMBER(Scores!F33)),(COUNTIFS(Scores!$B$5:$B$44,1,Scores!$C$5:$C$44,"Tool condition",Scores!F$5:F$44,Scores!F33)+COUNTIFS(Scores!$B$5:$B$44,1,Scores!$C$5:$C$44,"Paper condition",Scores!F$5:F$44,Scores!F33))^2-1,"")</f>
        <v/>
      </c>
      <c r="I33" s="1" t="n">
        <f aca="false">IF(AND(Scores!$B33=2,Scores!$C33="Tool condition",ISNUMBER(Scores!F33)),COUNTIFS(Scores!$B$5:$B$44,2,Scores!$C$5:$C$44,"Paper condition",Scores!F$5:F$44,"&lt;"&amp;Scores!F33)+0.5*COUNTIFS(Scores!$B$5:$B$44,2,Scores!$C$5:$C$44,"Paper condition",Scores!F$5:F$44,Scores!F33),"")</f>
        <v>3.5</v>
      </c>
      <c r="J33" s="1" t="n">
        <f aca="false">IF(AND(Scores!$B33=2,OR(Scores!$C33="Tool condition",Scores!$C33="Paper condition"),ISNUMBER(Scores!F33)),(COUNTIFS(Scores!$B$5:$B$44,2,Scores!$C$5:$C$44,"Tool condition",Scores!F$5:F$44,Scores!F33)+COUNTIFS(Scores!$B$5:$B$44,2,Scores!$C$5:$C$44,"Paper condition",Scores!F$5:F$44,Scores!F33))^2-1,"")</f>
        <v>63</v>
      </c>
      <c r="K33" s="1" t="n">
        <f aca="false">IF(ISNUMBER(Scores!F33),Scores!F33^2,"")</f>
        <v>1</v>
      </c>
      <c r="L33" s="1" t="str">
        <f aca="false">IF(AND(Scores!$B33=1,Scores!$C33="Tool condition",ISNUMBER(Scores!G33)),COUNTIFS(Scores!$B$5:$B$44,1,Scores!$C$5:$C$44,"Paper condition",Scores!G$5:G$44,"&lt;"&amp;Scores!G33)+0.5*COUNTIFS(Scores!$B$5:$B$44,1,Scores!$C$5:$C$44,"Paper condition",Scores!G$5:G$44,Scores!G33),"")</f>
        <v/>
      </c>
      <c r="M33" s="1" t="str">
        <f aca="false">IF(AND(Scores!$B33=1,OR(Scores!$C33="Tool condition",Scores!$C33="Paper condition"),ISNUMBER(Scores!G33)),(COUNTIFS(Scores!$B$5:$B$44,1,Scores!$C$5:$C$44,"Tool condition",Scores!G$5:G$44,Scores!G33)+COUNTIFS(Scores!$B$5:$B$44,1,Scores!$C$5:$C$44,"Paper condition",Scores!G$5:G$44,Scores!G33))^2-1,"")</f>
        <v/>
      </c>
      <c r="N33" s="1" t="n">
        <f aca="false">IF(AND(Scores!$B33=2,Scores!$C33="Tool condition",ISNUMBER(Scores!G33)),COUNTIFS(Scores!$B$5:$B$44,2,Scores!$C$5:$C$44,"Paper condition",Scores!G$5:G$44,"&lt;"&amp;Scores!G33)+0.5*COUNTIFS(Scores!$B$5:$B$44,2,Scores!$C$5:$C$44,"Paper condition",Scores!G$5:G$44,Scores!G33),"")</f>
        <v>7</v>
      </c>
      <c r="O33" s="1" t="n">
        <f aca="false">IF(AND(Scores!$B33=2,OR(Scores!$C33="Tool condition",Scores!$C33="Paper condition"),ISNUMBER(Scores!G33)),(COUNTIFS(Scores!$B$5:$B$44,2,Scores!$C$5:$C$44,"Tool condition",Scores!G$5:G$44,Scores!G33)+COUNTIFS(Scores!$B$5:$B$44,2,Scores!$C$5:$C$44,"Paper condition",Scores!G$5:G$44,Scores!G33))^2-1,"")</f>
        <v>195</v>
      </c>
      <c r="P33" s="1" t="n">
        <f aca="false">IF(ISNUMBER(Scores!G33),Scores!G33^2,"")</f>
        <v>4</v>
      </c>
      <c r="Q33" s="1" t="str">
        <f aca="false">IF(AND(Scores!$B33=1,Scores!$C33="Tool condition",ISNUMBER(Scores!H33)),COUNTIFS(Scores!$B$5:$B$44,1,Scores!$C$5:$C$44,"Paper condition",Scores!H$5:H$44,"&lt;"&amp;Scores!H33)+0.5*COUNTIFS(Scores!$B$5:$B$44,1,Scores!$C$5:$C$44,"Paper condition",Scores!H$5:H$44,Scores!H33),"")</f>
        <v/>
      </c>
      <c r="R33" s="1" t="str">
        <f aca="false">IF(AND(Scores!$B33=1,OR(Scores!$C33="Tool condition",Scores!$C33="Paper condition"),ISNUMBER(Scores!H33)),(COUNTIFS(Scores!$B$5:$B$44,1,Scores!$C$5:$C$44,"Tool condition",Scores!H$5:H$44,Scores!H33)+COUNTIFS(Scores!$B$5:$B$44,1,Scores!$C$5:$C$44,"Paper condition",Scores!H$5:H$44,Scores!H33))^2-1,"")</f>
        <v/>
      </c>
      <c r="S33" s="1" t="n">
        <f aca="false">IF(AND(Scores!$B33=2,Scores!$C33="Tool condition",ISNUMBER(Scores!H33)),COUNTIFS(Scores!$B$5:$B$44,2,Scores!$C$5:$C$44,"Paper condition",Scores!H$5:H$44,"&lt;"&amp;Scores!H33)+0.5*COUNTIFS(Scores!$B$5:$B$44,2,Scores!$C$5:$C$44,"Paper condition",Scores!H$5:H$44,Scores!H33),"")</f>
        <v>8</v>
      </c>
      <c r="T33" s="1" t="n">
        <f aca="false">IF(AND(Scores!$B33=2,OR(Scores!$C33="Tool condition",Scores!$C33="Paper condition"),ISNUMBER(Scores!H33)),(COUNTIFS(Scores!$B$5:$B$44,2,Scores!$C$5:$C$44,"Tool condition",Scores!H$5:H$44,Scores!H33)+COUNTIFS(Scores!$B$5:$B$44,2,Scores!$C$5:$C$44,"Paper condition",Scores!H$5:H$44,Scores!H33))^2-1,"")</f>
        <v>99</v>
      </c>
      <c r="U33" s="1" t="n">
        <f aca="false">IF(ISNUMBER(Scores!H33),Scores!H33^2,"")</f>
        <v>4</v>
      </c>
      <c r="V33" s="1" t="str">
        <f aca="false">IF(AND(Scores!$B33=1,Scores!$C33="Tool condition",ISNUMBER(Scores!I33)),COUNTIFS(Scores!$B$5:$B$44,1,Scores!$C$5:$C$44,"Paper condition",Scores!I$5:I$44,"&lt;"&amp;Scores!I33)+0.5*COUNTIFS(Scores!$B$5:$B$44,1,Scores!$C$5:$C$44,"Paper condition",Scores!I$5:I$44,Scores!I33),"")</f>
        <v/>
      </c>
      <c r="W33" s="1" t="str">
        <f aca="false">IF(AND(Scores!$B33=1,OR(Scores!$C33="Tool condition",Scores!$C33="Paper condition"),ISNUMBER(Scores!I33)),(COUNTIFS(Scores!$B$5:$B$44,1,Scores!$C$5:$C$44,"Tool condition",Scores!I$5:I$44,Scores!I33)+COUNTIFS(Scores!$B$5:$B$44,1,Scores!$C$5:$C$44,"Paper condition",Scores!I$5:I$44,Scores!I33))^2-1,"")</f>
        <v/>
      </c>
      <c r="X33" s="1" t="n">
        <f aca="false">IF(AND(Scores!$B33=2,Scores!$C33="Tool condition",ISNUMBER(Scores!I33)),COUNTIFS(Scores!$B$5:$B$44,2,Scores!$C$5:$C$44,"Paper condition",Scores!I$5:I$44,"&lt;"&amp;Scores!I33)+0.5*COUNTIFS(Scores!$B$5:$B$44,2,Scores!$C$5:$C$44,"Paper condition",Scores!I$5:I$44,Scores!I33),"")</f>
        <v>8.5</v>
      </c>
      <c r="Y33" s="1" t="n">
        <f aca="false">IF(AND(Scores!$B33=2,OR(Scores!$C33="Tool condition",Scores!$C33="Paper condition"),ISNUMBER(Scores!I33)),(COUNTIFS(Scores!$B$5:$B$44,2,Scores!$C$5:$C$44,"Tool condition",Scores!I$5:I$44,Scores!I33)+COUNTIFS(Scores!$B$5:$B$44,2,Scores!$C$5:$C$44,"Paper condition",Scores!I$5:I$44,Scores!I33))^2-1,"")</f>
        <v>99</v>
      </c>
      <c r="Z33" s="1" t="n">
        <f aca="false">IF(ISNUMBER(Scores!I33),Scores!I33^2,"")</f>
        <v>4</v>
      </c>
      <c r="AA33" s="1" t="str">
        <f aca="false">IF(AND(Scores!$B33=1,Scores!$C33="Tool condition",ISNUMBER(Scores!J33)),COUNTIFS(Scores!$B$5:$B$44,1,Scores!$C$5:$C$44,"Paper condition",Scores!J$5:J$44,"&lt;"&amp;Scores!J33)+0.5*COUNTIFS(Scores!$B$5:$B$44,1,Scores!$C$5:$C$44,"Paper condition",Scores!J$5:J$44,Scores!J33),"")</f>
        <v/>
      </c>
      <c r="AB33" s="1" t="str">
        <f aca="false">IF(AND(Scores!$B33=1,OR(Scores!$C33="Tool condition",Scores!$C33="Paper condition"),ISNUMBER(Scores!J33)),(COUNTIFS(Scores!$B$5:$B$44,1,Scores!$C$5:$C$44,"Tool condition",Scores!J$5:J$44,Scores!J33)+COUNTIFS(Scores!$B$5:$B$44,1,Scores!$C$5:$C$44,"Paper condition",Scores!J$5:J$44,Scores!J33))^2-1,"")</f>
        <v/>
      </c>
      <c r="AC33" s="1" t="n">
        <f aca="false">IF(AND(Scores!$B33=2,Scores!$C33="Tool condition",ISNUMBER(Scores!J33)),COUNTIFS(Scores!$B$5:$B$44,2,Scores!$C$5:$C$44,"Paper condition",Scores!J$5:J$44,"&lt;"&amp;Scores!J33)+0.5*COUNTIFS(Scores!$B$5:$B$44,2,Scores!$C$5:$C$44,"Paper condition",Scores!J$5:J$44,Scores!J33),"")</f>
        <v>2.5</v>
      </c>
      <c r="AD33" s="1" t="n">
        <f aca="false">IF(AND(Scores!$B33=2,OR(Scores!$C33="Tool condition",Scores!$C33="Paper condition"),ISNUMBER(Scores!J33)),(COUNTIFS(Scores!$B$5:$B$44,2,Scores!$C$5:$C$44,"Tool condition",Scores!J$5:J$44,Scores!J33)+COUNTIFS(Scores!$B$5:$B$44,2,Scores!$C$5:$C$44,"Paper condition",Scores!J$5:J$44,Scores!J33))^2-1,"")</f>
        <v>80</v>
      </c>
      <c r="AE33" s="1" t="n">
        <f aca="false">IF(ISNUMBER(Scores!J33),Scores!J33^2,"")</f>
        <v>1</v>
      </c>
      <c r="AF33" s="1" t="str">
        <f aca="false">IF(AND(Scores!$B33=1,Scores!$C33="Tool condition",ISNUMBER(Scores!K33)),COUNTIFS(Scores!$B$5:$B$44,1,Scores!$C$5:$C$44,"Paper condition",Scores!K$5:K$44,"&lt;"&amp;Scores!K33)+0.5*COUNTIFS(Scores!$B$5:$B$44,1,Scores!$C$5:$C$44,"Paper condition",Scores!K$5:K$44,Scores!K33),"")</f>
        <v/>
      </c>
      <c r="AG33" s="1" t="str">
        <f aca="false">IF(AND(Scores!$B33=1,OR(Scores!$C33="Tool condition",Scores!$C33="Paper condition"),ISNUMBER(Scores!K33)),(COUNTIFS(Scores!$B$5:$B$44,1,Scores!$C$5:$C$44,"Tool condition",Scores!K$5:K$44,Scores!K33)+COUNTIFS(Scores!$B$5:$B$44,1,Scores!$C$5:$C$44,"Paper condition",Scores!K$5:K$44,Scores!K33))^2-1,"")</f>
        <v/>
      </c>
      <c r="AH33" s="1" t="n">
        <f aca="false">IF(AND(Scores!$B33=2,Scores!$C33="Tool condition",ISNUMBER(Scores!K33)),COUNTIFS(Scores!$B$5:$B$44,2,Scores!$C$5:$C$44,"Paper condition",Scores!K$5:K$44,"&lt;"&amp;Scores!K33)+0.5*COUNTIFS(Scores!$B$5:$B$44,2,Scores!$C$5:$C$44,"Paper condition",Scores!K$5:K$44,Scores!K33),"")</f>
        <v>3.5</v>
      </c>
      <c r="AI33" s="1" t="n">
        <f aca="false">IF(AND(Scores!$B33=2,OR(Scores!$C33="Tool condition",Scores!$C33="Paper condition"),ISNUMBER(Scores!K33)),(COUNTIFS(Scores!$B$5:$B$44,2,Scores!$C$5:$C$44,"Tool condition",Scores!K$5:K$44,Scores!K33)+COUNTIFS(Scores!$B$5:$B$44,2,Scores!$C$5:$C$44,"Paper condition",Scores!K$5:K$44,Scores!K33))^2-1,"")</f>
        <v>120</v>
      </c>
      <c r="AJ33" s="1" t="n">
        <f aca="false">IF(ISNUMBER(Scores!K33),Scores!K33^2,"")</f>
        <v>1</v>
      </c>
      <c r="AK33" s="1" t="str">
        <f aca="false">IF(AND(Scores!$B33=1,Scores!$C33="Tool condition",ISNUMBER(Scores!L33)),COUNTIFS(Scores!$B$5:$B$44,1,Scores!$C$5:$C$44,"Paper condition",Scores!L$5:L$44,"&lt;"&amp;Scores!L33)+0.5*COUNTIFS(Scores!$B$5:$B$44,1,Scores!$C$5:$C$44,"Paper condition",Scores!L$5:L$44,Scores!L33),"")</f>
        <v/>
      </c>
      <c r="AL33" s="1" t="str">
        <f aca="false">IF(AND(Scores!$B33=1,OR(Scores!$C33="Tool condition",Scores!$C33="Paper condition"),ISNUMBER(Scores!L33)),(COUNTIFS(Scores!$B$5:$B$44,1,Scores!$C$5:$C$44,"Tool condition",Scores!L$5:L$44,Scores!L33)+COUNTIFS(Scores!$B$5:$B$44,1,Scores!$C$5:$C$44,"Paper condition",Scores!L$5:L$44,Scores!L33))^2-1,"")</f>
        <v/>
      </c>
      <c r="AM33" s="1" t="n">
        <f aca="false">IF(AND(Scores!$B33=2,Scores!$C33="Tool condition",ISNUMBER(Scores!L33)),COUNTIFS(Scores!$B$5:$B$44,2,Scores!$C$5:$C$44,"Paper condition",Scores!L$5:L$44,"&lt;"&amp;Scores!L33)+0.5*COUNTIFS(Scores!$B$5:$B$44,2,Scores!$C$5:$C$44,"Paper condition",Scores!L$5:L$44,Scores!L33),"")</f>
        <v>7.5</v>
      </c>
      <c r="AN33" s="1" t="n">
        <f aca="false">IF(AND(Scores!$B33=2,OR(Scores!$C33="Tool condition",Scores!$C33="Paper condition"),ISNUMBER(Scores!L33)),(COUNTIFS(Scores!$B$5:$B$44,2,Scores!$C$5:$C$44,"Tool condition",Scores!L$5:L$44,Scores!L33)+COUNTIFS(Scores!$B$5:$B$44,2,Scores!$C$5:$C$44,"Paper condition",Scores!L$5:L$44,Scores!L33))^2-1,"")</f>
        <v>99</v>
      </c>
      <c r="AO33" s="1" t="n">
        <f aca="false">IF(ISNUMBER(Scores!L33),Scores!L33^2,"")</f>
        <v>4</v>
      </c>
      <c r="AP33" s="1" t="str">
        <f aca="false">IF(AND(Scores!$B33=1,Scores!$C33="Tool condition",ISNUMBER(Scores!M33)),COUNTIFS(Scores!$B$5:$B$44,1,Scores!$C$5:$C$44,"Paper condition",Scores!M$5:M$44,"&lt;"&amp;Scores!M33)+0.5*COUNTIFS(Scores!$B$5:$B$44,1,Scores!$C$5:$C$44,"Paper condition",Scores!M$5:M$44,Scores!M33),"")</f>
        <v/>
      </c>
      <c r="AQ33" s="1" t="str">
        <f aca="false">IF(AND(Scores!$B33=1,OR(Scores!$C33="Tool condition",Scores!$C33="Paper condition"),ISNUMBER(Scores!M33)),(COUNTIFS(Scores!$B$5:$B$44,1,Scores!$C$5:$C$44,"Tool condition",Scores!M$5:M$44,Scores!M33)+COUNTIFS(Scores!$B$5:$B$44,1,Scores!$C$5:$C$44,"Paper condition",Scores!M$5:M$44,Scores!M33))^2-1,"")</f>
        <v/>
      </c>
      <c r="AR33" s="1" t="n">
        <f aca="false">IF(AND(Scores!$B33=2,Scores!$C33="Tool condition",ISNUMBER(Scores!M33)),COUNTIFS(Scores!$B$5:$B$44,2,Scores!$C$5:$C$44,"Paper condition",Scores!M$5:M$44,"&lt;"&amp;Scores!M33)+0.5*COUNTIFS(Scores!$B$5:$B$44,2,Scores!$C$5:$C$44,"Paper condition",Scores!M$5:M$44,Scores!M33),"")</f>
        <v>0.5</v>
      </c>
      <c r="AS33" s="1" t="n">
        <f aca="false">IF(AND(Scores!$B33=2,OR(Scores!$C33="Tool condition",Scores!$C33="Paper condition"),ISNUMBER(Scores!M33)),(COUNTIFS(Scores!$B$5:$B$44,2,Scores!$C$5:$C$44,"Tool condition",Scores!M$5:M$44,Scores!M33)+COUNTIFS(Scores!$B$5:$B$44,2,Scores!$C$5:$C$44,"Paper condition",Scores!M$5:M$44,Scores!M33))^2-1,"")</f>
        <v>8</v>
      </c>
      <c r="AT33" s="1" t="n">
        <f aca="false">IF(ISNUMBER(Scores!M33),Scores!M33^2,"")</f>
        <v>0</v>
      </c>
      <c r="AU33" s="1" t="str">
        <f aca="false">IF(AND(Scores!$B33=1,Scores!$C33="Tool condition",ISNUMBER(Scores!N33)),COUNTIFS(Scores!$B$5:$B$44,1,Scores!$C$5:$C$44,"Paper condition",Scores!N$5:N$44,"&lt;"&amp;Scores!N33)+0.5*COUNTIFS(Scores!$B$5:$B$44,1,Scores!$C$5:$C$44,"Paper condition",Scores!N$5:N$44,Scores!N33),"")</f>
        <v/>
      </c>
      <c r="AV33" s="1" t="str">
        <f aca="false">IF(AND(Scores!$B33=1,OR(Scores!$C33="Tool condition",Scores!$C33="Paper condition"),ISNUMBER(Scores!N33)),(COUNTIFS(Scores!$B$5:$B$44,1,Scores!$C$5:$C$44,"Tool condition",Scores!N$5:N$44,Scores!N33)+COUNTIFS(Scores!$B$5:$B$44,1,Scores!$C$5:$C$44,"Paper condition",Scores!N$5:N$44,Scores!N33))^2-1,"")</f>
        <v/>
      </c>
      <c r="AW33" s="1" t="n">
        <f aca="false">IF(AND(Scores!$B33=2,Scores!$C33="Tool condition",ISNUMBER(Scores!N33)),COUNTIFS(Scores!$B$5:$B$44,2,Scores!$C$5:$C$44,"Paper condition",Scores!N$5:N$44,"&lt;"&amp;Scores!N33)+0.5*COUNTIFS(Scores!$B$5:$B$44,2,Scores!$C$5:$C$44,"Paper condition",Scores!N$5:N$44,Scores!N33),"")</f>
        <v>4.5</v>
      </c>
      <c r="AX33" s="1" t="n">
        <f aca="false">IF(AND(Scores!$B33=2,OR(Scores!$C33="Tool condition",Scores!$C33="Paper condition"),ISNUMBER(Scores!N33)),(COUNTIFS(Scores!$B$5:$B$44,2,Scores!$C$5:$C$44,"Tool condition",Scores!N$5:N$44,Scores!N33)+COUNTIFS(Scores!$B$5:$B$44,2,Scores!$C$5:$C$44,"Paper condition",Scores!N$5:N$44,Scores!N33))^2-1,"")</f>
        <v>80</v>
      </c>
      <c r="AY33" s="1" t="n">
        <f aca="false">IF(ISNUMBER(Scores!N33),Scores!N33^2,"")</f>
        <v>1</v>
      </c>
      <c r="AZ33" s="1" t="str">
        <f aca="false">IF(AND(Scores!$B33=1,Scores!$C33="Tool condition",ISNUMBER(Scores!O33)),COUNTIFS(Scores!$B$5:$B$44,1,Scores!$C$5:$C$44,"Paper condition",Scores!O$5:O$44,"&lt;"&amp;Scores!O33)+0.5*COUNTIFS(Scores!$B$5:$B$44,1,Scores!$C$5:$C$44,"Paper condition",Scores!O$5:O$44,Scores!O33),"")</f>
        <v/>
      </c>
      <c r="BA33" s="1" t="str">
        <f aca="false">IF(AND(Scores!$B33=1,OR(Scores!$C33="Tool condition",Scores!$C33="Paper condition"),ISNUMBER(Scores!O33)),(COUNTIFS(Scores!$B$5:$B$44,1,Scores!$C$5:$C$44,"Tool condition",Scores!O$5:O$44,Scores!O33)+COUNTIFS(Scores!$B$5:$B$44,1,Scores!$C$5:$C$44,"Paper condition",Scores!O$5:O$44,Scores!O33))^2-1,"")</f>
        <v/>
      </c>
      <c r="BB33" s="1" t="n">
        <f aca="false">IF(AND(Scores!$B33=2,Scores!$C33="Tool condition",ISNUMBER(Scores!O33)),COUNTIFS(Scores!$B$5:$B$44,2,Scores!$C$5:$C$44,"Paper condition",Scores!O$5:O$44,"&lt;"&amp;Scores!O33)+0.5*COUNTIFS(Scores!$B$5:$B$44,2,Scores!$C$5:$C$44,"Paper condition",Scores!O$5:O$44,Scores!O33),"")</f>
        <v>10</v>
      </c>
      <c r="BC33" s="1" t="n">
        <f aca="false">IF(AND(Scores!$B33=2,OR(Scores!$C33="Tool condition",Scores!$C33="Paper condition"),ISNUMBER(Scores!O33)),(COUNTIFS(Scores!$B$5:$B$44,2,Scores!$C$5:$C$44,"Tool condition",Scores!O$5:O$44,Scores!O33)+COUNTIFS(Scores!$B$5:$B$44,2,Scores!$C$5:$C$44,"Paper condition",Scores!O$5:O$44,Scores!O33))^2-1,"")</f>
        <v>15</v>
      </c>
      <c r="BD33" s="1" t="n">
        <f aca="false">IF(ISNUMBER(Scores!O33),Scores!O33^2,"")</f>
        <v>4</v>
      </c>
      <c r="BE33" s="1" t="str">
        <f aca="false">IF(AND(Scores!$B33=1,Scores!$C33="Tool condition",ISNUMBER(Scores!P33)),COUNTIFS(Scores!$B$5:$B$44,1,Scores!$C$5:$C$44,"Paper condition",Scores!P$5:P$44,"&lt;"&amp;Scores!P33)+0.5*COUNTIFS(Scores!$B$5:$B$44,1,Scores!$C$5:$C$44,"Paper condition",Scores!P$5:P$44,Scores!P33),"")</f>
        <v/>
      </c>
      <c r="BF33" s="1" t="str">
        <f aca="false">IF(AND(Scores!$B33=1,OR(Scores!$C33="Tool condition",Scores!$C33="Paper condition"),ISNUMBER(Scores!P33)),(COUNTIFS(Scores!$B$5:$B$44,1,Scores!$C$5:$C$44,"Tool condition",Scores!P$5:P$44,Scores!P33)+COUNTIFS(Scores!$B$5:$B$44,1,Scores!$C$5:$C$44,"Paper condition",Scores!P$5:P$44,Scores!P33))^2-1,"")</f>
        <v/>
      </c>
      <c r="BG33" s="1" t="n">
        <f aca="false">IF(AND(Scores!$B33=2,Scores!$C33="Tool condition",ISNUMBER(Scores!P33)),COUNTIFS(Scores!$B$5:$B$44,2,Scores!$C$5:$C$44,"Paper condition",Scores!P$5:P$44,"&lt;"&amp;Scores!P33)+0.5*COUNTIFS(Scores!$B$5:$B$44,2,Scores!$C$5:$C$44,"Paper condition",Scores!P$5:P$44,Scores!P33),"")</f>
        <v>2.5</v>
      </c>
      <c r="BH33" s="1" t="n">
        <f aca="false">IF(AND(Scores!$B33=2,OR(Scores!$C33="Tool condition",Scores!$C33="Paper condition"),ISNUMBER(Scores!P33)),(COUNTIFS(Scores!$B$5:$B$44,2,Scores!$C$5:$C$44,"Tool condition",Scores!P$5:P$44,Scores!P33)+COUNTIFS(Scores!$B$5:$B$44,2,Scores!$C$5:$C$44,"Paper condition",Scores!P$5:P$44,Scores!P33))^2-1,"")</f>
        <v>63</v>
      </c>
      <c r="BI33" s="1" t="n">
        <f aca="false">IF(ISNUMBER(Scores!P33),Scores!P33^2,"")</f>
        <v>0</v>
      </c>
      <c r="BJ33" s="1" t="str">
        <f aca="false">IF(AND(R_Scores!$B33=1,R_Scores!$C33="Tool condition",ISNUMBER(R_Scores!E33)),COUNTIFS(R_Scores!$B$5:$B$44,1,R_Scores!$C$5:$C$44,"Paper condition",R_Scores!E$5:E$44,"&lt;"&amp;R_Scores!E33)+0.5*COUNTIFS(R_Scores!$B$5:$B$44,1,R_Scores!$C$5:$C$44,"Paper condition",R_Scores!E$5:E$44,R_Scores!E33),"")</f>
        <v/>
      </c>
      <c r="BK33" s="1" t="str">
        <f aca="false">IF(AND(R_Scores!$B33=1,OR(R_Scores!$C33="Tool condition",R_Scores!$C33="Paper condition"),ISNUMBER(R_Scores!E33)),(COUNTIFS(R_Scores!$B$5:$B$44,1,R_Scores!$C$5:$C$44,"Tool condition",R_Scores!E$5:E$44,R_Scores!E33)+COUNTIFS(R_Scores!$B$5:$B$44,1,R_Scores!$C$5:$C$44,"Paper condition",R_Scores!E$5:E$44,R_Scores!E33))^2-1,"")</f>
        <v/>
      </c>
      <c r="BL33" s="1" t="n">
        <f aca="false">IF(AND(R_Scores!$B33=2,R_Scores!$C33="Tool condition",ISNUMBER(R_Scores!E33)),COUNTIFS(R_Scores!$B$5:$B$44,2,R_Scores!$C$5:$C$44,"Paper condition",R_Scores!E$5:E$44,"&lt;"&amp;R_Scores!E33)+0.5*COUNTIFS(R_Scores!$B$5:$B$44,2,R_Scores!$C$5:$C$44,"Paper condition",R_Scores!E$5:E$44,R_Scores!E33),"")</f>
        <v>6.5</v>
      </c>
      <c r="BM33" s="1" t="n">
        <f aca="false">IF(AND(R_Scores!$B33=2,OR(R_Scores!$C33="Tool condition",R_Scores!$C33="Paper condition"),ISNUMBER(R_Scores!E33)),(COUNTIFS(R_Scores!$B$5:$B$44,2,R_Scores!$C$5:$C$44,"Tool condition",R_Scores!E$5:E$44,R_Scores!E33)+COUNTIFS(R_Scores!$B$5:$B$44,2,R_Scores!$C$5:$C$44,"Paper condition",R_Scores!E$5:E$44,R_Scores!E33))^2-1,"")</f>
        <v>224</v>
      </c>
      <c r="BN33" s="1" t="n">
        <f aca="false">IF(ISNUMBER(R_Scores!E33),R_Scores!E33^2,"")</f>
        <v>1</v>
      </c>
      <c r="BO33" s="1" t="str">
        <f aca="false">IF(AND(R_Scores!$B33=1,R_Scores!$C33="Tool condition",ISNUMBER(R_Scores!F33)),COUNTIFS(R_Scores!$B$5:$B$44,1,R_Scores!$C$5:$C$44,"Paper condition",R_Scores!F$5:F$44,"&lt;"&amp;R_Scores!F33)+0.5*COUNTIFS(R_Scores!$B$5:$B$44,1,R_Scores!$C$5:$C$44,"Paper condition",R_Scores!F$5:F$44,R_Scores!F33),"")</f>
        <v/>
      </c>
      <c r="BP33" s="1" t="str">
        <f aca="false">IF(AND(R_Scores!$B33=1,OR(R_Scores!$C33="Tool condition",R_Scores!$C33="Paper condition"),ISNUMBER(R_Scores!F33)),(COUNTIFS(R_Scores!$B$5:$B$44,1,R_Scores!$C$5:$C$44,"Tool condition",R_Scores!F$5:F$44,R_Scores!F33)+COUNTIFS(R_Scores!$B$5:$B$44,1,R_Scores!$C$5:$C$44,"Paper condition",R_Scores!F$5:F$44,R_Scores!F33))^2-1,"")</f>
        <v/>
      </c>
      <c r="BQ33" s="1" t="n">
        <f aca="false">IF(AND(R_Scores!$B33=2,R_Scores!$C33="Tool condition",ISNUMBER(R_Scores!F33)),COUNTIFS(R_Scores!$B$5:$B$44,2,R_Scores!$C$5:$C$44,"Paper condition",R_Scores!F$5:F$44,"&lt;"&amp;R_Scores!F33)+0.5*COUNTIFS(R_Scores!$B$5:$B$44,2,R_Scores!$C$5:$C$44,"Paper condition",R_Scores!F$5:F$44,R_Scores!F33),"")</f>
        <v>1.5</v>
      </c>
      <c r="BR33" s="1" t="n">
        <f aca="false">IF(AND(R_Scores!$B33=2,OR(R_Scores!$C33="Tool condition",R_Scores!$C33="Paper condition"),ISNUMBER(R_Scores!F33)),(COUNTIFS(R_Scores!$B$5:$B$44,2,R_Scores!$C$5:$C$44,"Tool condition",R_Scores!F$5:F$44,R_Scores!F33)+COUNTIFS(R_Scores!$B$5:$B$44,2,R_Scores!$C$5:$C$44,"Paper condition",R_Scores!F$5:F$44,R_Scores!F33))^2-1,"")</f>
        <v>35</v>
      </c>
      <c r="BS33" s="1" t="n">
        <f aca="false">IF(ISNUMBER(R_Scores!F33),R_Scores!F33^2,"")</f>
        <v>0</v>
      </c>
      <c r="BT33" s="1" t="str">
        <f aca="false">IF(AND(R_Scores!$B33=1,R_Scores!$C33="Tool condition",ISNUMBER(R_Scores!G33)),COUNTIFS(R_Scores!$B$5:$B$44,1,R_Scores!$C$5:$C$44,"Paper condition",R_Scores!G$5:G$44,"&lt;"&amp;R_Scores!G33)+0.5*COUNTIFS(R_Scores!$B$5:$B$44,1,R_Scores!$C$5:$C$44,"Paper condition",R_Scores!G$5:G$44,R_Scores!G33),"")</f>
        <v/>
      </c>
      <c r="BU33" s="1" t="str">
        <f aca="false">IF(AND(R_Scores!$B33=1,OR(R_Scores!$C33="Tool condition",R_Scores!$C33="Paper condition"),ISNUMBER(R_Scores!G33)),(COUNTIFS(R_Scores!$B$5:$B$44,1,R_Scores!$C$5:$C$44,"Tool condition",R_Scores!G$5:G$44,R_Scores!G33)+COUNTIFS(R_Scores!$B$5:$B$44,1,R_Scores!$C$5:$C$44,"Paper condition",R_Scores!G$5:G$44,R_Scores!G33))^2-1,"")</f>
        <v/>
      </c>
      <c r="BV33" s="1" t="str">
        <f aca="false">IF(AND(R_Scores!$B33=2,R_Scores!$C33="Tool condition",ISNUMBER(R_Scores!G33)),COUNTIFS(R_Scores!$B$5:$B$44,2,R_Scores!$C$5:$C$44,"Paper condition",R_Scores!G$5:G$44,"&lt;"&amp;R_Scores!G33)+0.5*COUNTIFS(R_Scores!$B$5:$B$44,2,R_Scores!$C$5:$C$44,"Paper condition",R_Scores!G$5:G$44,R_Scores!G33),"")</f>
        <v/>
      </c>
      <c r="BW33" s="1" t="str">
        <f aca="false">IF(AND(R_Scores!$B33=2,OR(R_Scores!$C33="Tool condition",R_Scores!$C33="Paper condition"),ISNUMBER(R_Scores!G33)),(COUNTIFS(R_Scores!$B$5:$B$44,2,R_Scores!$C$5:$C$44,"Tool condition",R_Scores!G$5:G$44,R_Scores!G33)+COUNTIFS(R_Scores!$B$5:$B$44,2,R_Scores!$C$5:$C$44,"Paper condition",R_Scores!G$5:G$44,R_Scores!G33))^2-1,"")</f>
        <v/>
      </c>
      <c r="BX33" s="1" t="str">
        <f aca="false">IF(ISNUMBER(R_Scores!G33),R_Scores!G33^2,"")</f>
        <v/>
      </c>
      <c r="BY33" s="1" t="str">
        <f aca="false">IF(AND(R_Scores!$B33=1,R_Scores!$C33="Tool condition",ISNUMBER(R_Scores!H33)),COUNTIFS(R_Scores!$B$5:$B$44,1,R_Scores!$C$5:$C$44,"Paper condition",R_Scores!H$5:H$44,"&lt;"&amp;R_Scores!H33)+0.5*COUNTIFS(R_Scores!$B$5:$B$44,1,R_Scores!$C$5:$C$44,"Paper condition",R_Scores!H$5:H$44,R_Scores!H33),"")</f>
        <v/>
      </c>
      <c r="BZ33" s="1" t="str">
        <f aca="false">IF(AND(R_Scores!$B33=1,OR(R_Scores!$C33="Tool condition",R_Scores!$C33="Paper condition"),ISNUMBER(R_Scores!H33)),(COUNTIFS(R_Scores!$B$5:$B$44,1,R_Scores!$C$5:$C$44,"Tool condition",R_Scores!H$5:H$44,R_Scores!H33)+COUNTIFS(R_Scores!$B$5:$B$44,1,R_Scores!$C$5:$C$44,"Paper condition",R_Scores!H$5:H$44,R_Scores!H33))^2-1,"")</f>
        <v/>
      </c>
      <c r="CA33" s="1" t="str">
        <f aca="false">IF(AND(R_Scores!$B33=2,R_Scores!$C33="Tool condition",ISNUMBER(R_Scores!H33)),COUNTIFS(R_Scores!$B$5:$B$44,2,R_Scores!$C$5:$C$44,"Paper condition",R_Scores!H$5:H$44,"&lt;"&amp;R_Scores!H33)+0.5*COUNTIFS(R_Scores!$B$5:$B$44,2,R_Scores!$C$5:$C$44,"Paper condition",R_Scores!H$5:H$44,R_Scores!H33),"")</f>
        <v/>
      </c>
      <c r="CB33" s="1" t="str">
        <f aca="false">IF(AND(R_Scores!$B33=2,OR(R_Scores!$C33="Tool condition",R_Scores!$C33="Paper condition"),ISNUMBER(R_Scores!H33)),(COUNTIFS(R_Scores!$B$5:$B$44,2,R_Scores!$C$5:$C$44,"Tool condition",R_Scores!H$5:H$44,R_Scores!H33)+COUNTIFS(R_Scores!$B$5:$B$44,2,R_Scores!$C$5:$C$44,"Paper condition",R_Scores!H$5:H$44,R_Scores!H33))^2-1,"")</f>
        <v/>
      </c>
      <c r="CC33" s="1" t="str">
        <f aca="false">IF(ISNUMBER(R_Scores!H33),R_Scores!H33^2,"")</f>
        <v/>
      </c>
      <c r="CD33" s="1" t="str">
        <f aca="false">IF(AND(R_Scores!$B33=1,R_Scores!$C33="Tool condition",ISNUMBER(R_Scores!I33)),COUNTIFS(R_Scores!$B$5:$B$44,1,R_Scores!$C$5:$C$44,"Paper condition",R_Scores!I$5:I$44,"&lt;"&amp;R_Scores!I33)+0.5*COUNTIFS(R_Scores!$B$5:$B$44,1,R_Scores!$C$5:$C$44,"Paper condition",R_Scores!I$5:I$44,R_Scores!I33),"")</f>
        <v/>
      </c>
      <c r="CE33" s="1" t="str">
        <f aca="false">IF(AND(R_Scores!$B33=1,OR(R_Scores!$C33="Tool condition",R_Scores!$C33="Paper condition"),ISNUMBER(R_Scores!I33)),(COUNTIFS(R_Scores!$B$5:$B$44,1,R_Scores!$C$5:$C$44,"Tool condition",R_Scores!I$5:I$44,R_Scores!I33)+COUNTIFS(R_Scores!$B$5:$B$44,1,R_Scores!$C$5:$C$44,"Paper condition",R_Scores!I$5:I$44,R_Scores!I33))^2-1,"")</f>
        <v/>
      </c>
      <c r="CF33" s="1" t="n">
        <f aca="false">IF(AND(R_Scores!$B33=2,R_Scores!$C33="Tool condition",ISNUMBER(R_Scores!I33)),COUNTIFS(R_Scores!$B$5:$B$44,2,R_Scores!$C$5:$C$44,"Paper condition",R_Scores!I$5:I$44,"&lt;"&amp;R_Scores!I33)+0.5*COUNTIFS(R_Scores!$B$5:$B$44,2,R_Scores!$C$5:$C$44,"Paper condition",R_Scores!I$5:I$44,R_Scores!I33),"")</f>
        <v>6</v>
      </c>
      <c r="CG33" s="1" t="n">
        <f aca="false">IF(AND(R_Scores!$B33=2,OR(R_Scores!$C33="Tool condition",R_Scores!$C33="Paper condition"),ISNUMBER(R_Scores!I33)),(COUNTIFS(R_Scores!$B$5:$B$44,2,R_Scores!$C$5:$C$44,"Tool condition",R_Scores!I$5:I$44,R_Scores!I33)+COUNTIFS(R_Scores!$B$5:$B$44,2,R_Scores!$C$5:$C$44,"Paper condition",R_Scores!I$5:I$44,R_Scores!I33))^2-1,"")</f>
        <v>255</v>
      </c>
      <c r="CH33" s="1" t="n">
        <f aca="false">IF(ISNUMBER(R_Scores!I33),R_Scores!I33^2,"")</f>
        <v>1</v>
      </c>
      <c r="CI33" s="1" t="str">
        <f aca="false">IF(AND(R_Scores!$B33=1,R_Scores!$C33="Tool condition",ISNUMBER(R_Scores!J33)),COUNTIFS(R_Scores!$B$5:$B$44,1,R_Scores!$C$5:$C$44,"Paper condition",R_Scores!J$5:J$44,"&lt;"&amp;R_Scores!J33)+0.5*COUNTIFS(R_Scores!$B$5:$B$44,1,R_Scores!$C$5:$C$44,"Paper condition",R_Scores!J$5:J$44,R_Scores!J33),"")</f>
        <v/>
      </c>
      <c r="CJ33" s="1" t="str">
        <f aca="false">IF(AND(R_Scores!$B33=1,OR(R_Scores!$C33="Tool condition",R_Scores!$C33="Paper condition"),ISNUMBER(R_Scores!J33)),(COUNTIFS(R_Scores!$B$5:$B$44,1,R_Scores!$C$5:$C$44,"Tool condition",R_Scores!J$5:J$44,R_Scores!J33)+COUNTIFS(R_Scores!$B$5:$B$44,1,R_Scores!$C$5:$C$44,"Paper condition",R_Scores!J$5:J$44,R_Scores!J33))^2-1,"")</f>
        <v/>
      </c>
      <c r="CK33" s="1" t="n">
        <f aca="false">IF(AND(R_Scores!$B33=2,R_Scores!$C33="Tool condition",ISNUMBER(R_Scores!J33)),COUNTIFS(R_Scores!$B$5:$B$44,2,R_Scores!$C$5:$C$44,"Paper condition",R_Scores!J$5:J$44,"&lt;"&amp;R_Scores!J33)+0.5*COUNTIFS(R_Scores!$B$5:$B$44,2,R_Scores!$C$5:$C$44,"Paper condition",R_Scores!J$5:J$44,R_Scores!J33),"")</f>
        <v>7</v>
      </c>
      <c r="CL33" s="1" t="n">
        <f aca="false">IF(AND(R_Scores!$B33=2,OR(R_Scores!$C33="Tool condition",R_Scores!$C33="Paper condition"),ISNUMBER(R_Scores!J33)),(COUNTIFS(R_Scores!$B$5:$B$44,2,R_Scores!$C$5:$C$44,"Tool condition",R_Scores!J$5:J$44,R_Scores!J33)+COUNTIFS(R_Scores!$B$5:$B$44,2,R_Scores!$C$5:$C$44,"Paper condition",R_Scores!J$5:J$44,R_Scores!J33))^2-1,"")</f>
        <v>195</v>
      </c>
      <c r="CM33" s="1" t="n">
        <f aca="false">IF(ISNUMBER(R_Scores!J33),R_Scores!J33^2,"")</f>
        <v>1</v>
      </c>
      <c r="CN33" s="1" t="str">
        <f aca="false">IF(AND(R_Scores!$B33=1,R_Scores!$C33="Tool condition",ISNUMBER(R_Scores!K33)),COUNTIFS(R_Scores!$B$5:$B$44,1,R_Scores!$C$5:$C$44,"Paper condition",R_Scores!K$5:K$44,"&lt;"&amp;R_Scores!K33)+0.5*COUNTIFS(R_Scores!$B$5:$B$44,1,R_Scores!$C$5:$C$44,"Paper condition",R_Scores!K$5:K$44,R_Scores!K33),"")</f>
        <v/>
      </c>
      <c r="CO33" s="1" t="str">
        <f aca="false">IF(AND(R_Scores!$B33=1,OR(R_Scores!$C33="Tool condition",R_Scores!$C33="Paper condition"),ISNUMBER(R_Scores!K33)),(COUNTIFS(R_Scores!$B$5:$B$44,1,R_Scores!$C$5:$C$44,"Tool condition",R_Scores!K$5:K$44,R_Scores!K33)+COUNTIFS(R_Scores!$B$5:$B$44,1,R_Scores!$C$5:$C$44,"Paper condition",R_Scores!K$5:K$44,R_Scores!K33))^2-1,"")</f>
        <v/>
      </c>
      <c r="CP33" s="1" t="str">
        <f aca="false">IF(AND(R_Scores!$B33=2,R_Scores!$C33="Tool condition",ISNUMBER(R_Scores!K33)),COUNTIFS(R_Scores!$B$5:$B$44,2,R_Scores!$C$5:$C$44,"Paper condition",R_Scores!K$5:K$44,"&lt;"&amp;R_Scores!K33)+0.5*COUNTIFS(R_Scores!$B$5:$B$44,2,R_Scores!$C$5:$C$44,"Paper condition",R_Scores!K$5:K$44,R_Scores!K33),"")</f>
        <v/>
      </c>
      <c r="CQ33" s="1" t="str">
        <f aca="false">IF(AND(R_Scores!$B33=2,OR(R_Scores!$C33="Tool condition",R_Scores!$C33="Paper condition"),ISNUMBER(R_Scores!K33)),(COUNTIFS(R_Scores!$B$5:$B$44,2,R_Scores!$C$5:$C$44,"Tool condition",R_Scores!K$5:K$44,R_Scores!K33)+COUNTIFS(R_Scores!$B$5:$B$44,2,R_Scores!$C$5:$C$44,"Paper condition",R_Scores!K$5:K$44,R_Scores!K33))^2-1,"")</f>
        <v/>
      </c>
      <c r="CR33" s="1" t="str">
        <f aca="false">IF(ISNUMBER(R_Scores!K33),R_Scores!K33^2,"")</f>
        <v/>
      </c>
      <c r="CS33" s="1" t="str">
        <f aca="false">IF(AND(R_Scores!$B33=1,R_Scores!$C33="Tool condition",ISNUMBER(R_Scores!L33)),COUNTIFS(R_Scores!$B$5:$B$44,1,R_Scores!$C$5:$C$44,"Paper condition",R_Scores!L$5:L$44,"&lt;"&amp;R_Scores!L33)+0.5*COUNTIFS(R_Scores!$B$5:$B$44,1,R_Scores!$C$5:$C$44,"Paper condition",R_Scores!L$5:L$44,R_Scores!L33),"")</f>
        <v/>
      </c>
      <c r="CT33" s="1" t="str">
        <f aca="false">IF(AND(R_Scores!$B33=1,OR(R_Scores!$C33="Tool condition",R_Scores!$C33="Paper condition"),ISNUMBER(R_Scores!L33)),(COUNTIFS(R_Scores!$B$5:$B$44,1,R_Scores!$C$5:$C$44,"Tool condition",R_Scores!L$5:L$44,R_Scores!L33)+COUNTIFS(R_Scores!$B$5:$B$44,1,R_Scores!$C$5:$C$44,"Paper condition",R_Scores!L$5:L$44,R_Scores!L33))^2-1,"")</f>
        <v/>
      </c>
      <c r="CU33" s="1" t="str">
        <f aca="false">IF(AND(R_Scores!$B33=2,R_Scores!$C33="Tool condition",ISNUMBER(R_Scores!L33)),COUNTIFS(R_Scores!$B$5:$B$44,2,R_Scores!$C$5:$C$44,"Paper condition",R_Scores!L$5:L$44,"&lt;"&amp;R_Scores!L33)+0.5*COUNTIFS(R_Scores!$B$5:$B$44,2,R_Scores!$C$5:$C$44,"Paper condition",R_Scores!L$5:L$44,R_Scores!L33),"")</f>
        <v/>
      </c>
      <c r="CV33" s="1" t="str">
        <f aca="false">IF(AND(R_Scores!$B33=2,OR(R_Scores!$C33="Tool condition",R_Scores!$C33="Paper condition"),ISNUMBER(R_Scores!L33)),(COUNTIFS(R_Scores!$B$5:$B$44,2,R_Scores!$C$5:$C$44,"Tool condition",R_Scores!L$5:L$44,R_Scores!L33)+COUNTIFS(R_Scores!$B$5:$B$44,2,R_Scores!$C$5:$C$44,"Paper condition",R_Scores!L$5:L$44,R_Scores!L33))^2-1,"")</f>
        <v/>
      </c>
      <c r="CW33" s="1" t="str">
        <f aca="false">IF(ISNUMBER(R_Scores!L33),R_Scores!L33^2,"")</f>
        <v/>
      </c>
      <c r="CX33" s="1" t="str">
        <f aca="false">IF(AND(R_Scores!$B33=1,R_Scores!$C33="Tool condition",ISNUMBER(R_Scores!M33)),COUNTIFS(R_Scores!$B$5:$B$44,1,R_Scores!$C$5:$C$44,"Paper condition",R_Scores!M$5:M$44,"&lt;"&amp;R_Scores!M33)+0.5*COUNTIFS(R_Scores!$B$5:$B$44,1,R_Scores!$C$5:$C$44,"Paper condition",R_Scores!M$5:M$44,R_Scores!M33),"")</f>
        <v/>
      </c>
      <c r="CY33" s="1" t="str">
        <f aca="false">IF(AND(R_Scores!$B33=1,OR(R_Scores!$C33="Tool condition",R_Scores!$C33="Paper condition"),ISNUMBER(R_Scores!M33)),(COUNTIFS(R_Scores!$B$5:$B$44,1,R_Scores!$C$5:$C$44,"Tool condition",R_Scores!M$5:M$44,R_Scores!M33)+COUNTIFS(R_Scores!$B$5:$B$44,1,R_Scores!$C$5:$C$44,"Paper condition",R_Scores!M$5:M$44,R_Scores!M33))^2-1,"")</f>
        <v/>
      </c>
      <c r="CZ33" s="1" t="str">
        <f aca="false">IF(AND(R_Scores!$B33=2,R_Scores!$C33="Tool condition",ISNUMBER(R_Scores!M33)),COUNTIFS(R_Scores!$B$5:$B$44,2,R_Scores!$C$5:$C$44,"Paper condition",R_Scores!M$5:M$44,"&lt;"&amp;R_Scores!M33)+0.5*COUNTIFS(R_Scores!$B$5:$B$44,2,R_Scores!$C$5:$C$44,"Paper condition",R_Scores!M$5:M$44,R_Scores!M33),"")</f>
        <v/>
      </c>
      <c r="DA33" s="1" t="str">
        <f aca="false">IF(AND(R_Scores!$B33=2,OR(R_Scores!$C33="Tool condition",R_Scores!$C33="Paper condition"),ISNUMBER(R_Scores!M33)),(COUNTIFS(R_Scores!$B$5:$B$44,2,R_Scores!$C$5:$C$44,"Tool condition",R_Scores!M$5:M$44,R_Scores!M33)+COUNTIFS(R_Scores!$B$5:$B$44,2,R_Scores!$C$5:$C$44,"Paper condition",R_Scores!M$5:M$44,R_Scores!M33))^2-1,"")</f>
        <v/>
      </c>
      <c r="DB33" s="1" t="str">
        <f aca="false">IF(ISNUMBER(R_Scores!M33),R_Scores!M33^2,"")</f>
        <v/>
      </c>
      <c r="DC33" s="1" t="str">
        <f aca="false">IF(AND(R_Scores!$B33=1,R_Scores!$C33="Tool condition",ISNUMBER(R_Scores!N33)),COUNTIFS(R_Scores!$B$5:$B$44,1,R_Scores!$C$5:$C$44,"Paper condition",R_Scores!N$5:N$44,"&lt;"&amp;R_Scores!N33)+0.5*COUNTIFS(R_Scores!$B$5:$B$44,1,R_Scores!$C$5:$C$44,"Paper condition",R_Scores!N$5:N$44,R_Scores!N33),"")</f>
        <v/>
      </c>
      <c r="DD33" s="1" t="str">
        <f aca="false">IF(AND(R_Scores!$B33=1,OR(R_Scores!$C33="Tool condition",R_Scores!$C33="Paper condition"),ISNUMBER(R_Scores!N33)),(COUNTIFS(R_Scores!$B$5:$B$44,1,R_Scores!$C$5:$C$44,"Tool condition",R_Scores!N$5:N$44,R_Scores!N33)+COUNTIFS(R_Scores!$B$5:$B$44,1,R_Scores!$C$5:$C$44,"Paper condition",R_Scores!N$5:N$44,R_Scores!N33))^2-1,"")</f>
        <v/>
      </c>
      <c r="DE33" s="1" t="n">
        <f aca="false">IF(AND(R_Scores!$B33=2,R_Scores!$C33="Tool condition",ISNUMBER(R_Scores!N33)),COUNTIFS(R_Scores!$B$5:$B$44,2,R_Scores!$C$5:$C$44,"Paper condition",R_Scores!N$5:N$44,"&lt;"&amp;R_Scores!N33)+0.5*COUNTIFS(R_Scores!$B$5:$B$44,2,R_Scores!$C$5:$C$44,"Paper condition",R_Scores!N$5:N$44,R_Scores!N33),"")</f>
        <v>3</v>
      </c>
      <c r="DF33" s="1" t="n">
        <f aca="false">IF(AND(R_Scores!$B33=2,OR(R_Scores!$C33="Tool condition",R_Scores!$C33="Paper condition"),ISNUMBER(R_Scores!N33)),(COUNTIFS(R_Scores!$B$5:$B$44,2,R_Scores!$C$5:$C$44,"Tool condition",R_Scores!N$5:N$44,R_Scores!N33)+COUNTIFS(R_Scores!$B$5:$B$44,2,R_Scores!$C$5:$C$44,"Paper condition",R_Scores!N$5:N$44,R_Scores!N33))^2-1,"")</f>
        <v>63</v>
      </c>
      <c r="DG33" s="1" t="n">
        <f aca="false">IF(ISNUMBER(R_Scores!N33),R_Scores!N33^2,"")</f>
        <v>0</v>
      </c>
      <c r="DH33" s="1" t="str">
        <f aca="false">IF(AND(R_Scores!$B33=1,R_Scores!$C33="Tool condition",ISNUMBER(R_Scores!O33)),COUNTIFS(R_Scores!$B$5:$B$44,1,R_Scores!$C$5:$C$44,"Paper condition",R_Scores!O$5:O$44,"&lt;"&amp;R_Scores!O33)+0.5*COUNTIFS(R_Scores!$B$5:$B$44,1,R_Scores!$C$5:$C$44,"Paper condition",R_Scores!O$5:O$44,R_Scores!O33),"")</f>
        <v/>
      </c>
      <c r="DI33" s="1" t="str">
        <f aca="false">IF(AND(R_Scores!$B33=1,OR(R_Scores!$C33="Tool condition",R_Scores!$C33="Paper condition"),ISNUMBER(R_Scores!O33)),(COUNTIFS(R_Scores!$B$5:$B$44,1,R_Scores!$C$5:$C$44,"Tool condition",R_Scores!O$5:O$44,R_Scores!O33)+COUNTIFS(R_Scores!$B$5:$B$44,1,R_Scores!$C$5:$C$44,"Paper condition",R_Scores!O$5:O$44,R_Scores!O33))^2-1,"")</f>
        <v/>
      </c>
      <c r="DJ33" s="1" t="n">
        <f aca="false">IF(AND(R_Scores!$B33=2,R_Scores!$C33="Tool condition",ISNUMBER(R_Scores!O33)),COUNTIFS(R_Scores!$B$5:$B$44,2,R_Scores!$C$5:$C$44,"Paper condition",R_Scores!O$5:O$44,"&lt;"&amp;R_Scores!O33)+0.5*COUNTIFS(R_Scores!$B$5:$B$44,2,R_Scores!$C$5:$C$44,"Paper condition",R_Scores!O$5:O$44,R_Scores!O33),"")</f>
        <v>7</v>
      </c>
      <c r="DK33" s="1" t="n">
        <f aca="false">IF(AND(R_Scores!$B33=2,OR(R_Scores!$C33="Tool condition",R_Scores!$C33="Paper condition"),ISNUMBER(R_Scores!O33)),(COUNTIFS(R_Scores!$B$5:$B$44,2,R_Scores!$C$5:$C$44,"Tool condition",R_Scores!O$5:O$44,R_Scores!O33)+COUNTIFS(R_Scores!$B$5:$B$44,2,R_Scores!$C$5:$C$44,"Paper condition",R_Scores!O$5:O$44,R_Scores!O33))^2-1,"")</f>
        <v>168</v>
      </c>
      <c r="DL33" s="1" t="n">
        <f aca="false">IF(ISNUMBER(R_Scores!O33),R_Scores!O33^2,"")</f>
        <v>1</v>
      </c>
      <c r="DM33" s="1" t="str">
        <f aca="false">IF(AND(R_Scores!$B33=1,R_Scores!$C33="Tool condition",ISNUMBER(R_Scores!P33)),COUNTIFS(R_Scores!$B$5:$B$44,1,R_Scores!$C$5:$C$44,"Paper condition",R_Scores!P$5:P$44,"&lt;"&amp;R_Scores!P33)+0.5*COUNTIFS(R_Scores!$B$5:$B$44,1,R_Scores!$C$5:$C$44,"Paper condition",R_Scores!P$5:P$44,R_Scores!P33),"")</f>
        <v/>
      </c>
      <c r="DN33" s="1" t="str">
        <f aca="false">IF(AND(R_Scores!$B33=1,OR(R_Scores!$C33="Tool condition",R_Scores!$C33="Paper condition"),ISNUMBER(R_Scores!P33)),(COUNTIFS(R_Scores!$B$5:$B$44,1,R_Scores!$C$5:$C$44,"Tool condition",R_Scores!P$5:P$44,R_Scores!P33)+COUNTIFS(R_Scores!$B$5:$B$44,1,R_Scores!$C$5:$C$44,"Paper condition",R_Scores!P$5:P$44,R_Scores!P33))^2-1,"")</f>
        <v/>
      </c>
      <c r="DO33" s="1" t="n">
        <f aca="false">IF(AND(R_Scores!$B33=2,R_Scores!$C33="Tool condition",ISNUMBER(R_Scores!P33)),COUNTIFS(R_Scores!$B$5:$B$44,2,R_Scores!$C$5:$C$44,"Paper condition",R_Scores!P$5:P$44,"&lt;"&amp;R_Scores!P33)+0.5*COUNTIFS(R_Scores!$B$5:$B$44,2,R_Scores!$C$5:$C$44,"Paper condition",R_Scores!P$5:P$44,R_Scores!P33),"")</f>
        <v>9.5</v>
      </c>
      <c r="DP33" s="1" t="n">
        <f aca="false">IF(AND(R_Scores!$B33=2,OR(R_Scores!$C33="Tool condition",R_Scores!$C33="Paper condition"),ISNUMBER(R_Scores!P33)),(COUNTIFS(R_Scores!$B$5:$B$44,2,R_Scores!$C$5:$C$44,"Tool condition",R_Scores!P$5:P$44,R_Scores!P33)+COUNTIFS(R_Scores!$B$5:$B$44,2,R_Scores!$C$5:$C$44,"Paper condition",R_Scores!P$5:P$44,R_Scores!P33))^2-1,"")</f>
        <v>48</v>
      </c>
      <c r="DQ33" s="1" t="n">
        <f aca="false">IF(ISNUMBER(R_Scores!P33),R_Scores!P33^2,"")</f>
        <v>1</v>
      </c>
      <c r="DR33" s="1" t="str">
        <f aca="false">IF(AND(Scores!$B33=1,Scores!$C33="Tool condition",ISNUMBER(Scores!Q33)),COUNTIFS(Scores!$B$5:$B$44,1,Scores!$C$5:$C$44,"Paper condition",Scores!Q$5:Q$44,"&lt;"&amp;Scores!Q33)+0.5*COUNTIFS(Scores!$B$5:$B$44,1,Scores!$C$5:$C$44,"Paper condition",Scores!Q$5:Q$44,Scores!Q33),"")</f>
        <v/>
      </c>
      <c r="DS33" s="1" t="str">
        <f aca="false">IF(AND(Scores!$B33=1,OR(Scores!$C33="Tool condition",Scores!$C33="Paper condition"),ISNUMBER(Scores!Q33)),(COUNTIFS(Scores!$B$5:$B$44,1,Scores!$C$5:$C$44,"Tool condition",Scores!Q$5:Q$44,Scores!Q33)+COUNTIFS(Scores!$B$5:$B$44,1,Scores!$C$5:$C$44,"Paper condition",Scores!Q$5:Q$44,Scores!Q33))^2-1,"")</f>
        <v/>
      </c>
      <c r="DT33" s="1" t="n">
        <f aca="false">IF(AND(Scores!$B33=2,Scores!$C33="Tool condition",ISNUMBER(Scores!Q33)),COUNTIFS(Scores!$B$5:$B$44,2,Scores!$C$5:$C$44,"Paper condition",Scores!Q$5:Q$44,"&lt;"&amp;Scores!Q33)+0.5*COUNTIFS(Scores!$B$5:$B$44,2,Scores!$C$5:$C$44,"Paper condition",Scores!Q$5:Q$44,Scores!Q33),"")</f>
        <v>7</v>
      </c>
      <c r="DU33" s="1" t="n">
        <f aca="false">IF(AND(Scores!$B33=2,OR(Scores!$C33="Tool condition",Scores!$C33="Paper condition"),ISNUMBER(Scores!Q33)),(COUNTIFS(Scores!$B$5:$B$44,2,Scores!$C$5:$C$44,"Tool condition",Scores!Q$5:Q$44,Scores!Q33)+COUNTIFS(Scores!$B$5:$B$44,2,Scores!$C$5:$C$44,"Paper condition",Scores!Q$5:Q$44,Scores!Q33))^2-1,"")</f>
        <v>8</v>
      </c>
      <c r="DV33" s="1" t="n">
        <f aca="false">IF(ISNUMBER(Scores!Q33),Scores!Q33^2,"")</f>
        <v>256</v>
      </c>
      <c r="DW33" s="1" t="str">
        <f aca="false">IF(AND(Scores!$B33=1,Scores!$C33="Tool condition",ISNUMBER(Scores!R33)),COUNTIFS(Scores!$B$5:$B$44,1,Scores!$C$5:$C$44,"Paper condition",Scores!R$5:R$44,"&lt;"&amp;Scores!R33)+0.5*COUNTIFS(Scores!$B$5:$B$44,1,Scores!$C$5:$C$44,"Paper condition",Scores!R$5:R$44,Scores!R33),"")</f>
        <v/>
      </c>
      <c r="DX33" s="1" t="str">
        <f aca="false">IF(AND(Scores!$B33=1,OR(Scores!$C33="Tool condition",Scores!$C33="Paper condition"),ISNUMBER(Scores!R33)),(COUNTIFS(Scores!$B$5:$B$44,1,Scores!$C$5:$C$44,"Tool condition",Scores!R$5:R$44,Scores!R33)+COUNTIFS(Scores!$B$5:$B$44,1,Scores!$C$5:$C$44,"Paper condition",Scores!R$5:R$44,Scores!R33))^2-1,"")</f>
        <v/>
      </c>
      <c r="DY33" s="1" t="n">
        <f aca="false">IF(AND(Scores!$B33=2,Scores!$C33="Tool condition",ISNUMBER(Scores!R33)),COUNTIFS(Scores!$B$5:$B$44,2,Scores!$C$5:$C$44,"Paper condition",Scores!R$5:R$44,"&lt;"&amp;Scores!R33)+0.5*COUNTIFS(Scores!$B$5:$B$44,2,Scores!$C$5:$C$44,"Paper condition",Scores!R$5:R$44,Scores!R33),"")</f>
        <v>8.5</v>
      </c>
      <c r="DZ33" s="1" t="n">
        <f aca="false">IF(AND(Scores!$B33=2,OR(Scores!$C33="Tool condition",Scores!$C33="Paper condition"),ISNUMBER(Scores!R33)),(COUNTIFS(Scores!$B$5:$B$44,2,Scores!$C$5:$C$44,"Tool condition",Scores!R$5:R$44,Scores!R33)+COUNTIFS(Scores!$B$5:$B$44,2,Scores!$C$5:$C$44,"Paper condition",Scores!R$5:R$44,Scores!R33))^2-1,"")</f>
        <v>80</v>
      </c>
      <c r="EA33" s="1" t="n">
        <f aca="false">IF(ISNUMBER(Scores!R33),Scores!R33^2,"")</f>
        <v>100</v>
      </c>
      <c r="EB33" s="1" t="str">
        <f aca="false">IF(AND(Scores!$B33=1,Scores!$C33="Tool condition",ISNUMBER(Scores!S33)),COUNTIFS(Scores!$B$5:$B$44,1,Scores!$C$5:$C$44,"Paper condition",Scores!S$5:S$44,"&lt;"&amp;Scores!S33)+0.5*COUNTIFS(Scores!$B$5:$B$44,1,Scores!$C$5:$C$44,"Paper condition",Scores!S$5:S$44,Scores!S33),"")</f>
        <v/>
      </c>
      <c r="EC33" s="1" t="str">
        <f aca="false">IF(AND(Scores!$B33=1,OR(Scores!$C33="Tool condition",Scores!$C33="Paper condition"),ISNUMBER(Scores!S33)),(COUNTIFS(Scores!$B$5:$B$44,1,Scores!$C$5:$C$44,"Tool condition",Scores!S$5:S$44,Scores!S33)+COUNTIFS(Scores!$B$5:$B$44,1,Scores!$C$5:$C$44,"Paper condition",Scores!S$5:S$44,Scores!S33))^2-1,"")</f>
        <v/>
      </c>
      <c r="ED33" s="1" t="n">
        <f aca="false">IF(AND(Scores!$B33=2,Scores!$C33="Tool condition",ISNUMBER(Scores!S33)),COUNTIFS(Scores!$B$5:$B$44,2,Scores!$C$5:$C$44,"Paper condition",Scores!S$5:S$44,"&lt;"&amp;Scores!S33)+0.5*COUNTIFS(Scores!$B$5:$B$44,2,Scores!$C$5:$C$44,"Paper condition",Scores!S$5:S$44,Scores!S33),"")</f>
        <v>3</v>
      </c>
      <c r="EE33" s="1" t="n">
        <f aca="false">IF(AND(Scores!$B33=2,OR(Scores!$C33="Tool condition",Scores!$C33="Paper condition"),ISNUMBER(Scores!S33)),(COUNTIFS(Scores!$B$5:$B$44,2,Scores!$C$5:$C$44,"Tool condition",Scores!S$5:S$44,Scores!S33)+COUNTIFS(Scores!$B$5:$B$44,2,Scores!$C$5:$C$44,"Paper condition",Scores!S$5:S$44,Scores!S33))^2-1,"")</f>
        <v>24</v>
      </c>
      <c r="EF33" s="1" t="n">
        <f aca="false">IF(ISNUMBER(Scores!S33),Scores!S33^2,"")</f>
        <v>36</v>
      </c>
      <c r="EG33" s="1" t="str">
        <f aca="false">IF(AND(Scores!$B33=1,Scores!$C33="Tool condition",ISNUMBER(Scores!T33)),COUNTIFS(Scores!$B$5:$B$44,1,Scores!$C$5:$C$44,"Paper condition",Scores!T$5:T$44,"&lt;"&amp;Scores!T33)+0.5*COUNTIFS(Scores!$B$5:$B$44,1,Scores!$C$5:$C$44,"Paper condition",Scores!T$5:T$44,Scores!T33),"")</f>
        <v/>
      </c>
      <c r="EH33" s="1" t="str">
        <f aca="false">IF(AND(Scores!$B33=1,OR(Scores!$C33="Tool condition",Scores!$C33="Paper condition"),ISNUMBER(Scores!T33)),(COUNTIFS(Scores!$B$5:$B$44,1,Scores!$C$5:$C$44,"Tool condition",Scores!T$5:T$44,Scores!T33)+COUNTIFS(Scores!$B$5:$B$44,1,Scores!$C$5:$C$44,"Paper condition",Scores!T$5:T$44,Scores!T33))^2-1,"")</f>
        <v/>
      </c>
      <c r="EI33" s="1" t="n">
        <f aca="false">IF(AND(Scores!$B33=2,Scores!$C33="Tool condition",ISNUMBER(Scores!T33)),COUNTIFS(Scores!$B$5:$B$44,2,Scores!$C$5:$C$44,"Paper condition",Scores!T$5:T$44,"&lt;"&amp;Scores!T33)+0.5*COUNTIFS(Scores!$B$5:$B$44,2,Scores!$C$5:$C$44,"Paper condition",Scores!T$5:T$44,Scores!T33),"")</f>
        <v>9</v>
      </c>
      <c r="EJ33" s="1" t="n">
        <f aca="false">IF(AND(Scores!$B33=2,OR(Scores!$C33="Tool condition",Scores!$C33="Paper condition"),ISNUMBER(Scores!T33)),(COUNTIFS(Scores!$B$5:$B$44,2,Scores!$C$5:$C$44,"Tool condition",Scores!T$5:T$44,Scores!T33)+COUNTIFS(Scores!$B$5:$B$44,2,Scores!$C$5:$C$44,"Paper condition",Scores!T$5:T$44,Scores!T33))^2-1,"")</f>
        <v>15</v>
      </c>
      <c r="EK33" s="1" t="n">
        <f aca="false">IF(ISNUMBER(Scores!T33),Scores!T33^2,"")</f>
        <v>49</v>
      </c>
      <c r="EL33" s="1" t="str">
        <f aca="false">IF(AND(Scores!$B33=1,Scores!$C33="Tool condition",ISNUMBER(Scores!U33)),COUNTIFS(Scores!$B$5:$B$44,1,Scores!$C$5:$C$44,"Paper condition",Scores!U$5:U$44,"&lt;"&amp;Scores!U33)+0.5*COUNTIFS(Scores!$B$5:$B$44,1,Scores!$C$5:$C$44,"Paper condition",Scores!U$5:U$44,Scores!U33),"")</f>
        <v/>
      </c>
      <c r="EM33" s="1" t="str">
        <f aca="false">IF(AND(Scores!$B33=1,OR(Scores!$C33="Tool condition",Scores!$C33="Paper condition"),ISNUMBER(Scores!U33)),(COUNTIFS(Scores!$B$5:$B$44,1,Scores!$C$5:$C$44,"Tool condition",Scores!U$5:U$44,Scores!U33)+COUNTIFS(Scores!$B$5:$B$44,1,Scores!$C$5:$C$44,"Paper condition",Scores!U$5:U$44,Scores!U33))^2-1,"")</f>
        <v/>
      </c>
      <c r="EN33" s="1" t="n">
        <f aca="false">IF(AND(Scores!$B33=2,Scores!$C33="Tool condition",ISNUMBER(Scores!U33)),COUNTIFS(Scores!$B$5:$B$44,2,Scores!$C$5:$C$44,"Paper condition",Scores!U$5:U$44,"&lt;"&amp;Scores!U33)+0.5*COUNTIFS(Scores!$B$5:$B$44,2,Scores!$C$5:$C$44,"Paper condition",Scores!U$5:U$44,Scores!U33),"")</f>
        <v>10</v>
      </c>
      <c r="EO33" s="1" t="n">
        <f aca="false">IF(AND(Scores!$B33=2,OR(Scores!$C33="Tool condition",Scores!$C33="Paper condition"),ISNUMBER(Scores!U33)),(COUNTIFS(Scores!$B$5:$B$44,2,Scores!$C$5:$C$44,"Tool condition",Scores!U$5:U$44,Scores!U33)+COUNTIFS(Scores!$B$5:$B$44,2,Scores!$C$5:$C$44,"Paper condition",Scores!U$5:U$44,Scores!U33))^2-1,"")</f>
        <v>3</v>
      </c>
      <c r="EP33" s="1" t="n">
        <f aca="false">IF(ISNUMBER(Scores!U33),Scores!U33^2,"")</f>
        <v>36</v>
      </c>
      <c r="EQ33" s="1" t="str">
        <f aca="false">IF(AND(Scores!$B33=1,Scores!$C33="Tool condition",ISNUMBER(Scores!V33)),COUNTIFS(Scores!$B$5:$B$44,1,Scores!$C$5:$C$44,"Paper condition",Scores!V$5:V$44,"&lt;"&amp;Scores!V33)+0.5*COUNTIFS(Scores!$B$5:$B$44,1,Scores!$C$5:$C$44,"Paper condition",Scores!V$5:V$44,Scores!V33),"")</f>
        <v/>
      </c>
      <c r="ER33" s="1" t="str">
        <f aca="false">IF(AND(Scores!$B33=1,OR(Scores!$C33="Tool condition",Scores!$C33="Paper condition"),ISNUMBER(Scores!V33)),(COUNTIFS(Scores!$B$5:$B$44,1,Scores!$C$5:$C$44,"Tool condition",Scores!V$5:V$44,Scores!V33)+COUNTIFS(Scores!$B$5:$B$44,1,Scores!$C$5:$C$44,"Paper condition",Scores!V$5:V$44,Scores!V33))^2-1,"")</f>
        <v/>
      </c>
      <c r="ES33" s="1" t="n">
        <f aca="false">IF(AND(Scores!$B33=2,Scores!$C33="Tool condition",ISNUMBER(Scores!V33)),COUNTIFS(Scores!$B$5:$B$44,2,Scores!$C$5:$C$44,"Paper condition",Scores!V$5:V$44,"&lt;"&amp;Scores!V33)+0.5*COUNTIFS(Scores!$B$5:$B$44,2,Scores!$C$5:$C$44,"Paper condition",Scores!V$5:V$44,Scores!V33),"")</f>
        <v>0.5</v>
      </c>
      <c r="ET33" s="1" t="n">
        <f aca="false">IF(AND(Scores!$B33=2,OR(Scores!$C33="Tool condition",Scores!$C33="Paper condition"),ISNUMBER(Scores!V33)),(COUNTIFS(Scores!$B$5:$B$44,2,Scores!$C$5:$C$44,"Tool condition",Scores!V$5:V$44,Scores!V33)+COUNTIFS(Scores!$B$5:$B$44,2,Scores!$C$5:$C$44,"Paper condition",Scores!V$5:V$44,Scores!V33))^2-1,"")</f>
        <v>3</v>
      </c>
      <c r="EU33" s="1" t="n">
        <f aca="false">IF(ISNUMBER(Scores!V33),Scores!V33^2,"")</f>
        <v>9</v>
      </c>
      <c r="EV33" s="1" t="str">
        <f aca="false">IF(AND(R_Scores!$B33=1,R_Scores!$C33="Tool condition",ISNUMBER(R_Scores!Q33)),COUNTIFS(R_Scores!$B$5:$B$44,1,R_Scores!$C$5:$C$44,"Paper condition",R_Scores!Q$5:Q$44,"&lt;"&amp;R_Scores!Q33)+0.5*COUNTIFS(R_Scores!$B$5:$B$44,1,R_Scores!$C$5:$C$44,"Paper condition",R_Scores!Q$5:Q$44,R_Scores!Q33),"")</f>
        <v/>
      </c>
      <c r="EW33" s="1" t="str">
        <f aca="false">IF(AND(R_Scores!$B33=1,OR(R_Scores!$C33="Tool condition",R_Scores!$C33="Paper condition"),ISNUMBER(R_Scores!Q33)),(COUNTIFS(R_Scores!$B$5:$B$44,1,R_Scores!$C$5:$C$44,"Tool condition",R_Scores!Q$5:Q$44,R_Scores!Q33)+COUNTIFS(R_Scores!$B$5:$B$44,1,R_Scores!$C$5:$C$44,"Paper condition",R_Scores!Q$5:Q$44,R_Scores!Q33))^2-1,"")</f>
        <v/>
      </c>
      <c r="EX33" s="1" t="n">
        <f aca="false">IF(AND(R_Scores!$B33=2,R_Scores!$C33="Tool condition",ISNUMBER(R_Scores!Q33)),COUNTIFS(R_Scores!$B$5:$B$44,2,R_Scores!$C$5:$C$44,"Paper condition",R_Scores!Q$5:Q$44,"&lt;"&amp;R_Scores!Q33)+0.5*COUNTIFS(R_Scores!$B$5:$B$44,2,R_Scores!$C$5:$C$44,"Paper condition",R_Scores!Q$5:Q$44,R_Scores!Q33),"")</f>
        <v>8.5</v>
      </c>
      <c r="EY33" s="1" t="n">
        <f aca="false">IF(AND(R_Scores!$B33=2,OR(R_Scores!$C33="Tool condition",R_Scores!$C33="Paper condition"),ISNUMBER(R_Scores!Q33)),(COUNTIFS(R_Scores!$B$5:$B$44,2,R_Scores!$C$5:$C$44,"Tool condition",R_Scores!Q$5:Q$44,R_Scores!Q33)+COUNTIFS(R_Scores!$B$5:$B$44,2,R_Scores!$C$5:$C$44,"Paper condition",R_Scores!Q$5:Q$44,R_Scores!Q33))^2-1,"")</f>
        <v>143</v>
      </c>
      <c r="EZ33" s="1" t="n">
        <f aca="false">IF(ISNUMBER(R_Scores!Q33),R_Scores!Q33^2,"")</f>
        <v>25</v>
      </c>
      <c r="FA33" s="1" t="str">
        <f aca="false">IF(AND(R_Scores!$B33=1,R_Scores!$C33="Tool condition",ISNUMBER(R_Scores!R33)),COUNTIFS(R_Scores!$B$5:$B$44,1,R_Scores!$C$5:$C$44,"Paper condition",R_Scores!R$5:R$44,"&lt;"&amp;R_Scores!R33)+0.5*COUNTIFS(R_Scores!$B$5:$B$44,1,R_Scores!$C$5:$C$44,"Paper condition",R_Scores!R$5:R$44,R_Scores!R33),"")</f>
        <v/>
      </c>
      <c r="FB33" s="1" t="str">
        <f aca="false">IF(AND(R_Scores!$B33=1,OR(R_Scores!$C33="Tool condition",R_Scores!$C33="Paper condition"),ISNUMBER(R_Scores!R33)),(COUNTIFS(R_Scores!$B$5:$B$44,1,R_Scores!$C$5:$C$44,"Tool condition",R_Scores!R$5:R$44,R_Scores!R33)+COUNTIFS(R_Scores!$B$5:$B$44,1,R_Scores!$C$5:$C$44,"Paper condition",R_Scores!R$5:R$44,R_Scores!R33))^2-1,"")</f>
        <v/>
      </c>
      <c r="FC33" s="1" t="n">
        <f aca="false">IF(AND(R_Scores!$B33=2,R_Scores!$C33="Tool condition",ISNUMBER(R_Scores!R33)),COUNTIFS(R_Scores!$B$5:$B$44,2,R_Scores!$C$5:$C$44,"Paper condition",R_Scores!R$5:R$44,"&lt;"&amp;R_Scores!R33)+0.5*COUNTIFS(R_Scores!$B$5:$B$44,2,R_Scores!$C$5:$C$44,"Paper condition",R_Scores!R$5:R$44,R_Scores!R33),"")</f>
        <v>7.5</v>
      </c>
      <c r="FD33" s="1" t="n">
        <f aca="false">IF(AND(R_Scores!$B33=2,OR(R_Scores!$C33="Tool condition",R_Scores!$C33="Paper condition"),ISNUMBER(R_Scores!R33)),(COUNTIFS(R_Scores!$B$5:$B$44,2,R_Scores!$C$5:$C$44,"Tool condition",R_Scores!R$5:R$44,R_Scores!R33)+COUNTIFS(R_Scores!$B$5:$B$44,2,R_Scores!$C$5:$C$44,"Paper condition",R_Scores!R$5:R$44,R_Scores!R33))^2-1,"")</f>
        <v>3</v>
      </c>
      <c r="FE33" s="1" t="n">
        <f aca="false">IF(ISNUMBER(R_Scores!R33),R_Scores!R33^2,"")</f>
        <v>441</v>
      </c>
    </row>
    <row r="34" customFormat="false" ht="14.25" hidden="false" customHeight="true" outlineLevel="0" collapsed="false">
      <c r="B34" s="1" t="str">
        <f aca="false">IF(AND(Scores!$B34=1,Scores!$C34="Tool condition",ISNUMBER(Scores!E34)),COUNTIFS(Scores!$B$5:$B$44,1,Scores!$C$5:$C$44,"Paper condition",Scores!E$5:E$44,"&lt;"&amp;Scores!E34)+0.5*COUNTIFS(Scores!$B$5:$B$44,1,Scores!$C$5:$C$44,"Paper condition",Scores!E$5:E$44,Scores!E34),"")</f>
        <v/>
      </c>
      <c r="C34" s="1" t="str">
        <f aca="false">IF(AND(Scores!$B34=1,OR(Scores!$C34="Tool condition",Scores!$C34="Paper condition"),ISNUMBER(Scores!E34)),(COUNTIFS(Scores!$B$5:$B$44,1,Scores!$C$5:$C$44,"Tool condition",Scores!E$5:E$44,Scores!E34)+COUNTIFS(Scores!$B$5:$B$44,1,Scores!$C$5:$C$44,"Paper condition",Scores!E$5:E$44,Scores!E34))^2-1,"")</f>
        <v/>
      </c>
      <c r="D34" s="1" t="n">
        <f aca="false">IF(AND(Scores!$B34=2,Scores!$C34="Tool condition",ISNUMBER(Scores!E34)),COUNTIFS(Scores!$B$5:$B$44,2,Scores!$C$5:$C$44,"Paper condition",Scores!E$5:E$44,"&lt;"&amp;Scores!E34)+0.5*COUNTIFS(Scores!$B$5:$B$44,2,Scores!$C$5:$C$44,"Paper condition",Scores!E$5:E$44,Scores!E34),"")</f>
        <v>2.5</v>
      </c>
      <c r="E34" s="1" t="n">
        <f aca="false">IF(AND(Scores!$B34=2,OR(Scores!$C34="Tool condition",Scores!$C34="Paper condition"),ISNUMBER(Scores!E34)),(COUNTIFS(Scores!$B$5:$B$44,2,Scores!$C$5:$C$44,"Tool condition",Scores!E$5:E$44,Scores!E34)+COUNTIFS(Scores!$B$5:$B$44,2,Scores!$C$5:$C$44,"Paper condition",Scores!E$5:E$44,Scores!E34))^2-1,"")</f>
        <v>63</v>
      </c>
      <c r="F34" s="1" t="n">
        <f aca="false">IF(ISNUMBER(Scores!E34),Scores!E34^2,"")</f>
        <v>1</v>
      </c>
      <c r="G34" s="1" t="str">
        <f aca="false">IF(AND(Scores!$B34=1,Scores!$C34="Tool condition",ISNUMBER(Scores!F34)),COUNTIFS(Scores!$B$5:$B$44,1,Scores!$C$5:$C$44,"Paper condition",Scores!F$5:F$44,"&lt;"&amp;Scores!F34)+0.5*COUNTIFS(Scores!$B$5:$B$44,1,Scores!$C$5:$C$44,"Paper condition",Scores!F$5:F$44,Scores!F34),"")</f>
        <v/>
      </c>
      <c r="H34" s="1" t="str">
        <f aca="false">IF(AND(Scores!$B34=1,OR(Scores!$C34="Tool condition",Scores!$C34="Paper condition"),ISNUMBER(Scores!F34)),(COUNTIFS(Scores!$B$5:$B$44,1,Scores!$C$5:$C$44,"Tool condition",Scores!F$5:F$44,Scores!F34)+COUNTIFS(Scores!$B$5:$B$44,1,Scores!$C$5:$C$44,"Paper condition",Scores!F$5:F$44,Scores!F34))^2-1,"")</f>
        <v/>
      </c>
      <c r="I34" s="1" t="n">
        <f aca="false">IF(AND(Scores!$B34=2,Scores!$C34="Tool condition",ISNUMBER(Scores!F34)),COUNTIFS(Scores!$B$5:$B$44,2,Scores!$C$5:$C$44,"Paper condition",Scores!F$5:F$44,"&lt;"&amp;Scores!F34)+0.5*COUNTIFS(Scores!$B$5:$B$44,2,Scores!$C$5:$C$44,"Paper condition",Scores!F$5:F$44,Scores!F34),"")</f>
        <v>8</v>
      </c>
      <c r="J34" s="1" t="n">
        <f aca="false">IF(AND(Scores!$B34=2,OR(Scores!$C34="Tool condition",Scores!$C34="Paper condition"),ISNUMBER(Scores!F34)),(COUNTIFS(Scores!$B$5:$B$44,2,Scores!$C$5:$C$44,"Tool condition",Scores!F$5:F$44,Scores!F34)+COUNTIFS(Scores!$B$5:$B$44,2,Scores!$C$5:$C$44,"Paper condition",Scores!F$5:F$44,Scores!F34))^2-1,"")</f>
        <v>120</v>
      </c>
      <c r="K34" s="1" t="n">
        <f aca="false">IF(ISNUMBER(Scores!F34),Scores!F34^2,"")</f>
        <v>4</v>
      </c>
      <c r="L34" s="1" t="str">
        <f aca="false">IF(AND(Scores!$B34=1,Scores!$C34="Tool condition",ISNUMBER(Scores!G34)),COUNTIFS(Scores!$B$5:$B$44,1,Scores!$C$5:$C$44,"Paper condition",Scores!G$5:G$44,"&lt;"&amp;Scores!G34)+0.5*COUNTIFS(Scores!$B$5:$B$44,1,Scores!$C$5:$C$44,"Paper condition",Scores!G$5:G$44,Scores!G34),"")</f>
        <v/>
      </c>
      <c r="M34" s="1" t="str">
        <f aca="false">IF(AND(Scores!$B34=1,OR(Scores!$C34="Tool condition",Scores!$C34="Paper condition"),ISNUMBER(Scores!G34)),(COUNTIFS(Scores!$B$5:$B$44,1,Scores!$C$5:$C$44,"Tool condition",Scores!G$5:G$44,Scores!G34)+COUNTIFS(Scores!$B$5:$B$44,1,Scores!$C$5:$C$44,"Paper condition",Scores!G$5:G$44,Scores!G34))^2-1,"")</f>
        <v/>
      </c>
      <c r="N34" s="1" t="n">
        <f aca="false">IF(AND(Scores!$B34=2,Scores!$C34="Tool condition",ISNUMBER(Scores!G34)),COUNTIFS(Scores!$B$5:$B$44,2,Scores!$C$5:$C$44,"Paper condition",Scores!G$5:G$44,"&lt;"&amp;Scores!G34)+0.5*COUNTIFS(Scores!$B$5:$B$44,2,Scores!$C$5:$C$44,"Paper condition",Scores!G$5:G$44,Scores!G34),"")</f>
        <v>7</v>
      </c>
      <c r="O34" s="1" t="n">
        <f aca="false">IF(AND(Scores!$B34=2,OR(Scores!$C34="Tool condition",Scores!$C34="Paper condition"),ISNUMBER(Scores!G34)),(COUNTIFS(Scores!$B$5:$B$44,2,Scores!$C$5:$C$44,"Tool condition",Scores!G$5:G$44,Scores!G34)+COUNTIFS(Scores!$B$5:$B$44,2,Scores!$C$5:$C$44,"Paper condition",Scores!G$5:G$44,Scores!G34))^2-1,"")</f>
        <v>195</v>
      </c>
      <c r="P34" s="1" t="n">
        <f aca="false">IF(ISNUMBER(Scores!G34),Scores!G34^2,"")</f>
        <v>4</v>
      </c>
      <c r="Q34" s="1" t="str">
        <f aca="false">IF(AND(Scores!$B34=1,Scores!$C34="Tool condition",ISNUMBER(Scores!H34)),COUNTIFS(Scores!$B$5:$B$44,1,Scores!$C$5:$C$44,"Paper condition",Scores!H$5:H$44,"&lt;"&amp;Scores!H34)+0.5*COUNTIFS(Scores!$B$5:$B$44,1,Scores!$C$5:$C$44,"Paper condition",Scores!H$5:H$44,Scores!H34),"")</f>
        <v/>
      </c>
      <c r="R34" s="1" t="str">
        <f aca="false">IF(AND(Scores!$B34=1,OR(Scores!$C34="Tool condition",Scores!$C34="Paper condition"),ISNUMBER(Scores!H34)),(COUNTIFS(Scores!$B$5:$B$44,1,Scores!$C$5:$C$44,"Tool condition",Scores!H$5:H$44,Scores!H34)+COUNTIFS(Scores!$B$5:$B$44,1,Scores!$C$5:$C$44,"Paper condition",Scores!H$5:H$44,Scores!H34))^2-1,"")</f>
        <v/>
      </c>
      <c r="S34" s="1" t="n">
        <f aca="false">IF(AND(Scores!$B34=2,Scores!$C34="Tool condition",ISNUMBER(Scores!H34)),COUNTIFS(Scores!$B$5:$B$44,2,Scores!$C$5:$C$44,"Paper condition",Scores!H$5:H$44,"&lt;"&amp;Scores!H34)+0.5*COUNTIFS(Scores!$B$5:$B$44,2,Scores!$C$5:$C$44,"Paper condition",Scores!H$5:H$44,Scores!H34),"")</f>
        <v>3</v>
      </c>
      <c r="T34" s="1" t="n">
        <f aca="false">IF(AND(Scores!$B34=2,OR(Scores!$C34="Tool condition",Scores!$C34="Paper condition"),ISNUMBER(Scores!H34)),(COUNTIFS(Scores!$B$5:$B$44,2,Scores!$C$5:$C$44,"Tool condition",Scores!H$5:H$44,Scores!H34)+COUNTIFS(Scores!$B$5:$B$44,2,Scores!$C$5:$C$44,"Paper condition",Scores!H$5:H$44,Scores!H34))^2-1,"")</f>
        <v>99</v>
      </c>
      <c r="U34" s="1" t="n">
        <f aca="false">IF(ISNUMBER(Scores!H34),Scores!H34^2,"")</f>
        <v>1</v>
      </c>
      <c r="V34" s="1" t="str">
        <f aca="false">IF(AND(Scores!$B34=1,Scores!$C34="Tool condition",ISNUMBER(Scores!I34)),COUNTIFS(Scores!$B$5:$B$44,1,Scores!$C$5:$C$44,"Paper condition",Scores!I$5:I$44,"&lt;"&amp;Scores!I34)+0.5*COUNTIFS(Scores!$B$5:$B$44,1,Scores!$C$5:$C$44,"Paper condition",Scores!I$5:I$44,Scores!I34),"")</f>
        <v/>
      </c>
      <c r="W34" s="1" t="str">
        <f aca="false">IF(AND(Scores!$B34=1,OR(Scores!$C34="Tool condition",Scores!$C34="Paper condition"),ISNUMBER(Scores!I34)),(COUNTIFS(Scores!$B$5:$B$44,1,Scores!$C$5:$C$44,"Tool condition",Scores!I$5:I$44,Scores!I34)+COUNTIFS(Scores!$B$5:$B$44,1,Scores!$C$5:$C$44,"Paper condition",Scores!I$5:I$44,Scores!I34))^2-1,"")</f>
        <v/>
      </c>
      <c r="X34" s="1" t="n">
        <f aca="false">IF(AND(Scores!$B34=2,Scores!$C34="Tool condition",ISNUMBER(Scores!I34)),COUNTIFS(Scores!$B$5:$B$44,2,Scores!$C$5:$C$44,"Paper condition",Scores!I$5:I$44,"&lt;"&amp;Scores!I34)+0.5*COUNTIFS(Scores!$B$5:$B$44,2,Scores!$C$5:$C$44,"Paper condition",Scores!I$5:I$44,Scores!I34),"")</f>
        <v>8.5</v>
      </c>
      <c r="Y34" s="1" t="n">
        <f aca="false">IF(AND(Scores!$B34=2,OR(Scores!$C34="Tool condition",Scores!$C34="Paper condition"),ISNUMBER(Scores!I34)),(COUNTIFS(Scores!$B$5:$B$44,2,Scores!$C$5:$C$44,"Tool condition",Scores!I$5:I$44,Scores!I34)+COUNTIFS(Scores!$B$5:$B$44,2,Scores!$C$5:$C$44,"Paper condition",Scores!I$5:I$44,Scores!I34))^2-1,"")</f>
        <v>99</v>
      </c>
      <c r="Z34" s="1" t="n">
        <f aca="false">IF(ISNUMBER(Scores!I34),Scores!I34^2,"")</f>
        <v>4</v>
      </c>
      <c r="AA34" s="1" t="str">
        <f aca="false">IF(AND(Scores!$B34=1,Scores!$C34="Tool condition",ISNUMBER(Scores!J34)),COUNTIFS(Scores!$B$5:$B$44,1,Scores!$C$5:$C$44,"Paper condition",Scores!J$5:J$44,"&lt;"&amp;Scores!J34)+0.5*COUNTIFS(Scores!$B$5:$B$44,1,Scores!$C$5:$C$44,"Paper condition",Scores!J$5:J$44,Scores!J34),"")</f>
        <v/>
      </c>
      <c r="AB34" s="1" t="str">
        <f aca="false">IF(AND(Scores!$B34=1,OR(Scores!$C34="Tool condition",Scores!$C34="Paper condition"),ISNUMBER(Scores!J34)),(COUNTIFS(Scores!$B$5:$B$44,1,Scores!$C$5:$C$44,"Tool condition",Scores!J$5:J$44,Scores!J34)+COUNTIFS(Scores!$B$5:$B$44,1,Scores!$C$5:$C$44,"Paper condition",Scores!J$5:J$44,Scores!J34))^2-1,"")</f>
        <v/>
      </c>
      <c r="AC34" s="1" t="n">
        <f aca="false">IF(AND(Scores!$B34=2,Scores!$C34="Tool condition",ISNUMBER(Scores!J34)),COUNTIFS(Scores!$B$5:$B$44,2,Scores!$C$5:$C$44,"Paper condition",Scores!J$5:J$44,"&lt;"&amp;Scores!J34)+0.5*COUNTIFS(Scores!$B$5:$B$44,2,Scores!$C$5:$C$44,"Paper condition",Scores!J$5:J$44,Scores!J34),"")</f>
        <v>7.5</v>
      </c>
      <c r="AD34" s="1" t="n">
        <f aca="false">IF(AND(Scores!$B34=2,OR(Scores!$C34="Tool condition",Scores!$C34="Paper condition"),ISNUMBER(Scores!J34)),(COUNTIFS(Scores!$B$5:$B$44,2,Scores!$C$5:$C$44,"Tool condition",Scores!J$5:J$44,Scores!J34)+COUNTIFS(Scores!$B$5:$B$44,2,Scores!$C$5:$C$44,"Paper condition",Scores!J$5:J$44,Scores!J34))^2-1,"")</f>
        <v>120</v>
      </c>
      <c r="AE34" s="1" t="n">
        <f aca="false">IF(ISNUMBER(Scores!J34),Scores!J34^2,"")</f>
        <v>4</v>
      </c>
      <c r="AF34" s="1" t="str">
        <f aca="false">IF(AND(Scores!$B34=1,Scores!$C34="Tool condition",ISNUMBER(Scores!K34)),COUNTIFS(Scores!$B$5:$B$44,1,Scores!$C$5:$C$44,"Paper condition",Scores!K$5:K$44,"&lt;"&amp;Scores!K34)+0.5*COUNTIFS(Scores!$B$5:$B$44,1,Scores!$C$5:$C$44,"Paper condition",Scores!K$5:K$44,Scores!K34),"")</f>
        <v/>
      </c>
      <c r="AG34" s="1" t="str">
        <f aca="false">IF(AND(Scores!$B34=1,OR(Scores!$C34="Tool condition",Scores!$C34="Paper condition"),ISNUMBER(Scores!K34)),(COUNTIFS(Scores!$B$5:$B$44,1,Scores!$C$5:$C$44,"Tool condition",Scores!K$5:K$44,Scores!K34)+COUNTIFS(Scores!$B$5:$B$44,1,Scores!$C$5:$C$44,"Paper condition",Scores!K$5:K$44,Scores!K34))^2-1,"")</f>
        <v/>
      </c>
      <c r="AH34" s="1" t="n">
        <f aca="false">IF(AND(Scores!$B34=2,Scores!$C34="Tool condition",ISNUMBER(Scores!K34)),COUNTIFS(Scores!$B$5:$B$44,2,Scores!$C$5:$C$44,"Paper condition",Scores!K$5:K$44,"&lt;"&amp;Scores!K34)+0.5*COUNTIFS(Scores!$B$5:$B$44,2,Scores!$C$5:$C$44,"Paper condition",Scores!K$5:K$44,Scores!K34),"")</f>
        <v>8.5</v>
      </c>
      <c r="AI34" s="1" t="n">
        <f aca="false">IF(AND(Scores!$B34=2,OR(Scores!$C34="Tool condition",Scores!$C34="Paper condition"),ISNUMBER(Scores!K34)),(COUNTIFS(Scores!$B$5:$B$44,2,Scores!$C$5:$C$44,"Tool condition",Scores!K$5:K$44,Scores!K34)+COUNTIFS(Scores!$B$5:$B$44,2,Scores!$C$5:$C$44,"Paper condition",Scores!K$5:K$44,Scores!K34))^2-1,"")</f>
        <v>80</v>
      </c>
      <c r="AJ34" s="1" t="n">
        <f aca="false">IF(ISNUMBER(Scores!K34),Scores!K34^2,"")</f>
        <v>4</v>
      </c>
      <c r="AK34" s="1" t="str">
        <f aca="false">IF(AND(Scores!$B34=1,Scores!$C34="Tool condition",ISNUMBER(Scores!L34)),COUNTIFS(Scores!$B$5:$B$44,1,Scores!$C$5:$C$44,"Paper condition",Scores!L$5:L$44,"&lt;"&amp;Scores!L34)+0.5*COUNTIFS(Scores!$B$5:$B$44,1,Scores!$C$5:$C$44,"Paper condition",Scores!L$5:L$44,Scores!L34),"")</f>
        <v/>
      </c>
      <c r="AL34" s="1" t="str">
        <f aca="false">IF(AND(Scores!$B34=1,OR(Scores!$C34="Tool condition",Scores!$C34="Paper condition"),ISNUMBER(Scores!L34)),(COUNTIFS(Scores!$B$5:$B$44,1,Scores!$C$5:$C$44,"Tool condition",Scores!L$5:L$44,Scores!L34)+COUNTIFS(Scores!$B$5:$B$44,1,Scores!$C$5:$C$44,"Paper condition",Scores!L$5:L$44,Scores!L34))^2-1,"")</f>
        <v/>
      </c>
      <c r="AM34" s="1" t="n">
        <f aca="false">IF(AND(Scores!$B34=2,Scores!$C34="Tool condition",ISNUMBER(Scores!L34)),COUNTIFS(Scores!$B$5:$B$44,2,Scores!$C$5:$C$44,"Paper condition",Scores!L$5:L$44,"&lt;"&amp;Scores!L34)+0.5*COUNTIFS(Scores!$B$5:$B$44,2,Scores!$C$5:$C$44,"Paper condition",Scores!L$5:L$44,Scores!L34),"")</f>
        <v>2.5</v>
      </c>
      <c r="AN34" s="1" t="n">
        <f aca="false">IF(AND(Scores!$B34=2,OR(Scores!$C34="Tool condition",Scores!$C34="Paper condition"),ISNUMBER(Scores!L34)),(COUNTIFS(Scores!$B$5:$B$44,2,Scores!$C$5:$C$44,"Tool condition",Scores!L$5:L$44,Scores!L34)+COUNTIFS(Scores!$B$5:$B$44,2,Scores!$C$5:$C$44,"Paper condition",Scores!L$5:L$44,Scores!L34))^2-1,"")</f>
        <v>99</v>
      </c>
      <c r="AO34" s="1" t="n">
        <f aca="false">IF(ISNUMBER(Scores!L34),Scores!L34^2,"")</f>
        <v>1</v>
      </c>
      <c r="AP34" s="1" t="str">
        <f aca="false">IF(AND(Scores!$B34=1,Scores!$C34="Tool condition",ISNUMBER(Scores!M34)),COUNTIFS(Scores!$B$5:$B$44,1,Scores!$C$5:$C$44,"Paper condition",Scores!M$5:M$44,"&lt;"&amp;Scores!M34)+0.5*COUNTIFS(Scores!$B$5:$B$44,1,Scores!$C$5:$C$44,"Paper condition",Scores!M$5:M$44,Scores!M34),"")</f>
        <v/>
      </c>
      <c r="AQ34" s="1" t="str">
        <f aca="false">IF(AND(Scores!$B34=1,OR(Scores!$C34="Tool condition",Scores!$C34="Paper condition"),ISNUMBER(Scores!M34)),(COUNTIFS(Scores!$B$5:$B$44,1,Scores!$C$5:$C$44,"Tool condition",Scores!M$5:M$44,Scores!M34)+COUNTIFS(Scores!$B$5:$B$44,1,Scores!$C$5:$C$44,"Paper condition",Scores!M$5:M$44,Scores!M34))^2-1,"")</f>
        <v/>
      </c>
      <c r="AR34" s="1" t="n">
        <f aca="false">IF(AND(Scores!$B34=2,Scores!$C34="Tool condition",ISNUMBER(Scores!M34)),COUNTIFS(Scores!$B$5:$B$44,2,Scores!$C$5:$C$44,"Paper condition",Scores!M$5:M$44,"&lt;"&amp;Scores!M34)+0.5*COUNTIFS(Scores!$B$5:$B$44,2,Scores!$C$5:$C$44,"Paper condition",Scores!M$5:M$44,Scores!M34),"")</f>
        <v>8</v>
      </c>
      <c r="AS34" s="1" t="n">
        <f aca="false">IF(AND(Scores!$B34=2,OR(Scores!$C34="Tool condition",Scores!$C34="Paper condition"),ISNUMBER(Scores!M34)),(COUNTIFS(Scores!$B$5:$B$44,2,Scores!$C$5:$C$44,"Tool condition",Scores!M$5:M$44,Scores!M34)+COUNTIFS(Scores!$B$5:$B$44,2,Scores!$C$5:$C$44,"Paper condition",Scores!M$5:M$44,Scores!M34))^2-1,"")</f>
        <v>63</v>
      </c>
      <c r="AT34" s="1" t="n">
        <f aca="false">IF(ISNUMBER(Scores!M34),Scores!M34^2,"")</f>
        <v>4</v>
      </c>
      <c r="AU34" s="1" t="str">
        <f aca="false">IF(AND(Scores!$B34=1,Scores!$C34="Tool condition",ISNUMBER(Scores!N34)),COUNTIFS(Scores!$B$5:$B$44,1,Scores!$C$5:$C$44,"Paper condition",Scores!N$5:N$44,"&lt;"&amp;Scores!N34)+0.5*COUNTIFS(Scores!$B$5:$B$44,1,Scores!$C$5:$C$44,"Paper condition",Scores!N$5:N$44,Scores!N34),"")</f>
        <v/>
      </c>
      <c r="AV34" s="1" t="str">
        <f aca="false">IF(AND(Scores!$B34=1,OR(Scores!$C34="Tool condition",Scores!$C34="Paper condition"),ISNUMBER(Scores!N34)),(COUNTIFS(Scores!$B$5:$B$44,1,Scores!$C$5:$C$44,"Tool condition",Scores!N$5:N$44,Scores!N34)+COUNTIFS(Scores!$B$5:$B$44,1,Scores!$C$5:$C$44,"Paper condition",Scores!N$5:N$44,Scores!N34))^2-1,"")</f>
        <v/>
      </c>
      <c r="AW34" s="1" t="n">
        <f aca="false">IF(AND(Scores!$B34=2,Scores!$C34="Tool condition",ISNUMBER(Scores!N34)),COUNTIFS(Scores!$B$5:$B$44,2,Scores!$C$5:$C$44,"Paper condition",Scores!N$5:N$44,"&lt;"&amp;Scores!N34)+0.5*COUNTIFS(Scores!$B$5:$B$44,2,Scores!$C$5:$C$44,"Paper condition",Scores!N$5:N$44,Scores!N34),"")</f>
        <v>1</v>
      </c>
      <c r="AX34" s="1" t="n">
        <f aca="false">IF(AND(Scores!$B34=2,OR(Scores!$C34="Tool condition",Scores!$C34="Paper condition"),ISNUMBER(Scores!N34)),(COUNTIFS(Scores!$B$5:$B$44,2,Scores!$C$5:$C$44,"Tool condition",Scores!N$5:N$44,Scores!N34)+COUNTIFS(Scores!$B$5:$B$44,2,Scores!$C$5:$C$44,"Paper condition",Scores!N$5:N$44,Scores!N34))^2-1,"")</f>
        <v>24</v>
      </c>
      <c r="AY34" s="1" t="n">
        <f aca="false">IF(ISNUMBER(Scores!N34),Scores!N34^2,"")</f>
        <v>0</v>
      </c>
      <c r="AZ34" s="1" t="str">
        <f aca="false">IF(AND(Scores!$B34=1,Scores!$C34="Tool condition",ISNUMBER(Scores!O34)),COUNTIFS(Scores!$B$5:$B$44,1,Scores!$C$5:$C$44,"Paper condition",Scores!O$5:O$44,"&lt;"&amp;Scores!O34)+0.5*COUNTIFS(Scores!$B$5:$B$44,1,Scores!$C$5:$C$44,"Paper condition",Scores!O$5:O$44,Scores!O34),"")</f>
        <v/>
      </c>
      <c r="BA34" s="1" t="str">
        <f aca="false">IF(AND(Scores!$B34=1,OR(Scores!$C34="Tool condition",Scores!$C34="Paper condition"),ISNUMBER(Scores!O34)),(COUNTIFS(Scores!$B$5:$B$44,1,Scores!$C$5:$C$44,"Tool condition",Scores!O$5:O$44,Scores!O34)+COUNTIFS(Scores!$B$5:$B$44,1,Scores!$C$5:$C$44,"Paper condition",Scores!O$5:O$44,Scores!O34))^2-1,"")</f>
        <v/>
      </c>
      <c r="BB34" s="1" t="n">
        <f aca="false">IF(AND(Scores!$B34=2,Scores!$C34="Tool condition",ISNUMBER(Scores!O34)),COUNTIFS(Scores!$B$5:$B$44,2,Scores!$C$5:$C$44,"Paper condition",Scores!O$5:O$44,"&lt;"&amp;Scores!O34)+0.5*COUNTIFS(Scores!$B$5:$B$44,2,Scores!$C$5:$C$44,"Paper condition",Scores!O$5:O$44,Scores!O34),"")</f>
        <v>6.5</v>
      </c>
      <c r="BC34" s="1" t="n">
        <f aca="false">IF(AND(Scores!$B34=2,OR(Scores!$C34="Tool condition",Scores!$C34="Paper condition"),ISNUMBER(Scores!O34)),(COUNTIFS(Scores!$B$5:$B$44,2,Scores!$C$5:$C$44,"Tool condition",Scores!O$5:O$44,Scores!O34)+COUNTIFS(Scores!$B$5:$B$44,2,Scores!$C$5:$C$44,"Paper condition",Scores!O$5:O$44,Scores!O34))^2-1,"")</f>
        <v>120</v>
      </c>
      <c r="BD34" s="1" t="n">
        <f aca="false">IF(ISNUMBER(Scores!O34),Scores!O34^2,"")</f>
        <v>1</v>
      </c>
      <c r="BE34" s="1" t="str">
        <f aca="false">IF(AND(Scores!$B34=1,Scores!$C34="Tool condition",ISNUMBER(Scores!P34)),COUNTIFS(Scores!$B$5:$B$44,1,Scores!$C$5:$C$44,"Paper condition",Scores!P$5:P$44,"&lt;"&amp;Scores!P34)+0.5*COUNTIFS(Scores!$B$5:$B$44,1,Scores!$C$5:$C$44,"Paper condition",Scores!P$5:P$44,Scores!P34),"")</f>
        <v/>
      </c>
      <c r="BF34" s="1" t="str">
        <f aca="false">IF(AND(Scores!$B34=1,OR(Scores!$C34="Tool condition",Scores!$C34="Paper condition"),ISNUMBER(Scores!P34)),(COUNTIFS(Scores!$B$5:$B$44,1,Scores!$C$5:$C$44,"Tool condition",Scores!P$5:P$44,Scores!P34)+COUNTIFS(Scores!$B$5:$B$44,1,Scores!$C$5:$C$44,"Paper condition",Scores!P$5:P$44,Scores!P34))^2-1,"")</f>
        <v/>
      </c>
      <c r="BG34" s="1" t="n">
        <f aca="false">IF(AND(Scores!$B34=2,Scores!$C34="Tool condition",ISNUMBER(Scores!P34)),COUNTIFS(Scores!$B$5:$B$44,2,Scores!$C$5:$C$44,"Paper condition",Scores!P$5:P$44,"&lt;"&amp;Scores!P34)+0.5*COUNTIFS(Scores!$B$5:$B$44,2,Scores!$C$5:$C$44,"Paper condition",Scores!P$5:P$44,Scores!P34),"")</f>
        <v>7.5</v>
      </c>
      <c r="BH34" s="1" t="n">
        <f aca="false">IF(AND(Scores!$B34=2,OR(Scores!$C34="Tool condition",Scores!$C34="Paper condition"),ISNUMBER(Scores!P34)),(COUNTIFS(Scores!$B$5:$B$44,2,Scores!$C$5:$C$44,"Tool condition",Scores!P$5:P$44,Scores!P34)+COUNTIFS(Scores!$B$5:$B$44,2,Scores!$C$5:$C$44,"Paper condition",Scores!P$5:P$44,Scores!P34))^2-1,"")</f>
        <v>143</v>
      </c>
      <c r="BI34" s="1" t="n">
        <f aca="false">IF(ISNUMBER(Scores!P34),Scores!P34^2,"")</f>
        <v>1</v>
      </c>
      <c r="BJ34" s="1" t="str">
        <f aca="false">IF(AND(R_Scores!$B34=1,R_Scores!$C34="Tool condition",ISNUMBER(R_Scores!E34)),COUNTIFS(R_Scores!$B$5:$B$44,1,R_Scores!$C$5:$C$44,"Paper condition",R_Scores!E$5:E$44,"&lt;"&amp;R_Scores!E34)+0.5*COUNTIFS(R_Scores!$B$5:$B$44,1,R_Scores!$C$5:$C$44,"Paper condition",R_Scores!E$5:E$44,R_Scores!E34),"")</f>
        <v/>
      </c>
      <c r="BK34" s="1" t="str">
        <f aca="false">IF(AND(R_Scores!$B34=1,OR(R_Scores!$C34="Tool condition",R_Scores!$C34="Paper condition"),ISNUMBER(R_Scores!E34)),(COUNTIFS(R_Scores!$B$5:$B$44,1,R_Scores!$C$5:$C$44,"Tool condition",R_Scores!E$5:E$44,R_Scores!E34)+COUNTIFS(R_Scores!$B$5:$B$44,1,R_Scores!$C$5:$C$44,"Paper condition",R_Scores!E$5:E$44,R_Scores!E34))^2-1,"")</f>
        <v/>
      </c>
      <c r="BL34" s="1" t="n">
        <f aca="false">IF(AND(R_Scores!$B34=2,R_Scores!$C34="Tool condition",ISNUMBER(R_Scores!E34)),COUNTIFS(R_Scores!$B$5:$B$44,2,R_Scores!$C$5:$C$44,"Paper condition",R_Scores!E$5:E$44,"&lt;"&amp;R_Scores!E34)+0.5*COUNTIFS(R_Scores!$B$5:$B$44,2,R_Scores!$C$5:$C$44,"Paper condition",R_Scores!E$5:E$44,R_Scores!E34),"")</f>
        <v>6.5</v>
      </c>
      <c r="BM34" s="1" t="n">
        <f aca="false">IF(AND(R_Scores!$B34=2,OR(R_Scores!$C34="Tool condition",R_Scores!$C34="Paper condition"),ISNUMBER(R_Scores!E34)),(COUNTIFS(R_Scores!$B$5:$B$44,2,R_Scores!$C$5:$C$44,"Tool condition",R_Scores!E$5:E$44,R_Scores!E34)+COUNTIFS(R_Scores!$B$5:$B$44,2,R_Scores!$C$5:$C$44,"Paper condition",R_Scores!E$5:E$44,R_Scores!E34))^2-1,"")</f>
        <v>224</v>
      </c>
      <c r="BN34" s="1" t="n">
        <f aca="false">IF(ISNUMBER(R_Scores!E34),R_Scores!E34^2,"")</f>
        <v>1</v>
      </c>
      <c r="BO34" s="1" t="str">
        <f aca="false">IF(AND(R_Scores!$B34=1,R_Scores!$C34="Tool condition",ISNUMBER(R_Scores!F34)),COUNTIFS(R_Scores!$B$5:$B$44,1,R_Scores!$C$5:$C$44,"Paper condition",R_Scores!F$5:F$44,"&lt;"&amp;R_Scores!F34)+0.5*COUNTIFS(R_Scores!$B$5:$B$44,1,R_Scores!$C$5:$C$44,"Paper condition",R_Scores!F$5:F$44,R_Scores!F34),"")</f>
        <v/>
      </c>
      <c r="BP34" s="1" t="str">
        <f aca="false">IF(AND(R_Scores!$B34=1,OR(R_Scores!$C34="Tool condition",R_Scores!$C34="Paper condition"),ISNUMBER(R_Scores!F34)),(COUNTIFS(R_Scores!$B$5:$B$44,1,R_Scores!$C$5:$C$44,"Tool condition",R_Scores!F$5:F$44,R_Scores!F34)+COUNTIFS(R_Scores!$B$5:$B$44,1,R_Scores!$C$5:$C$44,"Paper condition",R_Scores!F$5:F$44,R_Scores!F34))^2-1,"")</f>
        <v/>
      </c>
      <c r="BQ34" s="1" t="n">
        <f aca="false">IF(AND(R_Scores!$B34=2,R_Scores!$C34="Tool condition",ISNUMBER(R_Scores!F34)),COUNTIFS(R_Scores!$B$5:$B$44,2,R_Scores!$C$5:$C$44,"Paper condition",R_Scores!F$5:F$44,"&lt;"&amp;R_Scores!F34)+0.5*COUNTIFS(R_Scores!$B$5:$B$44,2,R_Scores!$C$5:$C$44,"Paper condition",R_Scores!F$5:F$44,R_Scores!F34),"")</f>
        <v>6.5</v>
      </c>
      <c r="BR34" s="1" t="n">
        <f aca="false">IF(AND(R_Scores!$B34=2,OR(R_Scores!$C34="Tool condition",R_Scores!$C34="Paper condition"),ISNUMBER(R_Scores!F34)),(COUNTIFS(R_Scores!$B$5:$B$44,2,R_Scores!$C$5:$C$44,"Tool condition",R_Scores!F$5:F$44,R_Scores!F34)+COUNTIFS(R_Scores!$B$5:$B$44,2,R_Scores!$C$5:$C$44,"Paper condition",R_Scores!F$5:F$44,R_Scores!F34))^2-1,"")</f>
        <v>195</v>
      </c>
      <c r="BS34" s="1" t="n">
        <f aca="false">IF(ISNUMBER(R_Scores!F34),R_Scores!F34^2,"")</f>
        <v>1</v>
      </c>
      <c r="BT34" s="1" t="str">
        <f aca="false">IF(AND(R_Scores!$B34=1,R_Scores!$C34="Tool condition",ISNUMBER(R_Scores!G34)),COUNTIFS(R_Scores!$B$5:$B$44,1,R_Scores!$C$5:$C$44,"Paper condition",R_Scores!G$5:G$44,"&lt;"&amp;R_Scores!G34)+0.5*COUNTIFS(R_Scores!$B$5:$B$44,1,R_Scores!$C$5:$C$44,"Paper condition",R_Scores!G$5:G$44,R_Scores!G34),"")</f>
        <v/>
      </c>
      <c r="BU34" s="1" t="str">
        <f aca="false">IF(AND(R_Scores!$B34=1,OR(R_Scores!$C34="Tool condition",R_Scores!$C34="Paper condition"),ISNUMBER(R_Scores!G34)),(COUNTIFS(R_Scores!$B$5:$B$44,1,R_Scores!$C$5:$C$44,"Tool condition",R_Scores!G$5:G$44,R_Scores!G34)+COUNTIFS(R_Scores!$B$5:$B$44,1,R_Scores!$C$5:$C$44,"Paper condition",R_Scores!G$5:G$44,R_Scores!G34))^2-1,"")</f>
        <v/>
      </c>
      <c r="BV34" s="1" t="str">
        <f aca="false">IF(AND(R_Scores!$B34=2,R_Scores!$C34="Tool condition",ISNUMBER(R_Scores!G34)),COUNTIFS(R_Scores!$B$5:$B$44,2,R_Scores!$C$5:$C$44,"Paper condition",R_Scores!G$5:G$44,"&lt;"&amp;R_Scores!G34)+0.5*COUNTIFS(R_Scores!$B$5:$B$44,2,R_Scores!$C$5:$C$44,"Paper condition",R_Scores!G$5:G$44,R_Scores!G34),"")</f>
        <v/>
      </c>
      <c r="BW34" s="1" t="str">
        <f aca="false">IF(AND(R_Scores!$B34=2,OR(R_Scores!$C34="Tool condition",R_Scores!$C34="Paper condition"),ISNUMBER(R_Scores!G34)),(COUNTIFS(R_Scores!$B$5:$B$44,2,R_Scores!$C$5:$C$44,"Tool condition",R_Scores!G$5:G$44,R_Scores!G34)+COUNTIFS(R_Scores!$B$5:$B$44,2,R_Scores!$C$5:$C$44,"Paper condition",R_Scores!G$5:G$44,R_Scores!G34))^2-1,"")</f>
        <v/>
      </c>
      <c r="BX34" s="1" t="str">
        <f aca="false">IF(ISNUMBER(R_Scores!G34),R_Scores!G34^2,"")</f>
        <v/>
      </c>
      <c r="BY34" s="1" t="str">
        <f aca="false">IF(AND(R_Scores!$B34=1,R_Scores!$C34="Tool condition",ISNUMBER(R_Scores!H34)),COUNTIFS(R_Scores!$B$5:$B$44,1,R_Scores!$C$5:$C$44,"Paper condition",R_Scores!H$5:H$44,"&lt;"&amp;R_Scores!H34)+0.5*COUNTIFS(R_Scores!$B$5:$B$44,1,R_Scores!$C$5:$C$44,"Paper condition",R_Scores!H$5:H$44,R_Scores!H34),"")</f>
        <v/>
      </c>
      <c r="BZ34" s="1" t="str">
        <f aca="false">IF(AND(R_Scores!$B34=1,OR(R_Scores!$C34="Tool condition",R_Scores!$C34="Paper condition"),ISNUMBER(R_Scores!H34)),(COUNTIFS(R_Scores!$B$5:$B$44,1,R_Scores!$C$5:$C$44,"Tool condition",R_Scores!H$5:H$44,R_Scores!H34)+COUNTIFS(R_Scores!$B$5:$B$44,1,R_Scores!$C$5:$C$44,"Paper condition",R_Scores!H$5:H$44,R_Scores!H34))^2-1,"")</f>
        <v/>
      </c>
      <c r="CA34" s="1" t="str">
        <f aca="false">IF(AND(R_Scores!$B34=2,R_Scores!$C34="Tool condition",ISNUMBER(R_Scores!H34)),COUNTIFS(R_Scores!$B$5:$B$44,2,R_Scores!$C$5:$C$44,"Paper condition",R_Scores!H$5:H$44,"&lt;"&amp;R_Scores!H34)+0.5*COUNTIFS(R_Scores!$B$5:$B$44,2,R_Scores!$C$5:$C$44,"Paper condition",R_Scores!H$5:H$44,R_Scores!H34),"")</f>
        <v/>
      </c>
      <c r="CB34" s="1" t="str">
        <f aca="false">IF(AND(R_Scores!$B34=2,OR(R_Scores!$C34="Tool condition",R_Scores!$C34="Paper condition"),ISNUMBER(R_Scores!H34)),(COUNTIFS(R_Scores!$B$5:$B$44,2,R_Scores!$C$5:$C$44,"Tool condition",R_Scores!H$5:H$44,R_Scores!H34)+COUNTIFS(R_Scores!$B$5:$B$44,2,R_Scores!$C$5:$C$44,"Paper condition",R_Scores!H$5:H$44,R_Scores!H34))^2-1,"")</f>
        <v/>
      </c>
      <c r="CC34" s="1" t="str">
        <f aca="false">IF(ISNUMBER(R_Scores!H34),R_Scores!H34^2,"")</f>
        <v/>
      </c>
      <c r="CD34" s="1" t="str">
        <f aca="false">IF(AND(R_Scores!$B34=1,R_Scores!$C34="Tool condition",ISNUMBER(R_Scores!I34)),COUNTIFS(R_Scores!$B$5:$B$44,1,R_Scores!$C$5:$C$44,"Paper condition",R_Scores!I$5:I$44,"&lt;"&amp;R_Scores!I34)+0.5*COUNTIFS(R_Scores!$B$5:$B$44,1,R_Scores!$C$5:$C$44,"Paper condition",R_Scores!I$5:I$44,R_Scores!I34),"")</f>
        <v/>
      </c>
      <c r="CE34" s="1" t="str">
        <f aca="false">IF(AND(R_Scores!$B34=1,OR(R_Scores!$C34="Tool condition",R_Scores!$C34="Paper condition"),ISNUMBER(R_Scores!I34)),(COUNTIFS(R_Scores!$B$5:$B$44,1,R_Scores!$C$5:$C$44,"Tool condition",R_Scores!I$5:I$44,R_Scores!I34)+COUNTIFS(R_Scores!$B$5:$B$44,1,R_Scores!$C$5:$C$44,"Paper condition",R_Scores!I$5:I$44,R_Scores!I34))^2-1,"")</f>
        <v/>
      </c>
      <c r="CF34" s="1" t="n">
        <f aca="false">IF(AND(R_Scores!$B34=2,R_Scores!$C34="Tool condition",ISNUMBER(R_Scores!I34)),COUNTIFS(R_Scores!$B$5:$B$44,2,R_Scores!$C$5:$C$44,"Paper condition",R_Scores!I$5:I$44,"&lt;"&amp;R_Scores!I34)+0.5*COUNTIFS(R_Scores!$B$5:$B$44,2,R_Scores!$C$5:$C$44,"Paper condition",R_Scores!I$5:I$44,R_Scores!I34),"")</f>
        <v>1</v>
      </c>
      <c r="CG34" s="1" t="n">
        <f aca="false">IF(AND(R_Scores!$B34=2,OR(R_Scores!$C34="Tool condition",R_Scores!$C34="Paper condition"),ISNUMBER(R_Scores!I34)),(COUNTIFS(R_Scores!$B$5:$B$44,2,R_Scores!$C$5:$C$44,"Tool condition",R_Scores!I$5:I$44,R_Scores!I34)+COUNTIFS(R_Scores!$B$5:$B$44,2,R_Scores!$C$5:$C$44,"Paper condition",R_Scores!I$5:I$44,R_Scores!I34))^2-1,"")</f>
        <v>15</v>
      </c>
      <c r="CH34" s="1" t="n">
        <f aca="false">IF(ISNUMBER(R_Scores!I34),R_Scores!I34^2,"")</f>
        <v>0</v>
      </c>
      <c r="CI34" s="1" t="str">
        <f aca="false">IF(AND(R_Scores!$B34=1,R_Scores!$C34="Tool condition",ISNUMBER(R_Scores!J34)),COUNTIFS(R_Scores!$B$5:$B$44,1,R_Scores!$C$5:$C$44,"Paper condition",R_Scores!J$5:J$44,"&lt;"&amp;R_Scores!J34)+0.5*COUNTIFS(R_Scores!$B$5:$B$44,1,R_Scores!$C$5:$C$44,"Paper condition",R_Scores!J$5:J$44,R_Scores!J34),"")</f>
        <v/>
      </c>
      <c r="CJ34" s="1" t="str">
        <f aca="false">IF(AND(R_Scores!$B34=1,OR(R_Scores!$C34="Tool condition",R_Scores!$C34="Paper condition"),ISNUMBER(R_Scores!J34)),(COUNTIFS(R_Scores!$B$5:$B$44,1,R_Scores!$C$5:$C$44,"Tool condition",R_Scores!J$5:J$44,R_Scores!J34)+COUNTIFS(R_Scores!$B$5:$B$44,1,R_Scores!$C$5:$C$44,"Paper condition",R_Scores!J$5:J$44,R_Scores!J34))^2-1,"")</f>
        <v/>
      </c>
      <c r="CK34" s="1" t="n">
        <f aca="false">IF(AND(R_Scores!$B34=2,R_Scores!$C34="Tool condition",ISNUMBER(R_Scores!J34)),COUNTIFS(R_Scores!$B$5:$B$44,2,R_Scores!$C$5:$C$44,"Paper condition",R_Scores!J$5:J$44,"&lt;"&amp;R_Scores!J34)+0.5*COUNTIFS(R_Scores!$B$5:$B$44,2,R_Scores!$C$5:$C$44,"Paper condition",R_Scores!J$5:J$44,R_Scores!J34),"")</f>
        <v>7</v>
      </c>
      <c r="CL34" s="1" t="n">
        <f aca="false">IF(AND(R_Scores!$B34=2,OR(R_Scores!$C34="Tool condition",R_Scores!$C34="Paper condition"),ISNUMBER(R_Scores!J34)),(COUNTIFS(R_Scores!$B$5:$B$44,2,R_Scores!$C$5:$C$44,"Tool condition",R_Scores!J$5:J$44,R_Scores!J34)+COUNTIFS(R_Scores!$B$5:$B$44,2,R_Scores!$C$5:$C$44,"Paper condition",R_Scores!J$5:J$44,R_Scores!J34))^2-1,"")</f>
        <v>195</v>
      </c>
      <c r="CM34" s="1" t="n">
        <f aca="false">IF(ISNUMBER(R_Scores!J34),R_Scores!J34^2,"")</f>
        <v>1</v>
      </c>
      <c r="CN34" s="1" t="str">
        <f aca="false">IF(AND(R_Scores!$B34=1,R_Scores!$C34="Tool condition",ISNUMBER(R_Scores!K34)),COUNTIFS(R_Scores!$B$5:$B$44,1,R_Scores!$C$5:$C$44,"Paper condition",R_Scores!K$5:K$44,"&lt;"&amp;R_Scores!K34)+0.5*COUNTIFS(R_Scores!$B$5:$B$44,1,R_Scores!$C$5:$C$44,"Paper condition",R_Scores!K$5:K$44,R_Scores!K34),"")</f>
        <v/>
      </c>
      <c r="CO34" s="1" t="str">
        <f aca="false">IF(AND(R_Scores!$B34=1,OR(R_Scores!$C34="Tool condition",R_Scores!$C34="Paper condition"),ISNUMBER(R_Scores!K34)),(COUNTIFS(R_Scores!$B$5:$B$44,1,R_Scores!$C$5:$C$44,"Tool condition",R_Scores!K$5:K$44,R_Scores!K34)+COUNTIFS(R_Scores!$B$5:$B$44,1,R_Scores!$C$5:$C$44,"Paper condition",R_Scores!K$5:K$44,R_Scores!K34))^2-1,"")</f>
        <v/>
      </c>
      <c r="CP34" s="1" t="str">
        <f aca="false">IF(AND(R_Scores!$B34=2,R_Scores!$C34="Tool condition",ISNUMBER(R_Scores!K34)),COUNTIFS(R_Scores!$B$5:$B$44,2,R_Scores!$C$5:$C$44,"Paper condition",R_Scores!K$5:K$44,"&lt;"&amp;R_Scores!K34)+0.5*COUNTIFS(R_Scores!$B$5:$B$44,2,R_Scores!$C$5:$C$44,"Paper condition",R_Scores!K$5:K$44,R_Scores!K34),"")</f>
        <v/>
      </c>
      <c r="CQ34" s="1" t="str">
        <f aca="false">IF(AND(R_Scores!$B34=2,OR(R_Scores!$C34="Tool condition",R_Scores!$C34="Paper condition"),ISNUMBER(R_Scores!K34)),(COUNTIFS(R_Scores!$B$5:$B$44,2,R_Scores!$C$5:$C$44,"Tool condition",R_Scores!K$5:K$44,R_Scores!K34)+COUNTIFS(R_Scores!$B$5:$B$44,2,R_Scores!$C$5:$C$44,"Paper condition",R_Scores!K$5:K$44,R_Scores!K34))^2-1,"")</f>
        <v/>
      </c>
      <c r="CR34" s="1" t="str">
        <f aca="false">IF(ISNUMBER(R_Scores!K34),R_Scores!K34^2,"")</f>
        <v/>
      </c>
      <c r="CS34" s="1" t="str">
        <f aca="false">IF(AND(R_Scores!$B34=1,R_Scores!$C34="Tool condition",ISNUMBER(R_Scores!L34)),COUNTIFS(R_Scores!$B$5:$B$44,1,R_Scores!$C$5:$C$44,"Paper condition",R_Scores!L$5:L$44,"&lt;"&amp;R_Scores!L34)+0.5*COUNTIFS(R_Scores!$B$5:$B$44,1,R_Scores!$C$5:$C$44,"Paper condition",R_Scores!L$5:L$44,R_Scores!L34),"")</f>
        <v/>
      </c>
      <c r="CT34" s="1" t="str">
        <f aca="false">IF(AND(R_Scores!$B34=1,OR(R_Scores!$C34="Tool condition",R_Scores!$C34="Paper condition"),ISNUMBER(R_Scores!L34)),(COUNTIFS(R_Scores!$B$5:$B$44,1,R_Scores!$C$5:$C$44,"Tool condition",R_Scores!L$5:L$44,R_Scores!L34)+COUNTIFS(R_Scores!$B$5:$B$44,1,R_Scores!$C$5:$C$44,"Paper condition",R_Scores!L$5:L$44,R_Scores!L34))^2-1,"")</f>
        <v/>
      </c>
      <c r="CU34" s="1" t="str">
        <f aca="false">IF(AND(R_Scores!$B34=2,R_Scores!$C34="Tool condition",ISNUMBER(R_Scores!L34)),COUNTIFS(R_Scores!$B$5:$B$44,2,R_Scores!$C$5:$C$44,"Paper condition",R_Scores!L$5:L$44,"&lt;"&amp;R_Scores!L34)+0.5*COUNTIFS(R_Scores!$B$5:$B$44,2,R_Scores!$C$5:$C$44,"Paper condition",R_Scores!L$5:L$44,R_Scores!L34),"")</f>
        <v/>
      </c>
      <c r="CV34" s="1" t="str">
        <f aca="false">IF(AND(R_Scores!$B34=2,OR(R_Scores!$C34="Tool condition",R_Scores!$C34="Paper condition"),ISNUMBER(R_Scores!L34)),(COUNTIFS(R_Scores!$B$5:$B$44,2,R_Scores!$C$5:$C$44,"Tool condition",R_Scores!L$5:L$44,R_Scores!L34)+COUNTIFS(R_Scores!$B$5:$B$44,2,R_Scores!$C$5:$C$44,"Paper condition",R_Scores!L$5:L$44,R_Scores!L34))^2-1,"")</f>
        <v/>
      </c>
      <c r="CW34" s="1" t="str">
        <f aca="false">IF(ISNUMBER(R_Scores!L34),R_Scores!L34^2,"")</f>
        <v/>
      </c>
      <c r="CX34" s="1" t="str">
        <f aca="false">IF(AND(R_Scores!$B34=1,R_Scores!$C34="Tool condition",ISNUMBER(R_Scores!M34)),COUNTIFS(R_Scores!$B$5:$B$44,1,R_Scores!$C$5:$C$44,"Paper condition",R_Scores!M$5:M$44,"&lt;"&amp;R_Scores!M34)+0.5*COUNTIFS(R_Scores!$B$5:$B$44,1,R_Scores!$C$5:$C$44,"Paper condition",R_Scores!M$5:M$44,R_Scores!M34),"")</f>
        <v/>
      </c>
      <c r="CY34" s="1" t="str">
        <f aca="false">IF(AND(R_Scores!$B34=1,OR(R_Scores!$C34="Tool condition",R_Scores!$C34="Paper condition"),ISNUMBER(R_Scores!M34)),(COUNTIFS(R_Scores!$B$5:$B$44,1,R_Scores!$C$5:$C$44,"Tool condition",R_Scores!M$5:M$44,R_Scores!M34)+COUNTIFS(R_Scores!$B$5:$B$44,1,R_Scores!$C$5:$C$44,"Paper condition",R_Scores!M$5:M$44,R_Scores!M34))^2-1,"")</f>
        <v/>
      </c>
      <c r="CZ34" s="1" t="str">
        <f aca="false">IF(AND(R_Scores!$B34=2,R_Scores!$C34="Tool condition",ISNUMBER(R_Scores!M34)),COUNTIFS(R_Scores!$B$5:$B$44,2,R_Scores!$C$5:$C$44,"Paper condition",R_Scores!M$5:M$44,"&lt;"&amp;R_Scores!M34)+0.5*COUNTIFS(R_Scores!$B$5:$B$44,2,R_Scores!$C$5:$C$44,"Paper condition",R_Scores!M$5:M$44,R_Scores!M34),"")</f>
        <v/>
      </c>
      <c r="DA34" s="1" t="str">
        <f aca="false">IF(AND(R_Scores!$B34=2,OR(R_Scores!$C34="Tool condition",R_Scores!$C34="Paper condition"),ISNUMBER(R_Scores!M34)),(COUNTIFS(R_Scores!$B$5:$B$44,2,R_Scores!$C$5:$C$44,"Tool condition",R_Scores!M$5:M$44,R_Scores!M34)+COUNTIFS(R_Scores!$B$5:$B$44,2,R_Scores!$C$5:$C$44,"Paper condition",R_Scores!M$5:M$44,R_Scores!M34))^2-1,"")</f>
        <v/>
      </c>
      <c r="DB34" s="1" t="str">
        <f aca="false">IF(ISNUMBER(R_Scores!M34),R_Scores!M34^2,"")</f>
        <v/>
      </c>
      <c r="DC34" s="1" t="str">
        <f aca="false">IF(AND(R_Scores!$B34=1,R_Scores!$C34="Tool condition",ISNUMBER(R_Scores!N34)),COUNTIFS(R_Scores!$B$5:$B$44,1,R_Scores!$C$5:$C$44,"Paper condition",R_Scores!N$5:N$44,"&lt;"&amp;R_Scores!N34)+0.5*COUNTIFS(R_Scores!$B$5:$B$44,1,R_Scores!$C$5:$C$44,"Paper condition",R_Scores!N$5:N$44,R_Scores!N34),"")</f>
        <v/>
      </c>
      <c r="DD34" s="1" t="str">
        <f aca="false">IF(AND(R_Scores!$B34=1,OR(R_Scores!$C34="Tool condition",R_Scores!$C34="Paper condition"),ISNUMBER(R_Scores!N34)),(COUNTIFS(R_Scores!$B$5:$B$44,1,R_Scores!$C$5:$C$44,"Tool condition",R_Scores!N$5:N$44,R_Scores!N34)+COUNTIFS(R_Scores!$B$5:$B$44,1,R_Scores!$C$5:$C$44,"Paper condition",R_Scores!N$5:N$44,R_Scores!N34))^2-1,"")</f>
        <v/>
      </c>
      <c r="DE34" s="1" t="n">
        <f aca="false">IF(AND(R_Scores!$B34=2,R_Scores!$C34="Tool condition",ISNUMBER(R_Scores!N34)),COUNTIFS(R_Scores!$B$5:$B$44,2,R_Scores!$C$5:$C$44,"Paper condition",R_Scores!N$5:N$44,"&lt;"&amp;R_Scores!N34)+0.5*COUNTIFS(R_Scores!$B$5:$B$44,2,R_Scores!$C$5:$C$44,"Paper condition",R_Scores!N$5:N$44,R_Scores!N34),"")</f>
        <v>8</v>
      </c>
      <c r="DF34" s="1" t="n">
        <f aca="false">IF(AND(R_Scores!$B34=2,OR(R_Scores!$C34="Tool condition",R_Scores!$C34="Paper condition"),ISNUMBER(R_Scores!N34)),(COUNTIFS(R_Scores!$B$5:$B$44,2,R_Scores!$C$5:$C$44,"Tool condition",R_Scores!N$5:N$44,R_Scores!N34)+COUNTIFS(R_Scores!$B$5:$B$44,2,R_Scores!$C$5:$C$44,"Paper condition",R_Scores!N$5:N$44,R_Scores!N34))^2-1,"")</f>
        <v>143</v>
      </c>
      <c r="DG34" s="1" t="n">
        <f aca="false">IF(ISNUMBER(R_Scores!N34),R_Scores!N34^2,"")</f>
        <v>1</v>
      </c>
      <c r="DH34" s="1" t="str">
        <f aca="false">IF(AND(R_Scores!$B34=1,R_Scores!$C34="Tool condition",ISNUMBER(R_Scores!O34)),COUNTIFS(R_Scores!$B$5:$B$44,1,R_Scores!$C$5:$C$44,"Paper condition",R_Scores!O$5:O$44,"&lt;"&amp;R_Scores!O34)+0.5*COUNTIFS(R_Scores!$B$5:$B$44,1,R_Scores!$C$5:$C$44,"Paper condition",R_Scores!O$5:O$44,R_Scores!O34),"")</f>
        <v/>
      </c>
      <c r="DI34" s="1" t="str">
        <f aca="false">IF(AND(R_Scores!$B34=1,OR(R_Scores!$C34="Tool condition",R_Scores!$C34="Paper condition"),ISNUMBER(R_Scores!O34)),(COUNTIFS(R_Scores!$B$5:$B$44,1,R_Scores!$C$5:$C$44,"Tool condition",R_Scores!O$5:O$44,R_Scores!O34)+COUNTIFS(R_Scores!$B$5:$B$44,1,R_Scores!$C$5:$C$44,"Paper condition",R_Scores!O$5:O$44,R_Scores!O34))^2-1,"")</f>
        <v/>
      </c>
      <c r="DJ34" s="1" t="n">
        <f aca="false">IF(AND(R_Scores!$B34=2,R_Scores!$C34="Tool condition",ISNUMBER(R_Scores!O34)),COUNTIFS(R_Scores!$B$5:$B$44,2,R_Scores!$C$5:$C$44,"Paper condition",R_Scores!O$5:O$44,"&lt;"&amp;R_Scores!O34)+0.5*COUNTIFS(R_Scores!$B$5:$B$44,2,R_Scores!$C$5:$C$44,"Paper condition",R_Scores!O$5:O$44,R_Scores!O34),"")</f>
        <v>2</v>
      </c>
      <c r="DK34" s="1" t="n">
        <f aca="false">IF(AND(R_Scores!$B34=2,OR(R_Scores!$C34="Tool condition",R_Scores!$C34="Paper condition"),ISNUMBER(R_Scores!O34)),(COUNTIFS(R_Scores!$B$5:$B$44,2,R_Scores!$C$5:$C$44,"Tool condition",R_Scores!O$5:O$44,R_Scores!O34)+COUNTIFS(R_Scores!$B$5:$B$44,2,R_Scores!$C$5:$C$44,"Paper condition",R_Scores!O$5:O$44,R_Scores!O34))^2-1,"")</f>
        <v>48</v>
      </c>
      <c r="DL34" s="1" t="n">
        <f aca="false">IF(ISNUMBER(R_Scores!O34),R_Scores!O34^2,"")</f>
        <v>0</v>
      </c>
      <c r="DM34" s="1" t="str">
        <f aca="false">IF(AND(R_Scores!$B34=1,R_Scores!$C34="Tool condition",ISNUMBER(R_Scores!P34)),COUNTIFS(R_Scores!$B$5:$B$44,1,R_Scores!$C$5:$C$44,"Paper condition",R_Scores!P$5:P$44,"&lt;"&amp;R_Scores!P34)+0.5*COUNTIFS(R_Scores!$B$5:$B$44,1,R_Scores!$C$5:$C$44,"Paper condition",R_Scores!P$5:P$44,R_Scores!P34),"")</f>
        <v/>
      </c>
      <c r="DN34" s="1" t="str">
        <f aca="false">IF(AND(R_Scores!$B34=1,OR(R_Scores!$C34="Tool condition",R_Scores!$C34="Paper condition"),ISNUMBER(R_Scores!P34)),(COUNTIFS(R_Scores!$B$5:$B$44,1,R_Scores!$C$5:$C$44,"Tool condition",R_Scores!P$5:P$44,R_Scores!P34)+COUNTIFS(R_Scores!$B$5:$B$44,1,R_Scores!$C$5:$C$44,"Paper condition",R_Scores!P$5:P$44,R_Scores!P34))^2-1,"")</f>
        <v/>
      </c>
      <c r="DO34" s="1" t="n">
        <f aca="false">IF(AND(R_Scores!$B34=2,R_Scores!$C34="Tool condition",ISNUMBER(R_Scores!P34)),COUNTIFS(R_Scores!$B$5:$B$44,2,R_Scores!$C$5:$C$44,"Paper condition",R_Scores!P$5:P$44,"&lt;"&amp;R_Scores!P34)+0.5*COUNTIFS(R_Scores!$B$5:$B$44,2,R_Scores!$C$5:$C$44,"Paper condition",R_Scores!P$5:P$44,R_Scores!P34),"")</f>
        <v>9.5</v>
      </c>
      <c r="DP34" s="1" t="n">
        <f aca="false">IF(AND(R_Scores!$B34=2,OR(R_Scores!$C34="Tool condition",R_Scores!$C34="Paper condition"),ISNUMBER(R_Scores!P34)),(COUNTIFS(R_Scores!$B$5:$B$44,2,R_Scores!$C$5:$C$44,"Tool condition",R_Scores!P$5:P$44,R_Scores!P34)+COUNTIFS(R_Scores!$B$5:$B$44,2,R_Scores!$C$5:$C$44,"Paper condition",R_Scores!P$5:P$44,R_Scores!P34))^2-1,"")</f>
        <v>48</v>
      </c>
      <c r="DQ34" s="1" t="n">
        <f aca="false">IF(ISNUMBER(R_Scores!P34),R_Scores!P34^2,"")</f>
        <v>1</v>
      </c>
      <c r="DR34" s="1" t="str">
        <f aca="false">IF(AND(Scores!$B34=1,Scores!$C34="Tool condition",ISNUMBER(Scores!Q34)),COUNTIFS(Scores!$B$5:$B$44,1,Scores!$C$5:$C$44,"Paper condition",Scores!Q$5:Q$44,"&lt;"&amp;Scores!Q34)+0.5*COUNTIFS(Scores!$B$5:$B$44,1,Scores!$C$5:$C$44,"Paper condition",Scores!Q$5:Q$44,Scores!Q34),"")</f>
        <v/>
      </c>
      <c r="DS34" s="1" t="str">
        <f aca="false">IF(AND(Scores!$B34=1,OR(Scores!$C34="Tool condition",Scores!$C34="Paper condition"),ISNUMBER(Scores!Q34)),(COUNTIFS(Scores!$B$5:$B$44,1,Scores!$C$5:$C$44,"Tool condition",Scores!Q$5:Q$44,Scores!Q34)+COUNTIFS(Scores!$B$5:$B$44,1,Scores!$C$5:$C$44,"Paper condition",Scores!Q$5:Q$44,Scores!Q34))^2-1,"")</f>
        <v/>
      </c>
      <c r="DT34" s="1" t="n">
        <f aca="false">IF(AND(Scores!$B34=2,Scores!$C34="Tool condition",ISNUMBER(Scores!Q34)),COUNTIFS(Scores!$B$5:$B$44,2,Scores!$C$5:$C$44,"Paper condition",Scores!Q$5:Q$44,"&lt;"&amp;Scores!Q34)+0.5*COUNTIFS(Scores!$B$5:$B$44,2,Scores!$C$5:$C$44,"Paper condition",Scores!Q$5:Q$44,Scores!Q34),"")</f>
        <v>8</v>
      </c>
      <c r="DU34" s="1" t="n">
        <f aca="false">IF(AND(Scores!$B34=2,OR(Scores!$C34="Tool condition",Scores!$C34="Paper condition"),ISNUMBER(Scores!Q34)),(COUNTIFS(Scores!$B$5:$B$44,2,Scores!$C$5:$C$44,"Tool condition",Scores!Q$5:Q$44,Scores!Q34)+COUNTIFS(Scores!$B$5:$B$44,2,Scores!$C$5:$C$44,"Paper condition",Scores!Q$5:Q$44,Scores!Q34))^2-1,"")</f>
        <v>35</v>
      </c>
      <c r="DV34" s="1" t="n">
        <f aca="false">IF(ISNUMBER(Scores!Q34),Scores!Q34^2,"")</f>
        <v>289</v>
      </c>
      <c r="DW34" s="1" t="str">
        <f aca="false">IF(AND(Scores!$B34=1,Scores!$C34="Tool condition",ISNUMBER(Scores!R34)),COUNTIFS(Scores!$B$5:$B$44,1,Scores!$C$5:$C$44,"Paper condition",Scores!R$5:R$44,"&lt;"&amp;Scores!R34)+0.5*COUNTIFS(Scores!$B$5:$B$44,1,Scores!$C$5:$C$44,"Paper condition",Scores!R$5:R$44,Scores!R34),"")</f>
        <v/>
      </c>
      <c r="DX34" s="1" t="str">
        <f aca="false">IF(AND(Scores!$B34=1,OR(Scores!$C34="Tool condition",Scores!$C34="Paper condition"),ISNUMBER(Scores!R34)),(COUNTIFS(Scores!$B$5:$B$44,1,Scores!$C$5:$C$44,"Tool condition",Scores!R$5:R$44,Scores!R34)+COUNTIFS(Scores!$B$5:$B$44,1,Scores!$C$5:$C$44,"Paper condition",Scores!R$5:R$44,Scores!R34))^2-1,"")</f>
        <v/>
      </c>
      <c r="DY34" s="1" t="n">
        <f aca="false">IF(AND(Scores!$B34=2,Scores!$C34="Tool condition",ISNUMBER(Scores!R34)),COUNTIFS(Scores!$B$5:$B$44,2,Scores!$C$5:$C$44,"Paper condition",Scores!R$5:R$44,"&lt;"&amp;Scores!R34)+0.5*COUNTIFS(Scores!$B$5:$B$44,2,Scores!$C$5:$C$44,"Paper condition",Scores!R$5:R$44,Scores!R34),"")</f>
        <v>8.5</v>
      </c>
      <c r="DZ34" s="1" t="n">
        <f aca="false">IF(AND(Scores!$B34=2,OR(Scores!$C34="Tool condition",Scores!$C34="Paper condition"),ISNUMBER(Scores!R34)),(COUNTIFS(Scores!$B$5:$B$44,2,Scores!$C$5:$C$44,"Tool condition",Scores!R$5:R$44,Scores!R34)+COUNTIFS(Scores!$B$5:$B$44,2,Scores!$C$5:$C$44,"Paper condition",Scores!R$5:R$44,Scores!R34))^2-1,"")</f>
        <v>80</v>
      </c>
      <c r="EA34" s="1" t="n">
        <f aca="false">IF(ISNUMBER(Scores!R34),Scores!R34^2,"")</f>
        <v>100</v>
      </c>
      <c r="EB34" s="1" t="str">
        <f aca="false">IF(AND(Scores!$B34=1,Scores!$C34="Tool condition",ISNUMBER(Scores!S34)),COUNTIFS(Scores!$B$5:$B$44,1,Scores!$C$5:$C$44,"Paper condition",Scores!S$5:S$44,"&lt;"&amp;Scores!S34)+0.5*COUNTIFS(Scores!$B$5:$B$44,1,Scores!$C$5:$C$44,"Paper condition",Scores!S$5:S$44,Scores!S34),"")</f>
        <v/>
      </c>
      <c r="EC34" s="1" t="str">
        <f aca="false">IF(AND(Scores!$B34=1,OR(Scores!$C34="Tool condition",Scores!$C34="Paper condition"),ISNUMBER(Scores!S34)),(COUNTIFS(Scores!$B$5:$B$44,1,Scores!$C$5:$C$44,"Tool condition",Scores!S$5:S$44,Scores!S34)+COUNTIFS(Scores!$B$5:$B$44,1,Scores!$C$5:$C$44,"Paper condition",Scores!S$5:S$44,Scores!S34))^2-1,"")</f>
        <v/>
      </c>
      <c r="ED34" s="1" t="n">
        <f aca="false">IF(AND(Scores!$B34=2,Scores!$C34="Tool condition",ISNUMBER(Scores!S34)),COUNTIFS(Scores!$B$5:$B$44,2,Scores!$C$5:$C$44,"Paper condition",Scores!S$5:S$44,"&lt;"&amp;Scores!S34)+0.5*COUNTIFS(Scores!$B$5:$B$44,2,Scores!$C$5:$C$44,"Paper condition",Scores!S$5:S$44,Scores!S34),"")</f>
        <v>5</v>
      </c>
      <c r="EE34" s="1" t="n">
        <f aca="false">IF(AND(Scores!$B34=2,OR(Scores!$C34="Tool condition",Scores!$C34="Paper condition"),ISNUMBER(Scores!S34)),(COUNTIFS(Scores!$B$5:$B$44,2,Scores!$C$5:$C$44,"Tool condition",Scores!S$5:S$44,Scores!S34)+COUNTIFS(Scores!$B$5:$B$44,2,Scores!$C$5:$C$44,"Paper condition",Scores!S$5:S$44,Scores!S34))^2-1,"")</f>
        <v>24</v>
      </c>
      <c r="EF34" s="1" t="n">
        <f aca="false">IF(ISNUMBER(Scores!S34),Scores!S34^2,"")</f>
        <v>49</v>
      </c>
      <c r="EG34" s="1" t="str">
        <f aca="false">IF(AND(Scores!$B34=1,Scores!$C34="Tool condition",ISNUMBER(Scores!T34)),COUNTIFS(Scores!$B$5:$B$44,1,Scores!$C$5:$C$44,"Paper condition",Scores!T$5:T$44,"&lt;"&amp;Scores!T34)+0.5*COUNTIFS(Scores!$B$5:$B$44,1,Scores!$C$5:$C$44,"Paper condition",Scores!T$5:T$44,Scores!T34),"")</f>
        <v/>
      </c>
      <c r="EH34" s="1" t="str">
        <f aca="false">IF(AND(Scores!$B34=1,OR(Scores!$C34="Tool condition",Scores!$C34="Paper condition"),ISNUMBER(Scores!T34)),(COUNTIFS(Scores!$B$5:$B$44,1,Scores!$C$5:$C$44,"Tool condition",Scores!T$5:T$44,Scores!T34)+COUNTIFS(Scores!$B$5:$B$44,1,Scores!$C$5:$C$44,"Paper condition",Scores!T$5:T$44,Scores!T34))^2-1,"")</f>
        <v/>
      </c>
      <c r="EI34" s="1" t="n">
        <f aca="false">IF(AND(Scores!$B34=2,Scores!$C34="Tool condition",ISNUMBER(Scores!T34)),COUNTIFS(Scores!$B$5:$B$44,2,Scores!$C$5:$C$44,"Paper condition",Scores!T$5:T$44,"&lt;"&amp;Scores!T34)+0.5*COUNTIFS(Scores!$B$5:$B$44,2,Scores!$C$5:$C$44,"Paper condition",Scores!T$5:T$44,Scores!T34),"")</f>
        <v>6</v>
      </c>
      <c r="EJ34" s="1" t="n">
        <f aca="false">IF(AND(Scores!$B34=2,OR(Scores!$C34="Tool condition",Scores!$C34="Paper condition"),ISNUMBER(Scores!T34)),(COUNTIFS(Scores!$B$5:$B$44,2,Scores!$C$5:$C$44,"Tool condition",Scores!T$5:T$44,Scores!T34)+COUNTIFS(Scores!$B$5:$B$44,2,Scores!$C$5:$C$44,"Paper condition",Scores!T$5:T$44,Scores!T34))^2-1,"")</f>
        <v>80</v>
      </c>
      <c r="EK34" s="1" t="n">
        <f aca="false">IF(ISNUMBER(Scores!T34),Scores!T34^2,"")</f>
        <v>36</v>
      </c>
      <c r="EL34" s="1" t="str">
        <f aca="false">IF(AND(Scores!$B34=1,Scores!$C34="Tool condition",ISNUMBER(Scores!U34)),COUNTIFS(Scores!$B$5:$B$44,1,Scores!$C$5:$C$44,"Paper condition",Scores!U$5:U$44,"&lt;"&amp;Scores!U34)+0.5*COUNTIFS(Scores!$B$5:$B$44,1,Scores!$C$5:$C$44,"Paper condition",Scores!U$5:U$44,Scores!U34),"")</f>
        <v/>
      </c>
      <c r="EM34" s="1" t="str">
        <f aca="false">IF(AND(Scores!$B34=1,OR(Scores!$C34="Tool condition",Scores!$C34="Paper condition"),ISNUMBER(Scores!U34)),(COUNTIFS(Scores!$B$5:$B$44,1,Scores!$C$5:$C$44,"Tool condition",Scores!U$5:U$44,Scores!U34)+COUNTIFS(Scores!$B$5:$B$44,1,Scores!$C$5:$C$44,"Paper condition",Scores!U$5:U$44,Scores!U34))^2-1,"")</f>
        <v/>
      </c>
      <c r="EN34" s="1" t="n">
        <f aca="false">IF(AND(Scores!$B34=2,Scores!$C34="Tool condition",ISNUMBER(Scores!U34)),COUNTIFS(Scores!$B$5:$B$44,2,Scores!$C$5:$C$44,"Paper condition",Scores!U$5:U$44,"&lt;"&amp;Scores!U34)+0.5*COUNTIFS(Scores!$B$5:$B$44,2,Scores!$C$5:$C$44,"Paper condition",Scores!U$5:U$44,Scores!U34),"")</f>
        <v>7.5</v>
      </c>
      <c r="EO34" s="1" t="n">
        <f aca="false">IF(AND(Scores!$B34=2,OR(Scores!$C34="Tool condition",Scores!$C34="Paper condition"),ISNUMBER(Scores!U34)),(COUNTIFS(Scores!$B$5:$B$44,2,Scores!$C$5:$C$44,"Tool condition",Scores!U$5:U$44,Scores!U34)+COUNTIFS(Scores!$B$5:$B$44,2,Scores!$C$5:$C$44,"Paper condition",Scores!U$5:U$44,Scores!U34))^2-1,"")</f>
        <v>35</v>
      </c>
      <c r="EP34" s="1" t="n">
        <f aca="false">IF(ISNUMBER(Scores!U34),Scores!U34^2,"")</f>
        <v>16</v>
      </c>
      <c r="EQ34" s="1" t="str">
        <f aca="false">IF(AND(Scores!$B34=1,Scores!$C34="Tool condition",ISNUMBER(Scores!V34)),COUNTIFS(Scores!$B$5:$B$44,1,Scores!$C$5:$C$44,"Paper condition",Scores!V$5:V$44,"&lt;"&amp;Scores!V34)+0.5*COUNTIFS(Scores!$B$5:$B$44,1,Scores!$C$5:$C$44,"Paper condition",Scores!V$5:V$44,Scores!V34),"")</f>
        <v/>
      </c>
      <c r="ER34" s="1" t="str">
        <f aca="false">IF(AND(Scores!$B34=1,OR(Scores!$C34="Tool condition",Scores!$C34="Paper condition"),ISNUMBER(Scores!V34)),(COUNTIFS(Scores!$B$5:$B$44,1,Scores!$C$5:$C$44,"Tool condition",Scores!V$5:V$44,Scores!V34)+COUNTIFS(Scores!$B$5:$B$44,1,Scores!$C$5:$C$44,"Paper condition",Scores!V$5:V$44,Scores!V34))^2-1,"")</f>
        <v/>
      </c>
      <c r="ES34" s="1" t="n">
        <f aca="false">IF(AND(Scores!$B34=2,Scores!$C34="Tool condition",ISNUMBER(Scores!V34)),COUNTIFS(Scores!$B$5:$B$44,2,Scores!$C$5:$C$44,"Paper condition",Scores!V$5:V$44,"&lt;"&amp;Scores!V34)+0.5*COUNTIFS(Scores!$B$5:$B$44,2,Scores!$C$5:$C$44,"Paper condition",Scores!V$5:V$44,Scores!V34),"")</f>
        <v>8</v>
      </c>
      <c r="ET34" s="1" t="n">
        <f aca="false">IF(AND(Scores!$B34=2,OR(Scores!$C34="Tool condition",Scores!$C34="Paper condition"),ISNUMBER(Scores!V34)),(COUNTIFS(Scores!$B$5:$B$44,2,Scores!$C$5:$C$44,"Tool condition",Scores!V$5:V$44,Scores!V34)+COUNTIFS(Scores!$B$5:$B$44,2,Scores!$C$5:$C$44,"Paper condition",Scores!V$5:V$44,Scores!V34))^2-1,"")</f>
        <v>48</v>
      </c>
      <c r="EU34" s="1" t="n">
        <f aca="false">IF(ISNUMBER(Scores!V34),Scores!V34^2,"")</f>
        <v>49</v>
      </c>
      <c r="EV34" s="1" t="str">
        <f aca="false">IF(AND(R_Scores!$B34=1,R_Scores!$C34="Tool condition",ISNUMBER(R_Scores!Q34)),COUNTIFS(R_Scores!$B$5:$B$44,1,R_Scores!$C$5:$C$44,"Paper condition",R_Scores!Q$5:Q$44,"&lt;"&amp;R_Scores!Q34)+0.5*COUNTIFS(R_Scores!$B$5:$B$44,1,R_Scores!$C$5:$C$44,"Paper condition",R_Scores!Q$5:Q$44,R_Scores!Q34),"")</f>
        <v/>
      </c>
      <c r="EW34" s="1" t="str">
        <f aca="false">IF(AND(R_Scores!$B34=1,OR(R_Scores!$C34="Tool condition",R_Scores!$C34="Paper condition"),ISNUMBER(R_Scores!Q34)),(COUNTIFS(R_Scores!$B$5:$B$44,1,R_Scores!$C$5:$C$44,"Tool condition",R_Scores!Q$5:Q$44,R_Scores!Q34)+COUNTIFS(R_Scores!$B$5:$B$44,1,R_Scores!$C$5:$C$44,"Paper condition",R_Scores!Q$5:Q$44,R_Scores!Q34))^2-1,"")</f>
        <v/>
      </c>
      <c r="EX34" s="1" t="n">
        <f aca="false">IF(AND(R_Scores!$B34=2,R_Scores!$C34="Tool condition",ISNUMBER(R_Scores!Q34)),COUNTIFS(R_Scores!$B$5:$B$44,2,R_Scores!$C$5:$C$44,"Paper condition",R_Scores!Q$5:Q$44,"&lt;"&amp;R_Scores!Q34)+0.5*COUNTIFS(R_Scores!$B$5:$B$44,2,R_Scores!$C$5:$C$44,"Paper condition",R_Scores!Q$5:Q$44,R_Scores!Q34),"")</f>
        <v>8.5</v>
      </c>
      <c r="EY34" s="1" t="n">
        <f aca="false">IF(AND(R_Scores!$B34=2,OR(R_Scores!$C34="Tool condition",R_Scores!$C34="Paper condition"),ISNUMBER(R_Scores!Q34)),(COUNTIFS(R_Scores!$B$5:$B$44,2,R_Scores!$C$5:$C$44,"Tool condition",R_Scores!Q$5:Q$44,R_Scores!Q34)+COUNTIFS(R_Scores!$B$5:$B$44,2,R_Scores!$C$5:$C$44,"Paper condition",R_Scores!Q$5:Q$44,R_Scores!Q34))^2-1,"")</f>
        <v>143</v>
      </c>
      <c r="EZ34" s="1" t="n">
        <f aca="false">IF(ISNUMBER(R_Scores!Q34),R_Scores!Q34^2,"")</f>
        <v>25</v>
      </c>
      <c r="FA34" s="1" t="str">
        <f aca="false">IF(AND(R_Scores!$B34=1,R_Scores!$C34="Tool condition",ISNUMBER(R_Scores!R34)),COUNTIFS(R_Scores!$B$5:$B$44,1,R_Scores!$C$5:$C$44,"Paper condition",R_Scores!R$5:R$44,"&lt;"&amp;R_Scores!R34)+0.5*COUNTIFS(R_Scores!$B$5:$B$44,1,R_Scores!$C$5:$C$44,"Paper condition",R_Scores!R$5:R$44,R_Scores!R34),"")</f>
        <v/>
      </c>
      <c r="FB34" s="1" t="str">
        <f aca="false">IF(AND(R_Scores!$B34=1,OR(R_Scores!$C34="Tool condition",R_Scores!$C34="Paper condition"),ISNUMBER(R_Scores!R34)),(COUNTIFS(R_Scores!$B$5:$B$44,1,R_Scores!$C$5:$C$44,"Tool condition",R_Scores!R$5:R$44,R_Scores!R34)+COUNTIFS(R_Scores!$B$5:$B$44,1,R_Scores!$C$5:$C$44,"Paper condition",R_Scores!R$5:R$44,R_Scores!R34))^2-1,"")</f>
        <v/>
      </c>
      <c r="FC34" s="1" t="n">
        <f aca="false">IF(AND(R_Scores!$B34=2,R_Scores!$C34="Tool condition",ISNUMBER(R_Scores!R34)),COUNTIFS(R_Scores!$B$5:$B$44,2,R_Scores!$C$5:$C$44,"Paper condition",R_Scores!R$5:R$44,"&lt;"&amp;R_Scores!R34)+0.5*COUNTIFS(R_Scores!$B$5:$B$44,2,R_Scores!$C$5:$C$44,"Paper condition",R_Scores!R$5:R$44,R_Scores!R34),"")</f>
        <v>8</v>
      </c>
      <c r="FD34" s="1" t="n">
        <f aca="false">IF(AND(R_Scores!$B34=2,OR(R_Scores!$C34="Tool condition",R_Scores!$C34="Paper condition"),ISNUMBER(R_Scores!R34)),(COUNTIFS(R_Scores!$B$5:$B$44,2,R_Scores!$C$5:$C$44,"Tool condition",R_Scores!R$5:R$44,R_Scores!R34)+COUNTIFS(R_Scores!$B$5:$B$44,2,R_Scores!$C$5:$C$44,"Paper condition",R_Scores!R$5:R$44,R_Scores!R34))^2-1,"")</f>
        <v>35</v>
      </c>
      <c r="FE34" s="1" t="n">
        <f aca="false">IF(ISNUMBER(R_Scores!R34),R_Scores!R34^2,"")</f>
        <v>484</v>
      </c>
    </row>
    <row r="35" customFormat="false" ht="14.25" hidden="false" customHeight="true" outlineLevel="0" collapsed="false">
      <c r="B35" s="1" t="str">
        <f aca="false">IF(AND(Scores!$B35=1,Scores!$C35="Tool condition",ISNUMBER(Scores!E35)),COUNTIFS(Scores!$B$5:$B$44,1,Scores!$C$5:$C$44,"Paper condition",Scores!E$5:E$44,"&lt;"&amp;Scores!E35)+0.5*COUNTIFS(Scores!$B$5:$B$44,1,Scores!$C$5:$C$44,"Paper condition",Scores!E$5:E$44,Scores!E35),"")</f>
        <v/>
      </c>
      <c r="C35" s="1" t="str">
        <f aca="false">IF(AND(Scores!$B35=1,OR(Scores!$C35="Tool condition",Scores!$C35="Paper condition"),ISNUMBER(Scores!E35)),(COUNTIFS(Scores!$B$5:$B$44,1,Scores!$C$5:$C$44,"Tool condition",Scores!E$5:E$44,Scores!E35)+COUNTIFS(Scores!$B$5:$B$44,1,Scores!$C$5:$C$44,"Paper condition",Scores!E$5:E$44,Scores!E35))^2-1,"")</f>
        <v/>
      </c>
      <c r="D35" s="1" t="str">
        <f aca="false">IF(AND(Scores!$B35=2,Scores!$C35="Tool condition",ISNUMBER(Scores!E35)),COUNTIFS(Scores!$B$5:$B$44,2,Scores!$C$5:$C$44,"Paper condition",Scores!E$5:E$44,"&lt;"&amp;Scores!E35)+0.5*COUNTIFS(Scores!$B$5:$B$44,2,Scores!$C$5:$C$44,"Paper condition",Scores!E$5:E$44,Scores!E35),"")</f>
        <v/>
      </c>
      <c r="E35" s="1" t="n">
        <f aca="false">IF(AND(Scores!$B35=2,OR(Scores!$C35="Tool condition",Scores!$C35="Paper condition"),ISNUMBER(Scores!E35)),(COUNTIFS(Scores!$B$5:$B$44,2,Scores!$C$5:$C$44,"Tool condition",Scores!E$5:E$44,Scores!E35)+COUNTIFS(Scores!$B$5:$B$44,2,Scores!$C$5:$C$44,"Paper condition",Scores!E$5:E$44,Scores!E35))^2-1,"")</f>
        <v>143</v>
      </c>
      <c r="F35" s="1" t="n">
        <f aca="false">IF(ISNUMBER(Scores!E35),Scores!E35^2,"")</f>
        <v>4</v>
      </c>
      <c r="G35" s="1" t="str">
        <f aca="false">IF(AND(Scores!$B35=1,Scores!$C35="Tool condition",ISNUMBER(Scores!F35)),COUNTIFS(Scores!$B$5:$B$44,1,Scores!$C$5:$C$44,"Paper condition",Scores!F$5:F$44,"&lt;"&amp;Scores!F35)+0.5*COUNTIFS(Scores!$B$5:$B$44,1,Scores!$C$5:$C$44,"Paper condition",Scores!F$5:F$44,Scores!F35),"")</f>
        <v/>
      </c>
      <c r="H35" s="1" t="str">
        <f aca="false">IF(AND(Scores!$B35=1,OR(Scores!$C35="Tool condition",Scores!$C35="Paper condition"),ISNUMBER(Scores!F35)),(COUNTIFS(Scores!$B$5:$B$44,1,Scores!$C$5:$C$44,"Tool condition",Scores!F$5:F$44,Scores!F35)+COUNTIFS(Scores!$B$5:$B$44,1,Scores!$C$5:$C$44,"Paper condition",Scores!F$5:F$44,Scores!F35))^2-1,"")</f>
        <v/>
      </c>
      <c r="I35" s="1" t="str">
        <f aca="false">IF(AND(Scores!$B35=2,Scores!$C35="Tool condition",ISNUMBER(Scores!F35)),COUNTIFS(Scores!$B$5:$B$44,2,Scores!$C$5:$C$44,"Paper condition",Scores!F$5:F$44,"&lt;"&amp;Scores!F35)+0.5*COUNTIFS(Scores!$B$5:$B$44,2,Scores!$C$5:$C$44,"Paper condition",Scores!F$5:F$44,Scores!F35),"")</f>
        <v/>
      </c>
      <c r="J35" s="1" t="n">
        <f aca="false">IF(AND(Scores!$B35=2,OR(Scores!$C35="Tool condition",Scores!$C35="Paper condition"),ISNUMBER(Scores!F35)),(COUNTIFS(Scores!$B$5:$B$44,2,Scores!$C$5:$C$44,"Tool condition",Scores!F$5:F$44,Scores!F35)+COUNTIFS(Scores!$B$5:$B$44,2,Scores!$C$5:$C$44,"Paper condition",Scores!F$5:F$44,Scores!F35))^2-1,"")</f>
        <v>63</v>
      </c>
      <c r="K35" s="1" t="n">
        <f aca="false">IF(ISNUMBER(Scores!F35),Scores!F35^2,"")</f>
        <v>1</v>
      </c>
      <c r="L35" s="1" t="str">
        <f aca="false">IF(AND(Scores!$B35=1,Scores!$C35="Tool condition",ISNUMBER(Scores!G35)),COUNTIFS(Scores!$B$5:$B$44,1,Scores!$C$5:$C$44,"Paper condition",Scores!G$5:G$44,"&lt;"&amp;Scores!G35)+0.5*COUNTIFS(Scores!$B$5:$B$44,1,Scores!$C$5:$C$44,"Paper condition",Scores!G$5:G$44,Scores!G35),"")</f>
        <v/>
      </c>
      <c r="M35" s="1" t="str">
        <f aca="false">IF(AND(Scores!$B35=1,OR(Scores!$C35="Tool condition",Scores!$C35="Paper condition"),ISNUMBER(Scores!G35)),(COUNTIFS(Scores!$B$5:$B$44,1,Scores!$C$5:$C$44,"Tool condition",Scores!G$5:G$44,Scores!G35)+COUNTIFS(Scores!$B$5:$B$44,1,Scores!$C$5:$C$44,"Paper condition",Scores!G$5:G$44,Scores!G35))^2-1,"")</f>
        <v/>
      </c>
      <c r="N35" s="1" t="str">
        <f aca="false">IF(AND(Scores!$B35=2,Scores!$C35="Tool condition",ISNUMBER(Scores!G35)),COUNTIFS(Scores!$B$5:$B$44,2,Scores!$C$5:$C$44,"Paper condition",Scores!G$5:G$44,"&lt;"&amp;Scores!G35)+0.5*COUNTIFS(Scores!$B$5:$B$44,2,Scores!$C$5:$C$44,"Paper condition",Scores!G$5:G$44,Scores!G35),"")</f>
        <v/>
      </c>
      <c r="O35" s="1" t="n">
        <f aca="false">IF(AND(Scores!$B35=2,OR(Scores!$C35="Tool condition",Scores!$C35="Paper condition"),ISNUMBER(Scores!G35)),(COUNTIFS(Scores!$B$5:$B$44,2,Scores!$C$5:$C$44,"Tool condition",Scores!G$5:G$44,Scores!G35)+COUNTIFS(Scores!$B$5:$B$44,2,Scores!$C$5:$C$44,"Paper condition",Scores!G$5:G$44,Scores!G35))^2-1,"")</f>
        <v>195</v>
      </c>
      <c r="P35" s="1" t="n">
        <f aca="false">IF(ISNUMBER(Scores!G35),Scores!G35^2,"")</f>
        <v>4</v>
      </c>
      <c r="Q35" s="1" t="str">
        <f aca="false">IF(AND(Scores!$B35=1,Scores!$C35="Tool condition",ISNUMBER(Scores!H35)),COUNTIFS(Scores!$B$5:$B$44,1,Scores!$C$5:$C$44,"Paper condition",Scores!H$5:H$44,"&lt;"&amp;Scores!H35)+0.5*COUNTIFS(Scores!$B$5:$B$44,1,Scores!$C$5:$C$44,"Paper condition",Scores!H$5:H$44,Scores!H35),"")</f>
        <v/>
      </c>
      <c r="R35" s="1" t="str">
        <f aca="false">IF(AND(Scores!$B35=1,OR(Scores!$C35="Tool condition",Scores!$C35="Paper condition"),ISNUMBER(Scores!H35)),(COUNTIFS(Scores!$B$5:$B$44,1,Scores!$C$5:$C$44,"Tool condition",Scores!H$5:H$44,Scores!H35)+COUNTIFS(Scores!$B$5:$B$44,1,Scores!$C$5:$C$44,"Paper condition",Scores!H$5:H$44,Scores!H35))^2-1,"")</f>
        <v/>
      </c>
      <c r="S35" s="1" t="str">
        <f aca="false">IF(AND(Scores!$B35=2,Scores!$C35="Tool condition",ISNUMBER(Scores!H35)),COUNTIFS(Scores!$B$5:$B$44,2,Scores!$C$5:$C$44,"Paper condition",Scores!H$5:H$44,"&lt;"&amp;Scores!H35)+0.5*COUNTIFS(Scores!$B$5:$B$44,2,Scores!$C$5:$C$44,"Paper condition",Scores!H$5:H$44,Scores!H35),"")</f>
        <v/>
      </c>
      <c r="T35" s="1" t="n">
        <f aca="false">IF(AND(Scores!$B35=2,OR(Scores!$C35="Tool condition",Scores!$C35="Paper condition"),ISNUMBER(Scores!H35)),(COUNTIFS(Scores!$B$5:$B$44,2,Scores!$C$5:$C$44,"Tool condition",Scores!H$5:H$44,Scores!H35)+COUNTIFS(Scores!$B$5:$B$44,2,Scores!$C$5:$C$44,"Paper condition",Scores!H$5:H$44,Scores!H35))^2-1,"")</f>
        <v>99</v>
      </c>
      <c r="U35" s="1" t="n">
        <f aca="false">IF(ISNUMBER(Scores!H35),Scores!H35^2,"")</f>
        <v>1</v>
      </c>
      <c r="V35" s="1" t="str">
        <f aca="false">IF(AND(Scores!$B35=1,Scores!$C35="Tool condition",ISNUMBER(Scores!I35)),COUNTIFS(Scores!$B$5:$B$44,1,Scores!$C$5:$C$44,"Paper condition",Scores!I$5:I$44,"&lt;"&amp;Scores!I35)+0.5*COUNTIFS(Scores!$B$5:$B$44,1,Scores!$C$5:$C$44,"Paper condition",Scores!I$5:I$44,Scores!I35),"")</f>
        <v/>
      </c>
      <c r="W35" s="1" t="str">
        <f aca="false">IF(AND(Scores!$B35=1,OR(Scores!$C35="Tool condition",Scores!$C35="Paper condition"),ISNUMBER(Scores!I35)),(COUNTIFS(Scores!$B$5:$B$44,1,Scores!$C$5:$C$44,"Tool condition",Scores!I$5:I$44,Scores!I35)+COUNTIFS(Scores!$B$5:$B$44,1,Scores!$C$5:$C$44,"Paper condition",Scores!I$5:I$44,Scores!I35))^2-1,"")</f>
        <v/>
      </c>
      <c r="X35" s="1" t="str">
        <f aca="false">IF(AND(Scores!$B35=2,Scores!$C35="Tool condition",ISNUMBER(Scores!I35)),COUNTIFS(Scores!$B$5:$B$44,2,Scores!$C$5:$C$44,"Paper condition",Scores!I$5:I$44,"&lt;"&amp;Scores!I35)+0.5*COUNTIFS(Scores!$B$5:$B$44,2,Scores!$C$5:$C$44,"Paper condition",Scores!I$5:I$44,Scores!I35),"")</f>
        <v/>
      </c>
      <c r="Y35" s="1" t="n">
        <f aca="false">IF(AND(Scores!$B35=2,OR(Scores!$C35="Tool condition",Scores!$C35="Paper condition"),ISNUMBER(Scores!I35)),(COUNTIFS(Scores!$B$5:$B$44,2,Scores!$C$5:$C$44,"Tool condition",Scores!I$5:I$44,Scores!I35)+COUNTIFS(Scores!$B$5:$B$44,2,Scores!$C$5:$C$44,"Paper condition",Scores!I$5:I$44,Scores!I35))^2-1,"")</f>
        <v>80</v>
      </c>
      <c r="Z35" s="1" t="n">
        <f aca="false">IF(ISNUMBER(Scores!I35),Scores!I35^2,"")</f>
        <v>1</v>
      </c>
      <c r="AA35" s="1" t="str">
        <f aca="false">IF(AND(Scores!$B35=1,Scores!$C35="Tool condition",ISNUMBER(Scores!J35)),COUNTIFS(Scores!$B$5:$B$44,1,Scores!$C$5:$C$44,"Paper condition",Scores!J$5:J$44,"&lt;"&amp;Scores!J35)+0.5*COUNTIFS(Scores!$B$5:$B$44,1,Scores!$C$5:$C$44,"Paper condition",Scores!J$5:J$44,Scores!J35),"")</f>
        <v/>
      </c>
      <c r="AB35" s="1" t="str">
        <f aca="false">IF(AND(Scores!$B35=1,OR(Scores!$C35="Tool condition",Scores!$C35="Paper condition"),ISNUMBER(Scores!J35)),(COUNTIFS(Scores!$B$5:$B$44,1,Scores!$C$5:$C$44,"Tool condition",Scores!J$5:J$44,Scores!J35)+COUNTIFS(Scores!$B$5:$B$44,1,Scores!$C$5:$C$44,"Paper condition",Scores!J$5:J$44,Scores!J35))^2-1,"")</f>
        <v/>
      </c>
      <c r="AC35" s="1" t="str">
        <f aca="false">IF(AND(Scores!$B35=2,Scores!$C35="Tool condition",ISNUMBER(Scores!J35)),COUNTIFS(Scores!$B$5:$B$44,2,Scores!$C$5:$C$44,"Paper condition",Scores!J$5:J$44,"&lt;"&amp;Scores!J35)+0.5*COUNTIFS(Scores!$B$5:$B$44,2,Scores!$C$5:$C$44,"Paper condition",Scores!J$5:J$44,Scores!J35),"")</f>
        <v/>
      </c>
      <c r="AD35" s="1" t="n">
        <f aca="false">IF(AND(Scores!$B35=2,OR(Scores!$C35="Tool condition",Scores!$C35="Paper condition"),ISNUMBER(Scores!J35)),(COUNTIFS(Scores!$B$5:$B$44,2,Scores!$C$5:$C$44,"Tool condition",Scores!J$5:J$44,Scores!J35)+COUNTIFS(Scores!$B$5:$B$44,2,Scores!$C$5:$C$44,"Paper condition",Scores!J$5:J$44,Scores!J35))^2-1,"")</f>
        <v>120</v>
      </c>
      <c r="AE35" s="1" t="n">
        <f aca="false">IF(ISNUMBER(Scores!J35),Scores!J35^2,"")</f>
        <v>4</v>
      </c>
      <c r="AF35" s="1" t="str">
        <f aca="false">IF(AND(Scores!$B35=1,Scores!$C35="Tool condition",ISNUMBER(Scores!K35)),COUNTIFS(Scores!$B$5:$B$44,1,Scores!$C$5:$C$44,"Paper condition",Scores!K$5:K$44,"&lt;"&amp;Scores!K35)+0.5*COUNTIFS(Scores!$B$5:$B$44,1,Scores!$C$5:$C$44,"Paper condition",Scores!K$5:K$44,Scores!K35),"")</f>
        <v/>
      </c>
      <c r="AG35" s="1" t="str">
        <f aca="false">IF(AND(Scores!$B35=1,OR(Scores!$C35="Tool condition",Scores!$C35="Paper condition"),ISNUMBER(Scores!K35)),(COUNTIFS(Scores!$B$5:$B$44,1,Scores!$C$5:$C$44,"Tool condition",Scores!K$5:K$44,Scores!K35)+COUNTIFS(Scores!$B$5:$B$44,1,Scores!$C$5:$C$44,"Paper condition",Scores!K$5:K$44,Scores!K35))^2-1,"")</f>
        <v/>
      </c>
      <c r="AH35" s="1" t="str">
        <f aca="false">IF(AND(Scores!$B35=2,Scores!$C35="Tool condition",ISNUMBER(Scores!K35)),COUNTIFS(Scores!$B$5:$B$44,2,Scores!$C$5:$C$44,"Paper condition",Scores!K$5:K$44,"&lt;"&amp;Scores!K35)+0.5*COUNTIFS(Scores!$B$5:$B$44,2,Scores!$C$5:$C$44,"Paper condition",Scores!K$5:K$44,Scores!K35),"")</f>
        <v/>
      </c>
      <c r="AI35" s="1" t="n">
        <f aca="false">IF(AND(Scores!$B35=2,OR(Scores!$C35="Tool condition",Scores!$C35="Paper condition"),ISNUMBER(Scores!K35)),(COUNTIFS(Scores!$B$5:$B$44,2,Scores!$C$5:$C$44,"Tool condition",Scores!K$5:K$44,Scores!K35)+COUNTIFS(Scores!$B$5:$B$44,2,Scores!$C$5:$C$44,"Paper condition",Scores!K$5:K$44,Scores!K35))^2-1,"")</f>
        <v>120</v>
      </c>
      <c r="AJ35" s="1" t="n">
        <f aca="false">IF(ISNUMBER(Scores!K35),Scores!K35^2,"")</f>
        <v>1</v>
      </c>
      <c r="AK35" s="1" t="str">
        <f aca="false">IF(AND(Scores!$B35=1,Scores!$C35="Tool condition",ISNUMBER(Scores!L35)),COUNTIFS(Scores!$B$5:$B$44,1,Scores!$C$5:$C$44,"Paper condition",Scores!L$5:L$44,"&lt;"&amp;Scores!L35)+0.5*COUNTIFS(Scores!$B$5:$B$44,1,Scores!$C$5:$C$44,"Paper condition",Scores!L$5:L$44,Scores!L35),"")</f>
        <v/>
      </c>
      <c r="AL35" s="1" t="str">
        <f aca="false">IF(AND(Scores!$B35=1,OR(Scores!$C35="Tool condition",Scores!$C35="Paper condition"),ISNUMBER(Scores!L35)),(COUNTIFS(Scores!$B$5:$B$44,1,Scores!$C$5:$C$44,"Tool condition",Scores!L$5:L$44,Scores!L35)+COUNTIFS(Scores!$B$5:$B$44,1,Scores!$C$5:$C$44,"Paper condition",Scores!L$5:L$44,Scores!L35))^2-1,"")</f>
        <v/>
      </c>
      <c r="AM35" s="1" t="str">
        <f aca="false">IF(AND(Scores!$B35=2,Scores!$C35="Tool condition",ISNUMBER(Scores!L35)),COUNTIFS(Scores!$B$5:$B$44,2,Scores!$C$5:$C$44,"Paper condition",Scores!L$5:L$44,"&lt;"&amp;Scores!L35)+0.5*COUNTIFS(Scores!$B$5:$B$44,2,Scores!$C$5:$C$44,"Paper condition",Scores!L$5:L$44,Scores!L35),"")</f>
        <v/>
      </c>
      <c r="AN35" s="1" t="n">
        <f aca="false">IF(AND(Scores!$B35=2,OR(Scores!$C35="Tool condition",Scores!$C35="Paper condition"),ISNUMBER(Scores!L35)),(COUNTIFS(Scores!$B$5:$B$44,2,Scores!$C$5:$C$44,"Tool condition",Scores!L$5:L$44,Scores!L35)+COUNTIFS(Scores!$B$5:$B$44,2,Scores!$C$5:$C$44,"Paper condition",Scores!L$5:L$44,Scores!L35))^2-1,"")</f>
        <v>99</v>
      </c>
      <c r="AO35" s="1" t="n">
        <f aca="false">IF(ISNUMBER(Scores!L35),Scores!L35^2,"")</f>
        <v>1</v>
      </c>
      <c r="AP35" s="1" t="str">
        <f aca="false">IF(AND(Scores!$B35=1,Scores!$C35="Tool condition",ISNUMBER(Scores!M35)),COUNTIFS(Scores!$B$5:$B$44,1,Scores!$C$5:$C$44,"Paper condition",Scores!M$5:M$44,"&lt;"&amp;Scores!M35)+0.5*COUNTIFS(Scores!$B$5:$B$44,1,Scores!$C$5:$C$44,"Paper condition",Scores!M$5:M$44,Scores!M35),"")</f>
        <v/>
      </c>
      <c r="AQ35" s="1" t="str">
        <f aca="false">IF(AND(Scores!$B35=1,OR(Scores!$C35="Tool condition",Scores!$C35="Paper condition"),ISNUMBER(Scores!M35)),(COUNTIFS(Scores!$B$5:$B$44,1,Scores!$C$5:$C$44,"Tool condition",Scores!M$5:M$44,Scores!M35)+COUNTIFS(Scores!$B$5:$B$44,1,Scores!$C$5:$C$44,"Paper condition",Scores!M$5:M$44,Scores!M35))^2-1,"")</f>
        <v/>
      </c>
      <c r="AR35" s="1" t="str">
        <f aca="false">IF(AND(Scores!$B35=2,Scores!$C35="Tool condition",ISNUMBER(Scores!M35)),COUNTIFS(Scores!$B$5:$B$44,2,Scores!$C$5:$C$44,"Paper condition",Scores!M$5:M$44,"&lt;"&amp;Scores!M35)+0.5*COUNTIFS(Scores!$B$5:$B$44,2,Scores!$C$5:$C$44,"Paper condition",Scores!M$5:M$44,Scores!M35),"")</f>
        <v/>
      </c>
      <c r="AS35" s="1" t="n">
        <f aca="false">IF(AND(Scores!$B35=2,OR(Scores!$C35="Tool condition",Scores!$C35="Paper condition"),ISNUMBER(Scores!M35)),(COUNTIFS(Scores!$B$5:$B$44,2,Scores!$C$5:$C$44,"Tool condition",Scores!M$5:M$44,Scores!M35)+COUNTIFS(Scores!$B$5:$B$44,2,Scores!$C$5:$C$44,"Paper condition",Scores!M$5:M$44,Scores!M35))^2-1,"")</f>
        <v>63</v>
      </c>
      <c r="AT35" s="1" t="n">
        <f aca="false">IF(ISNUMBER(Scores!M35),Scores!M35^2,"")</f>
        <v>4</v>
      </c>
      <c r="AU35" s="1" t="str">
        <f aca="false">IF(AND(Scores!$B35=1,Scores!$C35="Tool condition",ISNUMBER(Scores!N35)),COUNTIFS(Scores!$B$5:$B$44,1,Scores!$C$5:$C$44,"Paper condition",Scores!N$5:N$44,"&lt;"&amp;Scores!N35)+0.5*COUNTIFS(Scores!$B$5:$B$44,1,Scores!$C$5:$C$44,"Paper condition",Scores!N$5:N$44,Scores!N35),"")</f>
        <v/>
      </c>
      <c r="AV35" s="1" t="str">
        <f aca="false">IF(AND(Scores!$B35=1,OR(Scores!$C35="Tool condition",Scores!$C35="Paper condition"),ISNUMBER(Scores!N35)),(COUNTIFS(Scores!$B$5:$B$44,1,Scores!$C$5:$C$44,"Tool condition",Scores!N$5:N$44,Scores!N35)+COUNTIFS(Scores!$B$5:$B$44,1,Scores!$C$5:$C$44,"Paper condition",Scores!N$5:N$44,Scores!N35))^2-1,"")</f>
        <v/>
      </c>
      <c r="AW35" s="1" t="str">
        <f aca="false">IF(AND(Scores!$B35=2,Scores!$C35="Tool condition",ISNUMBER(Scores!N35)),COUNTIFS(Scores!$B$5:$B$44,2,Scores!$C$5:$C$44,"Paper condition",Scores!N$5:N$44,"&lt;"&amp;Scores!N35)+0.5*COUNTIFS(Scores!$B$5:$B$44,2,Scores!$C$5:$C$44,"Paper condition",Scores!N$5:N$44,Scores!N35),"")</f>
        <v/>
      </c>
      <c r="AX35" s="1" t="n">
        <f aca="false">IF(AND(Scores!$B35=2,OR(Scores!$C35="Tool condition",Scores!$C35="Paper condition"),ISNUMBER(Scores!N35)),(COUNTIFS(Scores!$B$5:$B$44,2,Scores!$C$5:$C$44,"Tool condition",Scores!N$5:N$44,Scores!N35)+COUNTIFS(Scores!$B$5:$B$44,2,Scores!$C$5:$C$44,"Paper condition",Scores!N$5:N$44,Scores!N35))^2-1,"")</f>
        <v>80</v>
      </c>
      <c r="AY35" s="1" t="n">
        <f aca="false">IF(ISNUMBER(Scores!N35),Scores!N35^2,"")</f>
        <v>1</v>
      </c>
      <c r="AZ35" s="1" t="str">
        <f aca="false">IF(AND(Scores!$B35=1,Scores!$C35="Tool condition",ISNUMBER(Scores!O35)),COUNTIFS(Scores!$B$5:$B$44,1,Scores!$C$5:$C$44,"Paper condition",Scores!O$5:O$44,"&lt;"&amp;Scores!O35)+0.5*COUNTIFS(Scores!$B$5:$B$44,1,Scores!$C$5:$C$44,"Paper condition",Scores!O$5:O$44,Scores!O35),"")</f>
        <v/>
      </c>
      <c r="BA35" s="1" t="str">
        <f aca="false">IF(AND(Scores!$B35=1,OR(Scores!$C35="Tool condition",Scores!$C35="Paper condition"),ISNUMBER(Scores!O35)),(COUNTIFS(Scores!$B$5:$B$44,1,Scores!$C$5:$C$44,"Tool condition",Scores!O$5:O$44,Scores!O35)+COUNTIFS(Scores!$B$5:$B$44,1,Scores!$C$5:$C$44,"Paper condition",Scores!O$5:O$44,Scores!O35))^2-1,"")</f>
        <v/>
      </c>
      <c r="BB35" s="1" t="str">
        <f aca="false">IF(AND(Scores!$B35=2,Scores!$C35="Tool condition",ISNUMBER(Scores!O35)),COUNTIFS(Scores!$B$5:$B$44,2,Scores!$C$5:$C$44,"Paper condition",Scores!O$5:O$44,"&lt;"&amp;Scores!O35)+0.5*COUNTIFS(Scores!$B$5:$B$44,2,Scores!$C$5:$C$44,"Paper condition",Scores!O$5:O$44,Scores!O35),"")</f>
        <v/>
      </c>
      <c r="BC35" s="1" t="n">
        <f aca="false">IF(AND(Scores!$B35=2,OR(Scores!$C35="Tool condition",Scores!$C35="Paper condition"),ISNUMBER(Scores!O35)),(COUNTIFS(Scores!$B$5:$B$44,2,Scores!$C$5:$C$44,"Tool condition",Scores!O$5:O$44,Scores!O35)+COUNTIFS(Scores!$B$5:$B$44,2,Scores!$C$5:$C$44,"Paper condition",Scores!O$5:O$44,Scores!O35))^2-1,"")</f>
        <v>120</v>
      </c>
      <c r="BD35" s="1" t="n">
        <f aca="false">IF(ISNUMBER(Scores!O35),Scores!O35^2,"")</f>
        <v>1</v>
      </c>
      <c r="BE35" s="1" t="str">
        <f aca="false">IF(AND(Scores!$B35=1,Scores!$C35="Tool condition",ISNUMBER(Scores!P35)),COUNTIFS(Scores!$B$5:$B$44,1,Scores!$C$5:$C$44,"Paper condition",Scores!P$5:P$44,"&lt;"&amp;Scores!P35)+0.5*COUNTIFS(Scores!$B$5:$B$44,1,Scores!$C$5:$C$44,"Paper condition",Scores!P$5:P$44,Scores!P35),"")</f>
        <v/>
      </c>
      <c r="BF35" s="1" t="str">
        <f aca="false">IF(AND(Scores!$B35=1,OR(Scores!$C35="Tool condition",Scores!$C35="Paper condition"),ISNUMBER(Scores!P35)),(COUNTIFS(Scores!$B$5:$B$44,1,Scores!$C$5:$C$44,"Tool condition",Scores!P$5:P$44,Scores!P35)+COUNTIFS(Scores!$B$5:$B$44,1,Scores!$C$5:$C$44,"Paper condition",Scores!P$5:P$44,Scores!P35))^2-1,"")</f>
        <v/>
      </c>
      <c r="BG35" s="1" t="str">
        <f aca="false">IF(AND(Scores!$B35=2,Scores!$C35="Tool condition",ISNUMBER(Scores!P35)),COUNTIFS(Scores!$B$5:$B$44,2,Scores!$C$5:$C$44,"Paper condition",Scores!P$5:P$44,"&lt;"&amp;Scores!P35)+0.5*COUNTIFS(Scores!$B$5:$B$44,2,Scores!$C$5:$C$44,"Paper condition",Scores!P$5:P$44,Scores!P35),"")</f>
        <v/>
      </c>
      <c r="BH35" s="1" t="n">
        <f aca="false">IF(AND(Scores!$B35=2,OR(Scores!$C35="Tool condition",Scores!$C35="Paper condition"),ISNUMBER(Scores!P35)),(COUNTIFS(Scores!$B$5:$B$44,2,Scores!$C$5:$C$44,"Tool condition",Scores!P$5:P$44,Scores!P35)+COUNTIFS(Scores!$B$5:$B$44,2,Scores!$C$5:$C$44,"Paper condition",Scores!P$5:P$44,Scores!P35))^2-1,"")</f>
        <v>63</v>
      </c>
      <c r="BI35" s="1" t="n">
        <f aca="false">IF(ISNUMBER(Scores!P35),Scores!P35^2,"")</f>
        <v>0</v>
      </c>
      <c r="BJ35" s="1" t="str">
        <f aca="false">IF(AND(R_Scores!$B35=1,R_Scores!$C35="Tool condition",ISNUMBER(R_Scores!E35)),COUNTIFS(R_Scores!$B$5:$B$44,1,R_Scores!$C$5:$C$44,"Paper condition",R_Scores!E$5:E$44,"&lt;"&amp;R_Scores!E35)+0.5*COUNTIFS(R_Scores!$B$5:$B$44,1,R_Scores!$C$5:$C$44,"Paper condition",R_Scores!E$5:E$44,R_Scores!E35),"")</f>
        <v/>
      </c>
      <c r="BK35" s="1" t="str">
        <f aca="false">IF(AND(R_Scores!$B35=1,OR(R_Scores!$C35="Tool condition",R_Scores!$C35="Paper condition"),ISNUMBER(R_Scores!E35)),(COUNTIFS(R_Scores!$B$5:$B$44,1,R_Scores!$C$5:$C$44,"Tool condition",R_Scores!E$5:E$44,R_Scores!E35)+COUNTIFS(R_Scores!$B$5:$B$44,1,R_Scores!$C$5:$C$44,"Paper condition",R_Scores!E$5:E$44,R_Scores!E35))^2-1,"")</f>
        <v/>
      </c>
      <c r="BL35" s="1" t="str">
        <f aca="false">IF(AND(R_Scores!$B35=2,R_Scores!$C35="Tool condition",ISNUMBER(R_Scores!E35)),COUNTIFS(R_Scores!$B$5:$B$44,2,R_Scores!$C$5:$C$44,"Paper condition",R_Scores!E$5:E$44,"&lt;"&amp;R_Scores!E35)+0.5*COUNTIFS(R_Scores!$B$5:$B$44,2,R_Scores!$C$5:$C$44,"Paper condition",R_Scores!E$5:E$44,R_Scores!E35),"")</f>
        <v/>
      </c>
      <c r="BM35" s="1" t="n">
        <f aca="false">IF(AND(R_Scores!$B35=2,OR(R_Scores!$C35="Tool condition",R_Scores!$C35="Paper condition"),ISNUMBER(R_Scores!E35)),(COUNTIFS(R_Scores!$B$5:$B$44,2,R_Scores!$C$5:$C$44,"Tool condition",R_Scores!E$5:E$44,R_Scores!E35)+COUNTIFS(R_Scores!$B$5:$B$44,2,R_Scores!$C$5:$C$44,"Paper condition",R_Scores!E$5:E$44,R_Scores!E35))^2-1,"")</f>
        <v>224</v>
      </c>
      <c r="BN35" s="1" t="n">
        <f aca="false">IF(ISNUMBER(R_Scores!E35),R_Scores!E35^2,"")</f>
        <v>1</v>
      </c>
      <c r="BO35" s="1" t="str">
        <f aca="false">IF(AND(R_Scores!$B35=1,R_Scores!$C35="Tool condition",ISNUMBER(R_Scores!F35)),COUNTIFS(R_Scores!$B$5:$B$44,1,R_Scores!$C$5:$C$44,"Paper condition",R_Scores!F$5:F$44,"&lt;"&amp;R_Scores!F35)+0.5*COUNTIFS(R_Scores!$B$5:$B$44,1,R_Scores!$C$5:$C$44,"Paper condition",R_Scores!F$5:F$44,R_Scores!F35),"")</f>
        <v/>
      </c>
      <c r="BP35" s="1" t="str">
        <f aca="false">IF(AND(R_Scores!$B35=1,OR(R_Scores!$C35="Tool condition",R_Scores!$C35="Paper condition"),ISNUMBER(R_Scores!F35)),(COUNTIFS(R_Scores!$B$5:$B$44,1,R_Scores!$C$5:$C$44,"Tool condition",R_Scores!F$5:F$44,R_Scores!F35)+COUNTIFS(R_Scores!$B$5:$B$44,1,R_Scores!$C$5:$C$44,"Paper condition",R_Scores!F$5:F$44,R_Scores!F35))^2-1,"")</f>
        <v/>
      </c>
      <c r="BQ35" s="1" t="str">
        <f aca="false">IF(AND(R_Scores!$B35=2,R_Scores!$C35="Tool condition",ISNUMBER(R_Scores!F35)),COUNTIFS(R_Scores!$B$5:$B$44,2,R_Scores!$C$5:$C$44,"Paper condition",R_Scores!F$5:F$44,"&lt;"&amp;R_Scores!F35)+0.5*COUNTIFS(R_Scores!$B$5:$B$44,2,R_Scores!$C$5:$C$44,"Paper condition",R_Scores!F$5:F$44,R_Scores!F35),"")</f>
        <v/>
      </c>
      <c r="BR35" s="1" t="n">
        <f aca="false">IF(AND(R_Scores!$B35=2,OR(R_Scores!$C35="Tool condition",R_Scores!$C35="Paper condition"),ISNUMBER(R_Scores!F35)),(COUNTIFS(R_Scores!$B$5:$B$44,2,R_Scores!$C$5:$C$44,"Tool condition",R_Scores!F$5:F$44,R_Scores!F35)+COUNTIFS(R_Scores!$B$5:$B$44,2,R_Scores!$C$5:$C$44,"Paper condition",R_Scores!F$5:F$44,R_Scores!F35))^2-1,"")</f>
        <v>195</v>
      </c>
      <c r="BS35" s="1" t="n">
        <f aca="false">IF(ISNUMBER(R_Scores!F35),R_Scores!F35^2,"")</f>
        <v>1</v>
      </c>
      <c r="BT35" s="1" t="str">
        <f aca="false">IF(AND(R_Scores!$B35=1,R_Scores!$C35="Tool condition",ISNUMBER(R_Scores!G35)),COUNTIFS(R_Scores!$B$5:$B$44,1,R_Scores!$C$5:$C$44,"Paper condition",R_Scores!G$5:G$44,"&lt;"&amp;R_Scores!G35)+0.5*COUNTIFS(R_Scores!$B$5:$B$44,1,R_Scores!$C$5:$C$44,"Paper condition",R_Scores!G$5:G$44,R_Scores!G35),"")</f>
        <v/>
      </c>
      <c r="BU35" s="1" t="str">
        <f aca="false">IF(AND(R_Scores!$B35=1,OR(R_Scores!$C35="Tool condition",R_Scores!$C35="Paper condition"),ISNUMBER(R_Scores!G35)),(COUNTIFS(R_Scores!$B$5:$B$44,1,R_Scores!$C$5:$C$44,"Tool condition",R_Scores!G$5:G$44,R_Scores!G35)+COUNTIFS(R_Scores!$B$5:$B$44,1,R_Scores!$C$5:$C$44,"Paper condition",R_Scores!G$5:G$44,R_Scores!G35))^2-1,"")</f>
        <v/>
      </c>
      <c r="BV35" s="1" t="str">
        <f aca="false">IF(AND(R_Scores!$B35=2,R_Scores!$C35="Tool condition",ISNUMBER(R_Scores!G35)),COUNTIFS(R_Scores!$B$5:$B$44,2,R_Scores!$C$5:$C$44,"Paper condition",R_Scores!G$5:G$44,"&lt;"&amp;R_Scores!G35)+0.5*COUNTIFS(R_Scores!$B$5:$B$44,2,R_Scores!$C$5:$C$44,"Paper condition",R_Scores!G$5:G$44,R_Scores!G35),"")</f>
        <v/>
      </c>
      <c r="BW35" s="1" t="str">
        <f aca="false">IF(AND(R_Scores!$B35=2,OR(R_Scores!$C35="Tool condition",R_Scores!$C35="Paper condition"),ISNUMBER(R_Scores!G35)),(COUNTIFS(R_Scores!$B$5:$B$44,2,R_Scores!$C$5:$C$44,"Tool condition",R_Scores!G$5:G$44,R_Scores!G35)+COUNTIFS(R_Scores!$B$5:$B$44,2,R_Scores!$C$5:$C$44,"Paper condition",R_Scores!G$5:G$44,R_Scores!G35))^2-1,"")</f>
        <v/>
      </c>
      <c r="BX35" s="1" t="str">
        <f aca="false">IF(ISNUMBER(R_Scores!G35),R_Scores!G35^2,"")</f>
        <v/>
      </c>
      <c r="BY35" s="1" t="str">
        <f aca="false">IF(AND(R_Scores!$B35=1,R_Scores!$C35="Tool condition",ISNUMBER(R_Scores!H35)),COUNTIFS(R_Scores!$B$5:$B$44,1,R_Scores!$C$5:$C$44,"Paper condition",R_Scores!H$5:H$44,"&lt;"&amp;R_Scores!H35)+0.5*COUNTIFS(R_Scores!$B$5:$B$44,1,R_Scores!$C$5:$C$44,"Paper condition",R_Scores!H$5:H$44,R_Scores!H35),"")</f>
        <v/>
      </c>
      <c r="BZ35" s="1" t="str">
        <f aca="false">IF(AND(R_Scores!$B35=1,OR(R_Scores!$C35="Tool condition",R_Scores!$C35="Paper condition"),ISNUMBER(R_Scores!H35)),(COUNTIFS(R_Scores!$B$5:$B$44,1,R_Scores!$C$5:$C$44,"Tool condition",R_Scores!H$5:H$44,R_Scores!H35)+COUNTIFS(R_Scores!$B$5:$B$44,1,R_Scores!$C$5:$C$44,"Paper condition",R_Scores!H$5:H$44,R_Scores!H35))^2-1,"")</f>
        <v/>
      </c>
      <c r="CA35" s="1" t="str">
        <f aca="false">IF(AND(R_Scores!$B35=2,R_Scores!$C35="Tool condition",ISNUMBER(R_Scores!H35)),COUNTIFS(R_Scores!$B$5:$B$44,2,R_Scores!$C$5:$C$44,"Paper condition",R_Scores!H$5:H$44,"&lt;"&amp;R_Scores!H35)+0.5*COUNTIFS(R_Scores!$B$5:$B$44,2,R_Scores!$C$5:$C$44,"Paper condition",R_Scores!H$5:H$44,R_Scores!H35),"")</f>
        <v/>
      </c>
      <c r="CB35" s="1" t="str">
        <f aca="false">IF(AND(R_Scores!$B35=2,OR(R_Scores!$C35="Tool condition",R_Scores!$C35="Paper condition"),ISNUMBER(R_Scores!H35)),(COUNTIFS(R_Scores!$B$5:$B$44,2,R_Scores!$C$5:$C$44,"Tool condition",R_Scores!H$5:H$44,R_Scores!H35)+COUNTIFS(R_Scores!$B$5:$B$44,2,R_Scores!$C$5:$C$44,"Paper condition",R_Scores!H$5:H$44,R_Scores!H35))^2-1,"")</f>
        <v/>
      </c>
      <c r="CC35" s="1" t="str">
        <f aca="false">IF(ISNUMBER(R_Scores!H35),R_Scores!H35^2,"")</f>
        <v/>
      </c>
      <c r="CD35" s="1" t="str">
        <f aca="false">IF(AND(R_Scores!$B35=1,R_Scores!$C35="Tool condition",ISNUMBER(R_Scores!I35)),COUNTIFS(R_Scores!$B$5:$B$44,1,R_Scores!$C$5:$C$44,"Paper condition",R_Scores!I$5:I$44,"&lt;"&amp;R_Scores!I35)+0.5*COUNTIFS(R_Scores!$B$5:$B$44,1,R_Scores!$C$5:$C$44,"Paper condition",R_Scores!I$5:I$44,R_Scores!I35),"")</f>
        <v/>
      </c>
      <c r="CE35" s="1" t="str">
        <f aca="false">IF(AND(R_Scores!$B35=1,OR(R_Scores!$C35="Tool condition",R_Scores!$C35="Paper condition"),ISNUMBER(R_Scores!I35)),(COUNTIFS(R_Scores!$B$5:$B$44,1,R_Scores!$C$5:$C$44,"Tool condition",R_Scores!I$5:I$44,R_Scores!I35)+COUNTIFS(R_Scores!$B$5:$B$44,1,R_Scores!$C$5:$C$44,"Paper condition",R_Scores!I$5:I$44,R_Scores!I35))^2-1,"")</f>
        <v/>
      </c>
      <c r="CF35" s="1" t="str">
        <f aca="false">IF(AND(R_Scores!$B35=2,R_Scores!$C35="Tool condition",ISNUMBER(R_Scores!I35)),COUNTIFS(R_Scores!$B$5:$B$44,2,R_Scores!$C$5:$C$44,"Paper condition",R_Scores!I$5:I$44,"&lt;"&amp;R_Scores!I35)+0.5*COUNTIFS(R_Scores!$B$5:$B$44,2,R_Scores!$C$5:$C$44,"Paper condition",R_Scores!I$5:I$44,R_Scores!I35),"")</f>
        <v/>
      </c>
      <c r="CG35" s="1" t="n">
        <f aca="false">IF(AND(R_Scores!$B35=2,OR(R_Scores!$C35="Tool condition",R_Scores!$C35="Paper condition"),ISNUMBER(R_Scores!I35)),(COUNTIFS(R_Scores!$B$5:$B$44,2,R_Scores!$C$5:$C$44,"Tool condition",R_Scores!I$5:I$44,R_Scores!I35)+COUNTIFS(R_Scores!$B$5:$B$44,2,R_Scores!$C$5:$C$44,"Paper condition",R_Scores!I$5:I$44,R_Scores!I35))^2-1,"")</f>
        <v>255</v>
      </c>
      <c r="CH35" s="1" t="n">
        <f aca="false">IF(ISNUMBER(R_Scores!I35),R_Scores!I35^2,"")</f>
        <v>1</v>
      </c>
      <c r="CI35" s="1" t="str">
        <f aca="false">IF(AND(R_Scores!$B35=1,R_Scores!$C35="Tool condition",ISNUMBER(R_Scores!J35)),COUNTIFS(R_Scores!$B$5:$B$44,1,R_Scores!$C$5:$C$44,"Paper condition",R_Scores!J$5:J$44,"&lt;"&amp;R_Scores!J35)+0.5*COUNTIFS(R_Scores!$B$5:$B$44,1,R_Scores!$C$5:$C$44,"Paper condition",R_Scores!J$5:J$44,R_Scores!J35),"")</f>
        <v/>
      </c>
      <c r="CJ35" s="1" t="str">
        <f aca="false">IF(AND(R_Scores!$B35=1,OR(R_Scores!$C35="Tool condition",R_Scores!$C35="Paper condition"),ISNUMBER(R_Scores!J35)),(COUNTIFS(R_Scores!$B$5:$B$44,1,R_Scores!$C$5:$C$44,"Tool condition",R_Scores!J$5:J$44,R_Scores!J35)+COUNTIFS(R_Scores!$B$5:$B$44,1,R_Scores!$C$5:$C$44,"Paper condition",R_Scores!J$5:J$44,R_Scores!J35))^2-1,"")</f>
        <v/>
      </c>
      <c r="CK35" s="1" t="str">
        <f aca="false">IF(AND(R_Scores!$B35=2,R_Scores!$C35="Tool condition",ISNUMBER(R_Scores!J35)),COUNTIFS(R_Scores!$B$5:$B$44,2,R_Scores!$C$5:$C$44,"Paper condition",R_Scores!J$5:J$44,"&lt;"&amp;R_Scores!J35)+0.5*COUNTIFS(R_Scores!$B$5:$B$44,2,R_Scores!$C$5:$C$44,"Paper condition",R_Scores!J$5:J$44,R_Scores!J35),"")</f>
        <v/>
      </c>
      <c r="CL35" s="1" t="n">
        <f aca="false">IF(AND(R_Scores!$B35=2,OR(R_Scores!$C35="Tool condition",R_Scores!$C35="Paper condition"),ISNUMBER(R_Scores!J35)),(COUNTIFS(R_Scores!$B$5:$B$44,2,R_Scores!$C$5:$C$44,"Tool condition",R_Scores!J$5:J$44,R_Scores!J35)+COUNTIFS(R_Scores!$B$5:$B$44,2,R_Scores!$C$5:$C$44,"Paper condition",R_Scores!J$5:J$44,R_Scores!J35))^2-1,"")</f>
        <v>35</v>
      </c>
      <c r="CM35" s="1" t="n">
        <f aca="false">IF(ISNUMBER(R_Scores!J35),R_Scores!J35^2,"")</f>
        <v>0</v>
      </c>
      <c r="CN35" s="1" t="str">
        <f aca="false">IF(AND(R_Scores!$B35=1,R_Scores!$C35="Tool condition",ISNUMBER(R_Scores!K35)),COUNTIFS(R_Scores!$B$5:$B$44,1,R_Scores!$C$5:$C$44,"Paper condition",R_Scores!K$5:K$44,"&lt;"&amp;R_Scores!K35)+0.5*COUNTIFS(R_Scores!$B$5:$B$44,1,R_Scores!$C$5:$C$44,"Paper condition",R_Scores!K$5:K$44,R_Scores!K35),"")</f>
        <v/>
      </c>
      <c r="CO35" s="1" t="str">
        <f aca="false">IF(AND(R_Scores!$B35=1,OR(R_Scores!$C35="Tool condition",R_Scores!$C35="Paper condition"),ISNUMBER(R_Scores!K35)),(COUNTIFS(R_Scores!$B$5:$B$44,1,R_Scores!$C$5:$C$44,"Tool condition",R_Scores!K$5:K$44,R_Scores!K35)+COUNTIFS(R_Scores!$B$5:$B$44,1,R_Scores!$C$5:$C$44,"Paper condition",R_Scores!K$5:K$44,R_Scores!K35))^2-1,"")</f>
        <v/>
      </c>
      <c r="CP35" s="1" t="str">
        <f aca="false">IF(AND(R_Scores!$B35=2,R_Scores!$C35="Tool condition",ISNUMBER(R_Scores!K35)),COUNTIFS(R_Scores!$B$5:$B$44,2,R_Scores!$C$5:$C$44,"Paper condition",R_Scores!K$5:K$44,"&lt;"&amp;R_Scores!K35)+0.5*COUNTIFS(R_Scores!$B$5:$B$44,2,R_Scores!$C$5:$C$44,"Paper condition",R_Scores!K$5:K$44,R_Scores!K35),"")</f>
        <v/>
      </c>
      <c r="CQ35" s="1" t="str">
        <f aca="false">IF(AND(R_Scores!$B35=2,OR(R_Scores!$C35="Tool condition",R_Scores!$C35="Paper condition"),ISNUMBER(R_Scores!K35)),(COUNTIFS(R_Scores!$B$5:$B$44,2,R_Scores!$C$5:$C$44,"Tool condition",R_Scores!K$5:K$44,R_Scores!K35)+COUNTIFS(R_Scores!$B$5:$B$44,2,R_Scores!$C$5:$C$44,"Paper condition",R_Scores!K$5:K$44,R_Scores!K35))^2-1,"")</f>
        <v/>
      </c>
      <c r="CR35" s="1" t="str">
        <f aca="false">IF(ISNUMBER(R_Scores!K35),R_Scores!K35^2,"")</f>
        <v/>
      </c>
      <c r="CS35" s="1" t="str">
        <f aca="false">IF(AND(R_Scores!$B35=1,R_Scores!$C35="Tool condition",ISNUMBER(R_Scores!L35)),COUNTIFS(R_Scores!$B$5:$B$44,1,R_Scores!$C$5:$C$44,"Paper condition",R_Scores!L$5:L$44,"&lt;"&amp;R_Scores!L35)+0.5*COUNTIFS(R_Scores!$B$5:$B$44,1,R_Scores!$C$5:$C$44,"Paper condition",R_Scores!L$5:L$44,R_Scores!L35),"")</f>
        <v/>
      </c>
      <c r="CT35" s="1" t="str">
        <f aca="false">IF(AND(R_Scores!$B35=1,OR(R_Scores!$C35="Tool condition",R_Scores!$C35="Paper condition"),ISNUMBER(R_Scores!L35)),(COUNTIFS(R_Scores!$B$5:$B$44,1,R_Scores!$C$5:$C$44,"Tool condition",R_Scores!L$5:L$44,R_Scores!L35)+COUNTIFS(R_Scores!$B$5:$B$44,1,R_Scores!$C$5:$C$44,"Paper condition",R_Scores!L$5:L$44,R_Scores!L35))^2-1,"")</f>
        <v/>
      </c>
      <c r="CU35" s="1" t="str">
        <f aca="false">IF(AND(R_Scores!$B35=2,R_Scores!$C35="Tool condition",ISNUMBER(R_Scores!L35)),COUNTIFS(R_Scores!$B$5:$B$44,2,R_Scores!$C$5:$C$44,"Paper condition",R_Scores!L$5:L$44,"&lt;"&amp;R_Scores!L35)+0.5*COUNTIFS(R_Scores!$B$5:$B$44,2,R_Scores!$C$5:$C$44,"Paper condition",R_Scores!L$5:L$44,R_Scores!L35),"")</f>
        <v/>
      </c>
      <c r="CV35" s="1" t="str">
        <f aca="false">IF(AND(R_Scores!$B35=2,OR(R_Scores!$C35="Tool condition",R_Scores!$C35="Paper condition"),ISNUMBER(R_Scores!L35)),(COUNTIFS(R_Scores!$B$5:$B$44,2,R_Scores!$C$5:$C$44,"Tool condition",R_Scores!L$5:L$44,R_Scores!L35)+COUNTIFS(R_Scores!$B$5:$B$44,2,R_Scores!$C$5:$C$44,"Paper condition",R_Scores!L$5:L$44,R_Scores!L35))^2-1,"")</f>
        <v/>
      </c>
      <c r="CW35" s="1" t="str">
        <f aca="false">IF(ISNUMBER(R_Scores!L35),R_Scores!L35^2,"")</f>
        <v/>
      </c>
      <c r="CX35" s="1" t="str">
        <f aca="false">IF(AND(R_Scores!$B35=1,R_Scores!$C35="Tool condition",ISNUMBER(R_Scores!M35)),COUNTIFS(R_Scores!$B$5:$B$44,1,R_Scores!$C$5:$C$44,"Paper condition",R_Scores!M$5:M$44,"&lt;"&amp;R_Scores!M35)+0.5*COUNTIFS(R_Scores!$B$5:$B$44,1,R_Scores!$C$5:$C$44,"Paper condition",R_Scores!M$5:M$44,R_Scores!M35),"")</f>
        <v/>
      </c>
      <c r="CY35" s="1" t="str">
        <f aca="false">IF(AND(R_Scores!$B35=1,OR(R_Scores!$C35="Tool condition",R_Scores!$C35="Paper condition"),ISNUMBER(R_Scores!M35)),(COUNTIFS(R_Scores!$B$5:$B$44,1,R_Scores!$C$5:$C$44,"Tool condition",R_Scores!M$5:M$44,R_Scores!M35)+COUNTIFS(R_Scores!$B$5:$B$44,1,R_Scores!$C$5:$C$44,"Paper condition",R_Scores!M$5:M$44,R_Scores!M35))^2-1,"")</f>
        <v/>
      </c>
      <c r="CZ35" s="1" t="str">
        <f aca="false">IF(AND(R_Scores!$B35=2,R_Scores!$C35="Tool condition",ISNUMBER(R_Scores!M35)),COUNTIFS(R_Scores!$B$5:$B$44,2,R_Scores!$C$5:$C$44,"Paper condition",R_Scores!M$5:M$44,"&lt;"&amp;R_Scores!M35)+0.5*COUNTIFS(R_Scores!$B$5:$B$44,2,R_Scores!$C$5:$C$44,"Paper condition",R_Scores!M$5:M$44,R_Scores!M35),"")</f>
        <v/>
      </c>
      <c r="DA35" s="1" t="str">
        <f aca="false">IF(AND(R_Scores!$B35=2,OR(R_Scores!$C35="Tool condition",R_Scores!$C35="Paper condition"),ISNUMBER(R_Scores!M35)),(COUNTIFS(R_Scores!$B$5:$B$44,2,R_Scores!$C$5:$C$44,"Tool condition",R_Scores!M$5:M$44,R_Scores!M35)+COUNTIFS(R_Scores!$B$5:$B$44,2,R_Scores!$C$5:$C$44,"Paper condition",R_Scores!M$5:M$44,R_Scores!M35))^2-1,"")</f>
        <v/>
      </c>
      <c r="DB35" s="1" t="str">
        <f aca="false">IF(ISNUMBER(R_Scores!M35),R_Scores!M35^2,"")</f>
        <v/>
      </c>
      <c r="DC35" s="1" t="str">
        <f aca="false">IF(AND(R_Scores!$B35=1,R_Scores!$C35="Tool condition",ISNUMBER(R_Scores!N35)),COUNTIFS(R_Scores!$B$5:$B$44,1,R_Scores!$C$5:$C$44,"Paper condition",R_Scores!N$5:N$44,"&lt;"&amp;R_Scores!N35)+0.5*COUNTIFS(R_Scores!$B$5:$B$44,1,R_Scores!$C$5:$C$44,"Paper condition",R_Scores!N$5:N$44,R_Scores!N35),"")</f>
        <v/>
      </c>
      <c r="DD35" s="1" t="str">
        <f aca="false">IF(AND(R_Scores!$B35=1,OR(R_Scores!$C35="Tool condition",R_Scores!$C35="Paper condition"),ISNUMBER(R_Scores!N35)),(COUNTIFS(R_Scores!$B$5:$B$44,1,R_Scores!$C$5:$C$44,"Tool condition",R_Scores!N$5:N$44,R_Scores!N35)+COUNTIFS(R_Scores!$B$5:$B$44,1,R_Scores!$C$5:$C$44,"Paper condition",R_Scores!N$5:N$44,R_Scores!N35))^2-1,"")</f>
        <v/>
      </c>
      <c r="DE35" s="1" t="str">
        <f aca="false">IF(AND(R_Scores!$B35=2,R_Scores!$C35="Tool condition",ISNUMBER(R_Scores!N35)),COUNTIFS(R_Scores!$B$5:$B$44,2,R_Scores!$C$5:$C$44,"Paper condition",R_Scores!N$5:N$44,"&lt;"&amp;R_Scores!N35)+0.5*COUNTIFS(R_Scores!$B$5:$B$44,2,R_Scores!$C$5:$C$44,"Paper condition",R_Scores!N$5:N$44,R_Scores!N35),"")</f>
        <v/>
      </c>
      <c r="DF35" s="1" t="n">
        <f aca="false">IF(AND(R_Scores!$B35=2,OR(R_Scores!$C35="Tool condition",R_Scores!$C35="Paper condition"),ISNUMBER(R_Scores!N35)),(COUNTIFS(R_Scores!$B$5:$B$44,2,R_Scores!$C$5:$C$44,"Tool condition",R_Scores!N$5:N$44,R_Scores!N35)+COUNTIFS(R_Scores!$B$5:$B$44,2,R_Scores!$C$5:$C$44,"Paper condition",R_Scores!N$5:N$44,R_Scores!N35))^2-1,"")</f>
        <v>143</v>
      </c>
      <c r="DG35" s="1" t="n">
        <f aca="false">IF(ISNUMBER(R_Scores!N35),R_Scores!N35^2,"")</f>
        <v>1</v>
      </c>
      <c r="DH35" s="1" t="str">
        <f aca="false">IF(AND(R_Scores!$B35=1,R_Scores!$C35="Tool condition",ISNUMBER(R_Scores!O35)),COUNTIFS(R_Scores!$B$5:$B$44,1,R_Scores!$C$5:$C$44,"Paper condition",R_Scores!O$5:O$44,"&lt;"&amp;R_Scores!O35)+0.5*COUNTIFS(R_Scores!$B$5:$B$44,1,R_Scores!$C$5:$C$44,"Paper condition",R_Scores!O$5:O$44,R_Scores!O35),"")</f>
        <v/>
      </c>
      <c r="DI35" s="1" t="str">
        <f aca="false">IF(AND(R_Scores!$B35=1,OR(R_Scores!$C35="Tool condition",R_Scores!$C35="Paper condition"),ISNUMBER(R_Scores!O35)),(COUNTIFS(R_Scores!$B$5:$B$44,1,R_Scores!$C$5:$C$44,"Tool condition",R_Scores!O$5:O$44,R_Scores!O35)+COUNTIFS(R_Scores!$B$5:$B$44,1,R_Scores!$C$5:$C$44,"Paper condition",R_Scores!O$5:O$44,R_Scores!O35))^2-1,"")</f>
        <v/>
      </c>
      <c r="DJ35" s="1" t="str">
        <f aca="false">IF(AND(R_Scores!$B35=2,R_Scores!$C35="Tool condition",ISNUMBER(R_Scores!O35)),COUNTIFS(R_Scores!$B$5:$B$44,2,R_Scores!$C$5:$C$44,"Paper condition",R_Scores!O$5:O$44,"&lt;"&amp;R_Scores!O35)+0.5*COUNTIFS(R_Scores!$B$5:$B$44,2,R_Scores!$C$5:$C$44,"Paper condition",R_Scores!O$5:O$44,R_Scores!O35),"")</f>
        <v/>
      </c>
      <c r="DK35" s="1" t="n">
        <f aca="false">IF(AND(R_Scores!$B35=2,OR(R_Scores!$C35="Tool condition",R_Scores!$C35="Paper condition"),ISNUMBER(R_Scores!O35)),(COUNTIFS(R_Scores!$B$5:$B$44,2,R_Scores!$C$5:$C$44,"Tool condition",R_Scores!O$5:O$44,R_Scores!O35)+COUNTIFS(R_Scores!$B$5:$B$44,2,R_Scores!$C$5:$C$44,"Paper condition",R_Scores!O$5:O$44,R_Scores!O35))^2-1,"")</f>
        <v>48</v>
      </c>
      <c r="DL35" s="1" t="n">
        <f aca="false">IF(ISNUMBER(R_Scores!O35),R_Scores!O35^2,"")</f>
        <v>0</v>
      </c>
      <c r="DM35" s="1" t="str">
        <f aca="false">IF(AND(R_Scores!$B35=1,R_Scores!$C35="Tool condition",ISNUMBER(R_Scores!P35)),COUNTIFS(R_Scores!$B$5:$B$44,1,R_Scores!$C$5:$C$44,"Paper condition",R_Scores!P$5:P$44,"&lt;"&amp;R_Scores!P35)+0.5*COUNTIFS(R_Scores!$B$5:$B$44,1,R_Scores!$C$5:$C$44,"Paper condition",R_Scores!P$5:P$44,R_Scores!P35),"")</f>
        <v/>
      </c>
      <c r="DN35" s="1" t="str">
        <f aca="false">IF(AND(R_Scores!$B35=1,OR(R_Scores!$C35="Tool condition",R_Scores!$C35="Paper condition"),ISNUMBER(R_Scores!P35)),(COUNTIFS(R_Scores!$B$5:$B$44,1,R_Scores!$C$5:$C$44,"Tool condition",R_Scores!P$5:P$44,R_Scores!P35)+COUNTIFS(R_Scores!$B$5:$B$44,1,R_Scores!$C$5:$C$44,"Paper condition",R_Scores!P$5:P$44,R_Scores!P35))^2-1,"")</f>
        <v/>
      </c>
      <c r="DO35" s="1" t="str">
        <f aca="false">IF(AND(R_Scores!$B35=2,R_Scores!$C35="Tool condition",ISNUMBER(R_Scores!P35)),COUNTIFS(R_Scores!$B$5:$B$44,2,R_Scores!$C$5:$C$44,"Paper condition",R_Scores!P$5:P$44,"&lt;"&amp;R_Scores!P35)+0.5*COUNTIFS(R_Scores!$B$5:$B$44,2,R_Scores!$C$5:$C$44,"Paper condition",R_Scores!P$5:P$44,R_Scores!P35),"")</f>
        <v/>
      </c>
      <c r="DP35" s="1" t="n">
        <f aca="false">IF(AND(R_Scores!$B35=2,OR(R_Scores!$C35="Tool condition",R_Scores!$C35="Paper condition"),ISNUMBER(R_Scores!P35)),(COUNTIFS(R_Scores!$B$5:$B$44,2,R_Scores!$C$5:$C$44,"Tool condition",R_Scores!P$5:P$44,R_Scores!P35)+COUNTIFS(R_Scores!$B$5:$B$44,2,R_Scores!$C$5:$C$44,"Paper condition",R_Scores!P$5:P$44,R_Scores!P35))^2-1,"")</f>
        <v>168</v>
      </c>
      <c r="DQ35" s="1" t="n">
        <f aca="false">IF(ISNUMBER(R_Scores!P35),R_Scores!P35^2,"")</f>
        <v>0</v>
      </c>
      <c r="DR35" s="1" t="str">
        <f aca="false">IF(AND(Scores!$B35=1,Scores!$C35="Tool condition",ISNUMBER(Scores!Q35)),COUNTIFS(Scores!$B$5:$B$44,1,Scores!$C$5:$C$44,"Paper condition",Scores!Q$5:Q$44,"&lt;"&amp;Scores!Q35)+0.5*COUNTIFS(Scores!$B$5:$B$44,1,Scores!$C$5:$C$44,"Paper condition",Scores!Q$5:Q$44,Scores!Q35),"")</f>
        <v/>
      </c>
      <c r="DS35" s="1" t="str">
        <f aca="false">IF(AND(Scores!$B35=1,OR(Scores!$C35="Tool condition",Scores!$C35="Paper condition"),ISNUMBER(Scores!Q35)),(COUNTIFS(Scores!$B$5:$B$44,1,Scores!$C$5:$C$44,"Tool condition",Scores!Q$5:Q$44,Scores!Q35)+COUNTIFS(Scores!$B$5:$B$44,1,Scores!$C$5:$C$44,"Paper condition",Scores!Q$5:Q$44,Scores!Q35))^2-1,"")</f>
        <v/>
      </c>
      <c r="DT35" s="1" t="str">
        <f aca="false">IF(AND(Scores!$B35=2,Scores!$C35="Tool condition",ISNUMBER(Scores!Q35)),COUNTIFS(Scores!$B$5:$B$44,2,Scores!$C$5:$C$44,"Paper condition",Scores!Q$5:Q$44,"&lt;"&amp;Scores!Q35)+0.5*COUNTIFS(Scores!$B$5:$B$44,2,Scores!$C$5:$C$44,"Paper condition",Scores!Q$5:Q$44,Scores!Q35),"")</f>
        <v/>
      </c>
      <c r="DU35" s="1" t="n">
        <f aca="false">IF(AND(Scores!$B35=2,OR(Scores!$C35="Tool condition",Scores!$C35="Paper condition"),ISNUMBER(Scores!Q35)),(COUNTIFS(Scores!$B$5:$B$44,2,Scores!$C$5:$C$44,"Tool condition",Scores!Q$5:Q$44,Scores!Q35)+COUNTIFS(Scores!$B$5:$B$44,2,Scores!$C$5:$C$44,"Paper condition",Scores!Q$5:Q$44,Scores!Q35))^2-1,"")</f>
        <v>3</v>
      </c>
      <c r="DV35" s="1" t="n">
        <f aca="false">IF(ISNUMBER(Scores!Q35),Scores!Q35^2,"")</f>
        <v>225</v>
      </c>
      <c r="DW35" s="1" t="str">
        <f aca="false">IF(AND(Scores!$B35=1,Scores!$C35="Tool condition",ISNUMBER(Scores!R35)),COUNTIFS(Scores!$B$5:$B$44,1,Scores!$C$5:$C$44,"Paper condition",Scores!R$5:R$44,"&lt;"&amp;Scores!R35)+0.5*COUNTIFS(Scores!$B$5:$B$44,1,Scores!$C$5:$C$44,"Paper condition",Scores!R$5:R$44,Scores!R35),"")</f>
        <v/>
      </c>
      <c r="DX35" s="1" t="str">
        <f aca="false">IF(AND(Scores!$B35=1,OR(Scores!$C35="Tool condition",Scores!$C35="Paper condition"),ISNUMBER(Scores!R35)),(COUNTIFS(Scores!$B$5:$B$44,1,Scores!$C$5:$C$44,"Tool condition",Scores!R$5:R$44,Scores!R35)+COUNTIFS(Scores!$B$5:$B$44,1,Scores!$C$5:$C$44,"Paper condition",Scores!R$5:R$44,Scores!R35))^2-1,"")</f>
        <v/>
      </c>
      <c r="DY35" s="1" t="str">
        <f aca="false">IF(AND(Scores!$B35=2,Scores!$C35="Tool condition",ISNUMBER(Scores!R35)),COUNTIFS(Scores!$B$5:$B$44,2,Scores!$C$5:$C$44,"Paper condition",Scores!R$5:R$44,"&lt;"&amp;Scores!R35)+0.5*COUNTIFS(Scores!$B$5:$B$44,2,Scores!$C$5:$C$44,"Paper condition",Scores!R$5:R$44,Scores!R35),"")</f>
        <v/>
      </c>
      <c r="DZ35" s="1" t="n">
        <f aca="false">IF(AND(Scores!$B35=2,OR(Scores!$C35="Tool condition",Scores!$C35="Paper condition"),ISNUMBER(Scores!R35)),(COUNTIFS(Scores!$B$5:$B$44,2,Scores!$C$5:$C$44,"Tool condition",Scores!R$5:R$44,Scores!R35)+COUNTIFS(Scores!$B$5:$B$44,2,Scores!$C$5:$C$44,"Paper condition",Scores!R$5:R$44,Scores!R35))^2-1,"")</f>
        <v>3</v>
      </c>
      <c r="EA35" s="1" t="n">
        <f aca="false">IF(ISNUMBER(Scores!R35),Scores!R35^2,"")</f>
        <v>64</v>
      </c>
      <c r="EB35" s="1" t="str">
        <f aca="false">IF(AND(Scores!$B35=1,Scores!$C35="Tool condition",ISNUMBER(Scores!S35)),COUNTIFS(Scores!$B$5:$B$44,1,Scores!$C$5:$C$44,"Paper condition",Scores!S$5:S$44,"&lt;"&amp;Scores!S35)+0.5*COUNTIFS(Scores!$B$5:$B$44,1,Scores!$C$5:$C$44,"Paper condition",Scores!S$5:S$44,Scores!S35),"")</f>
        <v/>
      </c>
      <c r="EC35" s="1" t="str">
        <f aca="false">IF(AND(Scores!$B35=1,OR(Scores!$C35="Tool condition",Scores!$C35="Paper condition"),ISNUMBER(Scores!S35)),(COUNTIFS(Scores!$B$5:$B$44,1,Scores!$C$5:$C$44,"Tool condition",Scores!S$5:S$44,Scores!S35)+COUNTIFS(Scores!$B$5:$B$44,1,Scores!$C$5:$C$44,"Paper condition",Scores!S$5:S$44,Scores!S35))^2-1,"")</f>
        <v/>
      </c>
      <c r="ED35" s="1" t="str">
        <f aca="false">IF(AND(Scores!$B35=2,Scores!$C35="Tool condition",ISNUMBER(Scores!S35)),COUNTIFS(Scores!$B$5:$B$44,2,Scores!$C$5:$C$44,"Paper condition",Scores!S$5:S$44,"&lt;"&amp;Scores!S35)+0.5*COUNTIFS(Scores!$B$5:$B$44,2,Scores!$C$5:$C$44,"Paper condition",Scores!S$5:S$44,Scores!S35),"")</f>
        <v/>
      </c>
      <c r="EE35" s="1" t="n">
        <f aca="false">IF(AND(Scores!$B35=2,OR(Scores!$C35="Tool condition",Scores!$C35="Paper condition"),ISNUMBER(Scores!S35)),(COUNTIFS(Scores!$B$5:$B$44,2,Scores!$C$5:$C$44,"Tool condition",Scores!S$5:S$44,Scores!S35)+COUNTIFS(Scores!$B$5:$B$44,2,Scores!$C$5:$C$44,"Paper condition",Scores!S$5:S$44,Scores!S35))^2-1,"")</f>
        <v>24</v>
      </c>
      <c r="EF35" s="1" t="n">
        <f aca="false">IF(ISNUMBER(Scores!S35),Scores!S35^2,"")</f>
        <v>49</v>
      </c>
      <c r="EG35" s="1" t="str">
        <f aca="false">IF(AND(Scores!$B35=1,Scores!$C35="Tool condition",ISNUMBER(Scores!T35)),COUNTIFS(Scores!$B$5:$B$44,1,Scores!$C$5:$C$44,"Paper condition",Scores!T$5:T$44,"&lt;"&amp;Scores!T35)+0.5*COUNTIFS(Scores!$B$5:$B$44,1,Scores!$C$5:$C$44,"Paper condition",Scores!T$5:T$44,Scores!T35),"")</f>
        <v/>
      </c>
      <c r="EH35" s="1" t="str">
        <f aca="false">IF(AND(Scores!$B35=1,OR(Scores!$C35="Tool condition",Scores!$C35="Paper condition"),ISNUMBER(Scores!T35)),(COUNTIFS(Scores!$B$5:$B$44,1,Scores!$C$5:$C$44,"Tool condition",Scores!T$5:T$44,Scores!T35)+COUNTIFS(Scores!$B$5:$B$44,1,Scores!$C$5:$C$44,"Paper condition",Scores!T$5:T$44,Scores!T35))^2-1,"")</f>
        <v/>
      </c>
      <c r="EI35" s="1" t="str">
        <f aca="false">IF(AND(Scores!$B35=2,Scores!$C35="Tool condition",ISNUMBER(Scores!T35)),COUNTIFS(Scores!$B$5:$B$44,2,Scores!$C$5:$C$44,"Paper condition",Scores!T$5:T$44,"&lt;"&amp;Scores!T35)+0.5*COUNTIFS(Scores!$B$5:$B$44,2,Scores!$C$5:$C$44,"Paper condition",Scores!T$5:T$44,Scores!T35),"")</f>
        <v/>
      </c>
      <c r="EJ35" s="1" t="n">
        <f aca="false">IF(AND(Scores!$B35=2,OR(Scores!$C35="Tool condition",Scores!$C35="Paper condition"),ISNUMBER(Scores!T35)),(COUNTIFS(Scores!$B$5:$B$44,2,Scores!$C$5:$C$44,"Tool condition",Scores!T$5:T$44,Scores!T35)+COUNTIFS(Scores!$B$5:$B$44,2,Scores!$C$5:$C$44,"Paper condition",Scores!T$5:T$44,Scores!T35))^2-1,"")</f>
        <v>80</v>
      </c>
      <c r="EK35" s="1" t="n">
        <f aca="false">IF(ISNUMBER(Scores!T35),Scores!T35^2,"")</f>
        <v>36</v>
      </c>
      <c r="EL35" s="1" t="str">
        <f aca="false">IF(AND(Scores!$B35=1,Scores!$C35="Tool condition",ISNUMBER(Scores!U35)),COUNTIFS(Scores!$B$5:$B$44,1,Scores!$C$5:$C$44,"Paper condition",Scores!U$5:U$44,"&lt;"&amp;Scores!U35)+0.5*COUNTIFS(Scores!$B$5:$B$44,1,Scores!$C$5:$C$44,"Paper condition",Scores!U$5:U$44,Scores!U35),"")</f>
        <v/>
      </c>
      <c r="EM35" s="1" t="str">
        <f aca="false">IF(AND(Scores!$B35=1,OR(Scores!$C35="Tool condition",Scores!$C35="Paper condition"),ISNUMBER(Scores!U35)),(COUNTIFS(Scores!$B$5:$B$44,1,Scores!$C$5:$C$44,"Tool condition",Scores!U$5:U$44,Scores!U35)+COUNTIFS(Scores!$B$5:$B$44,1,Scores!$C$5:$C$44,"Paper condition",Scores!U$5:U$44,Scores!U35))^2-1,"")</f>
        <v/>
      </c>
      <c r="EN35" s="1" t="str">
        <f aca="false">IF(AND(Scores!$B35=2,Scores!$C35="Tool condition",ISNUMBER(Scores!U35)),COUNTIFS(Scores!$B$5:$B$44,2,Scores!$C$5:$C$44,"Paper condition",Scores!U$5:U$44,"&lt;"&amp;Scores!U35)+0.5*COUNTIFS(Scores!$B$5:$B$44,2,Scores!$C$5:$C$44,"Paper condition",Scores!U$5:U$44,Scores!U35),"")</f>
        <v/>
      </c>
      <c r="EO35" s="1" t="n">
        <f aca="false">IF(AND(Scores!$B35=2,OR(Scores!$C35="Tool condition",Scores!$C35="Paper condition"),ISNUMBER(Scores!U35)),(COUNTIFS(Scores!$B$5:$B$44,2,Scores!$C$5:$C$44,"Tool condition",Scores!U$5:U$44,Scores!U35)+COUNTIFS(Scores!$B$5:$B$44,2,Scores!$C$5:$C$44,"Paper condition",Scores!U$5:U$44,Scores!U35))^2-1,"")</f>
        <v>35</v>
      </c>
      <c r="EP35" s="1" t="n">
        <f aca="false">IF(ISNUMBER(Scores!U35),Scores!U35^2,"")</f>
        <v>9</v>
      </c>
      <c r="EQ35" s="1" t="str">
        <f aca="false">IF(AND(Scores!$B35=1,Scores!$C35="Tool condition",ISNUMBER(Scores!V35)),COUNTIFS(Scores!$B$5:$B$44,1,Scores!$C$5:$C$44,"Paper condition",Scores!V$5:V$44,"&lt;"&amp;Scores!V35)+0.5*COUNTIFS(Scores!$B$5:$B$44,1,Scores!$C$5:$C$44,"Paper condition",Scores!V$5:V$44,Scores!V35),"")</f>
        <v/>
      </c>
      <c r="ER35" s="1" t="str">
        <f aca="false">IF(AND(Scores!$B35=1,OR(Scores!$C35="Tool condition",Scores!$C35="Paper condition"),ISNUMBER(Scores!V35)),(COUNTIFS(Scores!$B$5:$B$44,1,Scores!$C$5:$C$44,"Tool condition",Scores!V$5:V$44,Scores!V35)+COUNTIFS(Scores!$B$5:$B$44,1,Scores!$C$5:$C$44,"Paper condition",Scores!V$5:V$44,Scores!V35))^2-1,"")</f>
        <v/>
      </c>
      <c r="ES35" s="1" t="str">
        <f aca="false">IF(AND(Scores!$B35=2,Scores!$C35="Tool condition",ISNUMBER(Scores!V35)),COUNTIFS(Scores!$B$5:$B$44,2,Scores!$C$5:$C$44,"Paper condition",Scores!V$5:V$44,"&lt;"&amp;Scores!V35)+0.5*COUNTIFS(Scores!$B$5:$B$44,2,Scores!$C$5:$C$44,"Paper condition",Scores!V$5:V$44,Scores!V35),"")</f>
        <v/>
      </c>
      <c r="ET35" s="1" t="n">
        <f aca="false">IF(AND(Scores!$B35=2,OR(Scores!$C35="Tool condition",Scores!$C35="Paper condition"),ISNUMBER(Scores!V35)),(COUNTIFS(Scores!$B$5:$B$44,2,Scores!$C$5:$C$44,"Tool condition",Scores!V$5:V$44,Scores!V35)+COUNTIFS(Scores!$B$5:$B$44,2,Scores!$C$5:$C$44,"Paper condition",Scores!V$5:V$44,Scores!V35))^2-1,"")</f>
        <v>15</v>
      </c>
      <c r="EU35" s="1" t="n">
        <f aca="false">IF(ISNUMBER(Scores!V35),Scores!V35^2,"")</f>
        <v>36</v>
      </c>
      <c r="EV35" s="1" t="str">
        <f aca="false">IF(AND(R_Scores!$B35=1,R_Scores!$C35="Tool condition",ISNUMBER(R_Scores!Q35)),COUNTIFS(R_Scores!$B$5:$B$44,1,R_Scores!$C$5:$C$44,"Paper condition",R_Scores!Q$5:Q$44,"&lt;"&amp;R_Scores!Q35)+0.5*COUNTIFS(R_Scores!$B$5:$B$44,1,R_Scores!$C$5:$C$44,"Paper condition",R_Scores!Q$5:Q$44,R_Scores!Q35),"")</f>
        <v/>
      </c>
      <c r="EW35" s="1" t="str">
        <f aca="false">IF(AND(R_Scores!$B35=1,OR(R_Scores!$C35="Tool condition",R_Scores!$C35="Paper condition"),ISNUMBER(R_Scores!Q35)),(COUNTIFS(R_Scores!$B$5:$B$44,1,R_Scores!$C$5:$C$44,"Tool condition",R_Scores!Q$5:Q$44,R_Scores!Q35)+COUNTIFS(R_Scores!$B$5:$B$44,1,R_Scores!$C$5:$C$44,"Paper condition",R_Scores!Q$5:Q$44,R_Scores!Q35))^2-1,"")</f>
        <v/>
      </c>
      <c r="EX35" s="1" t="str">
        <f aca="false">IF(AND(R_Scores!$B35=2,R_Scores!$C35="Tool condition",ISNUMBER(R_Scores!Q35)),COUNTIFS(R_Scores!$B$5:$B$44,2,R_Scores!$C$5:$C$44,"Paper condition",R_Scores!Q$5:Q$44,"&lt;"&amp;R_Scores!Q35)+0.5*COUNTIFS(R_Scores!$B$5:$B$44,2,R_Scores!$C$5:$C$44,"Paper condition",R_Scores!Q$5:Q$44,R_Scores!Q35),"")</f>
        <v/>
      </c>
      <c r="EY35" s="1" t="n">
        <f aca="false">IF(AND(R_Scores!$B35=2,OR(R_Scores!$C35="Tool condition",R_Scores!$C35="Paper condition"),ISNUMBER(R_Scores!Q35)),(COUNTIFS(R_Scores!$B$5:$B$44,2,R_Scores!$C$5:$C$44,"Tool condition",R_Scores!Q$5:Q$44,R_Scores!Q35)+COUNTIFS(R_Scores!$B$5:$B$44,2,R_Scores!$C$5:$C$44,"Paper condition",R_Scores!Q$5:Q$44,R_Scores!Q35))^2-1,"")</f>
        <v>8</v>
      </c>
      <c r="EZ35" s="1" t="n">
        <f aca="false">IF(ISNUMBER(R_Scores!Q35),R_Scores!Q35^2,"")</f>
        <v>16</v>
      </c>
      <c r="FA35" s="1" t="str">
        <f aca="false">IF(AND(R_Scores!$B35=1,R_Scores!$C35="Tool condition",ISNUMBER(R_Scores!R35)),COUNTIFS(R_Scores!$B$5:$B$44,1,R_Scores!$C$5:$C$44,"Paper condition",R_Scores!R$5:R$44,"&lt;"&amp;R_Scores!R35)+0.5*COUNTIFS(R_Scores!$B$5:$B$44,1,R_Scores!$C$5:$C$44,"Paper condition",R_Scores!R$5:R$44,R_Scores!R35),"")</f>
        <v/>
      </c>
      <c r="FB35" s="1" t="str">
        <f aca="false">IF(AND(R_Scores!$B35=1,OR(R_Scores!$C35="Tool condition",R_Scores!$C35="Paper condition"),ISNUMBER(R_Scores!R35)),(COUNTIFS(R_Scores!$B$5:$B$44,1,R_Scores!$C$5:$C$44,"Tool condition",R_Scores!R$5:R$44,R_Scores!R35)+COUNTIFS(R_Scores!$B$5:$B$44,1,R_Scores!$C$5:$C$44,"Paper condition",R_Scores!R$5:R$44,R_Scores!R35))^2-1,"")</f>
        <v/>
      </c>
      <c r="FC35" s="1" t="str">
        <f aca="false">IF(AND(R_Scores!$B35=2,R_Scores!$C35="Tool condition",ISNUMBER(R_Scores!R35)),COUNTIFS(R_Scores!$B$5:$B$44,2,R_Scores!$C$5:$C$44,"Paper condition",R_Scores!R$5:R$44,"&lt;"&amp;R_Scores!R35)+0.5*COUNTIFS(R_Scores!$B$5:$B$44,2,R_Scores!$C$5:$C$44,"Paper condition",R_Scores!R$5:R$44,R_Scores!R35),"")</f>
        <v/>
      </c>
      <c r="FD35" s="1" t="n">
        <f aca="false">IF(AND(R_Scores!$B35=2,OR(R_Scores!$C35="Tool condition",R_Scores!$C35="Paper condition"),ISNUMBER(R_Scores!R35)),(COUNTIFS(R_Scores!$B$5:$B$44,2,R_Scores!$C$5:$C$44,"Tool condition",R_Scores!R$5:R$44,R_Scores!R35)+COUNTIFS(R_Scores!$B$5:$B$44,2,R_Scores!$C$5:$C$44,"Paper condition",R_Scores!R$5:R$44,R_Scores!R35))^2-1,"")</f>
        <v>3</v>
      </c>
      <c r="FE35" s="1" t="n">
        <f aca="false">IF(ISNUMBER(R_Scores!R35),R_Scores!R35^2,"")</f>
        <v>361</v>
      </c>
    </row>
    <row r="36" customFormat="false" ht="14.25" hidden="false" customHeight="true" outlineLevel="0" collapsed="false">
      <c r="B36" s="1" t="str">
        <f aca="false">IF(AND(Scores!$B36=1,Scores!$C36="Tool condition",ISNUMBER(Scores!E36)),COUNTIFS(Scores!$B$5:$B$44,1,Scores!$C$5:$C$44,"Paper condition",Scores!E$5:E$44,"&lt;"&amp;Scores!E36)+0.5*COUNTIFS(Scores!$B$5:$B$44,1,Scores!$C$5:$C$44,"Paper condition",Scores!E$5:E$44,Scores!E36),"")</f>
        <v/>
      </c>
      <c r="C36" s="1" t="str">
        <f aca="false">IF(AND(Scores!$B36=1,OR(Scores!$C36="Tool condition",Scores!$C36="Paper condition"),ISNUMBER(Scores!E36)),(COUNTIFS(Scores!$B$5:$B$44,1,Scores!$C$5:$C$44,"Tool condition",Scores!E$5:E$44,Scores!E36)+COUNTIFS(Scores!$B$5:$B$44,1,Scores!$C$5:$C$44,"Paper condition",Scores!E$5:E$44,Scores!E36))^2-1,"")</f>
        <v/>
      </c>
      <c r="D36" s="1" t="str">
        <f aca="false">IF(AND(Scores!$B36=2,Scores!$C36="Tool condition",ISNUMBER(Scores!E36)),COUNTIFS(Scores!$B$5:$B$44,2,Scores!$C$5:$C$44,"Paper condition",Scores!E$5:E$44,"&lt;"&amp;Scores!E36)+0.5*COUNTIFS(Scores!$B$5:$B$44,2,Scores!$C$5:$C$44,"Paper condition",Scores!E$5:E$44,Scores!E36),"")</f>
        <v/>
      </c>
      <c r="E36" s="1" t="n">
        <f aca="false">IF(AND(Scores!$B36=2,OR(Scores!$C36="Tool condition",Scores!$C36="Paper condition"),ISNUMBER(Scores!E36)),(COUNTIFS(Scores!$B$5:$B$44,2,Scores!$C$5:$C$44,"Tool condition",Scores!E$5:E$44,Scores!E36)+COUNTIFS(Scores!$B$5:$B$44,2,Scores!$C$5:$C$44,"Paper condition",Scores!E$5:E$44,Scores!E36))^2-1,"")</f>
        <v>63</v>
      </c>
      <c r="F36" s="1" t="n">
        <f aca="false">IF(ISNUMBER(Scores!E36),Scores!E36^2,"")</f>
        <v>1</v>
      </c>
      <c r="G36" s="1" t="str">
        <f aca="false">IF(AND(Scores!$B36=1,Scores!$C36="Tool condition",ISNUMBER(Scores!F36)),COUNTIFS(Scores!$B$5:$B$44,1,Scores!$C$5:$C$44,"Paper condition",Scores!F$5:F$44,"&lt;"&amp;Scores!F36)+0.5*COUNTIFS(Scores!$B$5:$B$44,1,Scores!$C$5:$C$44,"Paper condition",Scores!F$5:F$44,Scores!F36),"")</f>
        <v/>
      </c>
      <c r="H36" s="1" t="str">
        <f aca="false">IF(AND(Scores!$B36=1,OR(Scores!$C36="Tool condition",Scores!$C36="Paper condition"),ISNUMBER(Scores!F36)),(COUNTIFS(Scores!$B$5:$B$44,1,Scores!$C$5:$C$44,"Tool condition",Scores!F$5:F$44,Scores!F36)+COUNTIFS(Scores!$B$5:$B$44,1,Scores!$C$5:$C$44,"Paper condition",Scores!F$5:F$44,Scores!F36))^2-1,"")</f>
        <v/>
      </c>
      <c r="I36" s="1" t="str">
        <f aca="false">IF(AND(Scores!$B36=2,Scores!$C36="Tool condition",ISNUMBER(Scores!F36)),COUNTIFS(Scores!$B$5:$B$44,2,Scores!$C$5:$C$44,"Paper condition",Scores!F$5:F$44,"&lt;"&amp;Scores!F36)+0.5*COUNTIFS(Scores!$B$5:$B$44,2,Scores!$C$5:$C$44,"Paper condition",Scores!F$5:F$44,Scores!F36),"")</f>
        <v/>
      </c>
      <c r="J36" s="1" t="n">
        <f aca="false">IF(AND(Scores!$B36=2,OR(Scores!$C36="Tool condition",Scores!$C36="Paper condition"),ISNUMBER(Scores!F36)),(COUNTIFS(Scores!$B$5:$B$44,2,Scores!$C$5:$C$44,"Tool condition",Scores!F$5:F$44,Scores!F36)+COUNTIFS(Scores!$B$5:$B$44,2,Scores!$C$5:$C$44,"Paper condition",Scores!F$5:F$44,Scores!F36))^2-1,"")</f>
        <v>120</v>
      </c>
      <c r="K36" s="1" t="n">
        <f aca="false">IF(ISNUMBER(Scores!F36),Scores!F36^2,"")</f>
        <v>4</v>
      </c>
      <c r="L36" s="1" t="str">
        <f aca="false">IF(AND(Scores!$B36=1,Scores!$C36="Tool condition",ISNUMBER(Scores!G36)),COUNTIFS(Scores!$B$5:$B$44,1,Scores!$C$5:$C$44,"Paper condition",Scores!G$5:G$44,"&lt;"&amp;Scores!G36)+0.5*COUNTIFS(Scores!$B$5:$B$44,1,Scores!$C$5:$C$44,"Paper condition",Scores!G$5:G$44,Scores!G36),"")</f>
        <v/>
      </c>
      <c r="M36" s="1" t="str">
        <f aca="false">IF(AND(Scores!$B36=1,OR(Scores!$C36="Tool condition",Scores!$C36="Paper condition"),ISNUMBER(Scores!G36)),(COUNTIFS(Scores!$B$5:$B$44,1,Scores!$C$5:$C$44,"Tool condition",Scores!G$5:G$44,Scores!G36)+COUNTIFS(Scores!$B$5:$B$44,1,Scores!$C$5:$C$44,"Paper condition",Scores!G$5:G$44,Scores!G36))^2-1,"")</f>
        <v/>
      </c>
      <c r="N36" s="1" t="str">
        <f aca="false">IF(AND(Scores!$B36=2,Scores!$C36="Tool condition",ISNUMBER(Scores!G36)),COUNTIFS(Scores!$B$5:$B$44,2,Scores!$C$5:$C$44,"Paper condition",Scores!G$5:G$44,"&lt;"&amp;Scores!G36)+0.5*COUNTIFS(Scores!$B$5:$B$44,2,Scores!$C$5:$C$44,"Paper condition",Scores!G$5:G$44,Scores!G36),"")</f>
        <v/>
      </c>
      <c r="O36" s="1" t="n">
        <f aca="false">IF(AND(Scores!$B36=2,OR(Scores!$C36="Tool condition",Scores!$C36="Paper condition"),ISNUMBER(Scores!G36)),(COUNTIFS(Scores!$B$5:$B$44,2,Scores!$C$5:$C$44,"Tool condition",Scores!G$5:G$44,Scores!G36)+COUNTIFS(Scores!$B$5:$B$44,2,Scores!$C$5:$C$44,"Paper condition",Scores!G$5:G$44,Scores!G36))^2-1,"")</f>
        <v>35</v>
      </c>
      <c r="P36" s="1" t="n">
        <f aca="false">IF(ISNUMBER(Scores!G36),Scores!G36^2,"")</f>
        <v>1</v>
      </c>
      <c r="Q36" s="1" t="str">
        <f aca="false">IF(AND(Scores!$B36=1,Scores!$C36="Tool condition",ISNUMBER(Scores!H36)),COUNTIFS(Scores!$B$5:$B$44,1,Scores!$C$5:$C$44,"Paper condition",Scores!H$5:H$44,"&lt;"&amp;Scores!H36)+0.5*COUNTIFS(Scores!$B$5:$B$44,1,Scores!$C$5:$C$44,"Paper condition",Scores!H$5:H$44,Scores!H36),"")</f>
        <v/>
      </c>
      <c r="R36" s="1" t="str">
        <f aca="false">IF(AND(Scores!$B36=1,OR(Scores!$C36="Tool condition",Scores!$C36="Paper condition"),ISNUMBER(Scores!H36)),(COUNTIFS(Scores!$B$5:$B$44,1,Scores!$C$5:$C$44,"Tool condition",Scores!H$5:H$44,Scores!H36)+COUNTIFS(Scores!$B$5:$B$44,1,Scores!$C$5:$C$44,"Paper condition",Scores!H$5:H$44,Scores!H36))^2-1,"")</f>
        <v/>
      </c>
      <c r="S36" s="1" t="str">
        <f aca="false">IF(AND(Scores!$B36=2,Scores!$C36="Tool condition",ISNUMBER(Scores!H36)),COUNTIFS(Scores!$B$5:$B$44,2,Scores!$C$5:$C$44,"Paper condition",Scores!H$5:H$44,"&lt;"&amp;Scores!H36)+0.5*COUNTIFS(Scores!$B$5:$B$44,2,Scores!$C$5:$C$44,"Paper condition",Scores!H$5:H$44,Scores!H36),"")</f>
        <v/>
      </c>
      <c r="T36" s="1" t="n">
        <f aca="false">IF(AND(Scores!$B36=2,OR(Scores!$C36="Tool condition",Scores!$C36="Paper condition"),ISNUMBER(Scores!H36)),(COUNTIFS(Scores!$B$5:$B$44,2,Scores!$C$5:$C$44,"Tool condition",Scores!H$5:H$44,Scores!H36)+COUNTIFS(Scores!$B$5:$B$44,2,Scores!$C$5:$C$44,"Paper condition",Scores!H$5:H$44,Scores!H36))^2-1,"")</f>
        <v>99</v>
      </c>
      <c r="U36" s="1" t="n">
        <f aca="false">IF(ISNUMBER(Scores!H36),Scores!H36^2,"")</f>
        <v>4</v>
      </c>
      <c r="V36" s="1" t="str">
        <f aca="false">IF(AND(Scores!$B36=1,Scores!$C36="Tool condition",ISNUMBER(Scores!I36)),COUNTIFS(Scores!$B$5:$B$44,1,Scores!$C$5:$C$44,"Paper condition",Scores!I$5:I$44,"&lt;"&amp;Scores!I36)+0.5*COUNTIFS(Scores!$B$5:$B$44,1,Scores!$C$5:$C$44,"Paper condition",Scores!I$5:I$44,Scores!I36),"")</f>
        <v/>
      </c>
      <c r="W36" s="1" t="str">
        <f aca="false">IF(AND(Scores!$B36=1,OR(Scores!$C36="Tool condition",Scores!$C36="Paper condition"),ISNUMBER(Scores!I36)),(COUNTIFS(Scores!$B$5:$B$44,1,Scores!$C$5:$C$44,"Tool condition",Scores!I$5:I$44,Scores!I36)+COUNTIFS(Scores!$B$5:$B$44,1,Scores!$C$5:$C$44,"Paper condition",Scores!I$5:I$44,Scores!I36))^2-1,"")</f>
        <v/>
      </c>
      <c r="X36" s="1" t="str">
        <f aca="false">IF(AND(Scores!$B36=2,Scores!$C36="Tool condition",ISNUMBER(Scores!I36)),COUNTIFS(Scores!$B$5:$B$44,2,Scores!$C$5:$C$44,"Paper condition",Scores!I$5:I$44,"&lt;"&amp;Scores!I36)+0.5*COUNTIFS(Scores!$B$5:$B$44,2,Scores!$C$5:$C$44,"Paper condition",Scores!I$5:I$44,Scores!I36),"")</f>
        <v/>
      </c>
      <c r="Y36" s="1" t="n">
        <f aca="false">IF(AND(Scores!$B36=2,OR(Scores!$C36="Tool condition",Scores!$C36="Paper condition"),ISNUMBER(Scores!I36)),(COUNTIFS(Scores!$B$5:$B$44,2,Scores!$C$5:$C$44,"Tool condition",Scores!I$5:I$44,Scores!I36)+COUNTIFS(Scores!$B$5:$B$44,2,Scores!$C$5:$C$44,"Paper condition",Scores!I$5:I$44,Scores!I36))^2-1,"")</f>
        <v>99</v>
      </c>
      <c r="Z36" s="1" t="n">
        <f aca="false">IF(ISNUMBER(Scores!I36),Scores!I36^2,"")</f>
        <v>4</v>
      </c>
      <c r="AA36" s="1" t="str">
        <f aca="false">IF(AND(Scores!$B36=1,Scores!$C36="Tool condition",ISNUMBER(Scores!J36)),COUNTIFS(Scores!$B$5:$B$44,1,Scores!$C$5:$C$44,"Paper condition",Scores!J$5:J$44,"&lt;"&amp;Scores!J36)+0.5*COUNTIFS(Scores!$B$5:$B$44,1,Scores!$C$5:$C$44,"Paper condition",Scores!J$5:J$44,Scores!J36),"")</f>
        <v/>
      </c>
      <c r="AB36" s="1" t="str">
        <f aca="false">IF(AND(Scores!$B36=1,OR(Scores!$C36="Tool condition",Scores!$C36="Paper condition"),ISNUMBER(Scores!J36)),(COUNTIFS(Scores!$B$5:$B$44,1,Scores!$C$5:$C$44,"Tool condition",Scores!J$5:J$44,Scores!J36)+COUNTIFS(Scores!$B$5:$B$44,1,Scores!$C$5:$C$44,"Paper condition",Scores!J$5:J$44,Scores!J36))^2-1,"")</f>
        <v/>
      </c>
      <c r="AC36" s="1" t="str">
        <f aca="false">IF(AND(Scores!$B36=2,Scores!$C36="Tool condition",ISNUMBER(Scores!J36)),COUNTIFS(Scores!$B$5:$B$44,2,Scores!$C$5:$C$44,"Paper condition",Scores!J$5:J$44,"&lt;"&amp;Scores!J36)+0.5*COUNTIFS(Scores!$B$5:$B$44,2,Scores!$C$5:$C$44,"Paper condition",Scores!J$5:J$44,Scores!J36),"")</f>
        <v/>
      </c>
      <c r="AD36" s="1" t="n">
        <f aca="false">IF(AND(Scores!$B36=2,OR(Scores!$C36="Tool condition",Scores!$C36="Paper condition"),ISNUMBER(Scores!J36)),(COUNTIFS(Scores!$B$5:$B$44,2,Scores!$C$5:$C$44,"Tool condition",Scores!J$5:J$44,Scores!J36)+COUNTIFS(Scores!$B$5:$B$44,2,Scores!$C$5:$C$44,"Paper condition",Scores!J$5:J$44,Scores!J36))^2-1,"")</f>
        <v>80</v>
      </c>
      <c r="AE36" s="1" t="n">
        <f aca="false">IF(ISNUMBER(Scores!J36),Scores!J36^2,"")</f>
        <v>1</v>
      </c>
      <c r="AF36" s="1" t="str">
        <f aca="false">IF(AND(Scores!$B36=1,Scores!$C36="Tool condition",ISNUMBER(Scores!K36)),COUNTIFS(Scores!$B$5:$B$44,1,Scores!$C$5:$C$44,"Paper condition",Scores!K$5:K$44,"&lt;"&amp;Scores!K36)+0.5*COUNTIFS(Scores!$B$5:$B$44,1,Scores!$C$5:$C$44,"Paper condition",Scores!K$5:K$44,Scores!K36),"")</f>
        <v/>
      </c>
      <c r="AG36" s="1" t="str">
        <f aca="false">IF(AND(Scores!$B36=1,OR(Scores!$C36="Tool condition",Scores!$C36="Paper condition"),ISNUMBER(Scores!K36)),(COUNTIFS(Scores!$B$5:$B$44,1,Scores!$C$5:$C$44,"Tool condition",Scores!K$5:K$44,Scores!K36)+COUNTIFS(Scores!$B$5:$B$44,1,Scores!$C$5:$C$44,"Paper condition",Scores!K$5:K$44,Scores!K36))^2-1,"")</f>
        <v/>
      </c>
      <c r="AH36" s="1" t="str">
        <f aca="false">IF(AND(Scores!$B36=2,Scores!$C36="Tool condition",ISNUMBER(Scores!K36)),COUNTIFS(Scores!$B$5:$B$44,2,Scores!$C$5:$C$44,"Paper condition",Scores!K$5:K$44,"&lt;"&amp;Scores!K36)+0.5*COUNTIFS(Scores!$B$5:$B$44,2,Scores!$C$5:$C$44,"Paper condition",Scores!K$5:K$44,Scores!K36),"")</f>
        <v/>
      </c>
      <c r="AI36" s="1" t="n">
        <f aca="false">IF(AND(Scores!$B36=2,OR(Scores!$C36="Tool condition",Scores!$C36="Paper condition"),ISNUMBER(Scores!K36)),(COUNTIFS(Scores!$B$5:$B$44,2,Scores!$C$5:$C$44,"Tool condition",Scores!K$5:K$44,Scores!K36)+COUNTIFS(Scores!$B$5:$B$44,2,Scores!$C$5:$C$44,"Paper condition",Scores!K$5:K$44,Scores!K36))^2-1,"")</f>
        <v>120</v>
      </c>
      <c r="AJ36" s="1" t="n">
        <f aca="false">IF(ISNUMBER(Scores!K36),Scores!K36^2,"")</f>
        <v>1</v>
      </c>
      <c r="AK36" s="1" t="str">
        <f aca="false">IF(AND(Scores!$B36=1,Scores!$C36="Tool condition",ISNUMBER(Scores!L36)),COUNTIFS(Scores!$B$5:$B$44,1,Scores!$C$5:$C$44,"Paper condition",Scores!L$5:L$44,"&lt;"&amp;Scores!L36)+0.5*COUNTIFS(Scores!$B$5:$B$44,1,Scores!$C$5:$C$44,"Paper condition",Scores!L$5:L$44,Scores!L36),"")</f>
        <v/>
      </c>
      <c r="AL36" s="1" t="str">
        <f aca="false">IF(AND(Scores!$B36=1,OR(Scores!$C36="Tool condition",Scores!$C36="Paper condition"),ISNUMBER(Scores!L36)),(COUNTIFS(Scores!$B$5:$B$44,1,Scores!$C$5:$C$44,"Tool condition",Scores!L$5:L$44,Scores!L36)+COUNTIFS(Scores!$B$5:$B$44,1,Scores!$C$5:$C$44,"Paper condition",Scores!L$5:L$44,Scores!L36))^2-1,"")</f>
        <v/>
      </c>
      <c r="AM36" s="1" t="str">
        <f aca="false">IF(AND(Scores!$B36=2,Scores!$C36="Tool condition",ISNUMBER(Scores!L36)),COUNTIFS(Scores!$B$5:$B$44,2,Scores!$C$5:$C$44,"Paper condition",Scores!L$5:L$44,"&lt;"&amp;Scores!L36)+0.5*COUNTIFS(Scores!$B$5:$B$44,2,Scores!$C$5:$C$44,"Paper condition",Scores!L$5:L$44,Scores!L36),"")</f>
        <v/>
      </c>
      <c r="AN36" s="1" t="n">
        <f aca="false">IF(AND(Scores!$B36=2,OR(Scores!$C36="Tool condition",Scores!$C36="Paper condition"),ISNUMBER(Scores!L36)),(COUNTIFS(Scores!$B$5:$B$44,2,Scores!$C$5:$C$44,"Tool condition",Scores!L$5:L$44,Scores!L36)+COUNTIFS(Scores!$B$5:$B$44,2,Scores!$C$5:$C$44,"Paper condition",Scores!L$5:L$44,Scores!L36))^2-1,"")</f>
        <v>99</v>
      </c>
      <c r="AO36" s="1" t="n">
        <f aca="false">IF(ISNUMBER(Scores!L36),Scores!L36^2,"")</f>
        <v>4</v>
      </c>
      <c r="AP36" s="1" t="str">
        <f aca="false">IF(AND(Scores!$B36=1,Scores!$C36="Tool condition",ISNUMBER(Scores!M36)),COUNTIFS(Scores!$B$5:$B$44,1,Scores!$C$5:$C$44,"Paper condition",Scores!M$5:M$44,"&lt;"&amp;Scores!M36)+0.5*COUNTIFS(Scores!$B$5:$B$44,1,Scores!$C$5:$C$44,"Paper condition",Scores!M$5:M$44,Scores!M36),"")</f>
        <v/>
      </c>
      <c r="AQ36" s="1" t="str">
        <f aca="false">IF(AND(Scores!$B36=1,OR(Scores!$C36="Tool condition",Scores!$C36="Paper condition"),ISNUMBER(Scores!M36)),(COUNTIFS(Scores!$B$5:$B$44,1,Scores!$C$5:$C$44,"Tool condition",Scores!M$5:M$44,Scores!M36)+COUNTIFS(Scores!$B$5:$B$44,1,Scores!$C$5:$C$44,"Paper condition",Scores!M$5:M$44,Scores!M36))^2-1,"")</f>
        <v/>
      </c>
      <c r="AR36" s="1" t="str">
        <f aca="false">IF(AND(Scores!$B36=2,Scores!$C36="Tool condition",ISNUMBER(Scores!M36)),COUNTIFS(Scores!$B$5:$B$44,2,Scores!$C$5:$C$44,"Paper condition",Scores!M$5:M$44,"&lt;"&amp;Scores!M36)+0.5*COUNTIFS(Scores!$B$5:$B$44,2,Scores!$C$5:$C$44,"Paper condition",Scores!M$5:M$44,Scores!M36),"")</f>
        <v/>
      </c>
      <c r="AS36" s="1" t="n">
        <f aca="false">IF(AND(Scores!$B36=2,OR(Scores!$C36="Tool condition",Scores!$C36="Paper condition"),ISNUMBER(Scores!M36)),(COUNTIFS(Scores!$B$5:$B$44,2,Scores!$C$5:$C$44,"Tool condition",Scores!M$5:M$44,Scores!M36)+COUNTIFS(Scores!$B$5:$B$44,2,Scores!$C$5:$C$44,"Paper condition",Scores!M$5:M$44,Scores!M36))^2-1,"")</f>
        <v>80</v>
      </c>
      <c r="AT36" s="1" t="n">
        <f aca="false">IF(ISNUMBER(Scores!M36),Scores!M36^2,"")</f>
        <v>1</v>
      </c>
      <c r="AU36" s="1" t="str">
        <f aca="false">IF(AND(Scores!$B36=1,Scores!$C36="Tool condition",ISNUMBER(Scores!N36)),COUNTIFS(Scores!$B$5:$B$44,1,Scores!$C$5:$C$44,"Paper condition",Scores!N$5:N$44,"&lt;"&amp;Scores!N36)+0.5*COUNTIFS(Scores!$B$5:$B$44,1,Scores!$C$5:$C$44,"Paper condition",Scores!N$5:N$44,Scores!N36),"")</f>
        <v/>
      </c>
      <c r="AV36" s="1" t="str">
        <f aca="false">IF(AND(Scores!$B36=1,OR(Scores!$C36="Tool condition",Scores!$C36="Paper condition"),ISNUMBER(Scores!N36)),(COUNTIFS(Scores!$B$5:$B$44,1,Scores!$C$5:$C$44,"Tool condition",Scores!N$5:N$44,Scores!N36)+COUNTIFS(Scores!$B$5:$B$44,1,Scores!$C$5:$C$44,"Paper condition",Scores!N$5:N$44,Scores!N36))^2-1,"")</f>
        <v/>
      </c>
      <c r="AW36" s="1" t="str">
        <f aca="false">IF(AND(Scores!$B36=2,Scores!$C36="Tool condition",ISNUMBER(Scores!N36)),COUNTIFS(Scores!$B$5:$B$44,2,Scores!$C$5:$C$44,"Paper condition",Scores!N$5:N$44,"&lt;"&amp;Scores!N36)+0.5*COUNTIFS(Scores!$B$5:$B$44,2,Scores!$C$5:$C$44,"Paper condition",Scores!N$5:N$44,Scores!N36),"")</f>
        <v/>
      </c>
      <c r="AX36" s="1" t="n">
        <f aca="false">IF(AND(Scores!$B36=2,OR(Scores!$C36="Tool condition",Scores!$C36="Paper condition"),ISNUMBER(Scores!N36)),(COUNTIFS(Scores!$B$5:$B$44,2,Scores!$C$5:$C$44,"Tool condition",Scores!N$5:N$44,Scores!N36)+COUNTIFS(Scores!$B$5:$B$44,2,Scores!$C$5:$C$44,"Paper condition",Scores!N$5:N$44,Scores!N36))^2-1,"")</f>
        <v>80</v>
      </c>
      <c r="AY36" s="1" t="n">
        <f aca="false">IF(ISNUMBER(Scores!N36),Scores!N36^2,"")</f>
        <v>1</v>
      </c>
      <c r="AZ36" s="1" t="str">
        <f aca="false">IF(AND(Scores!$B36=1,Scores!$C36="Tool condition",ISNUMBER(Scores!O36)),COUNTIFS(Scores!$B$5:$B$44,1,Scores!$C$5:$C$44,"Paper condition",Scores!O$5:O$44,"&lt;"&amp;Scores!O36)+0.5*COUNTIFS(Scores!$B$5:$B$44,1,Scores!$C$5:$C$44,"Paper condition",Scores!O$5:O$44,Scores!O36),"")</f>
        <v/>
      </c>
      <c r="BA36" s="1" t="str">
        <f aca="false">IF(AND(Scores!$B36=1,OR(Scores!$C36="Tool condition",Scores!$C36="Paper condition"),ISNUMBER(Scores!O36)),(COUNTIFS(Scores!$B$5:$B$44,1,Scores!$C$5:$C$44,"Tool condition",Scores!O$5:O$44,Scores!O36)+COUNTIFS(Scores!$B$5:$B$44,1,Scores!$C$5:$C$44,"Paper condition",Scores!O$5:O$44,Scores!O36))^2-1,"")</f>
        <v/>
      </c>
      <c r="BB36" s="1" t="str">
        <f aca="false">IF(AND(Scores!$B36=2,Scores!$C36="Tool condition",ISNUMBER(Scores!O36)),COUNTIFS(Scores!$B$5:$B$44,2,Scores!$C$5:$C$44,"Paper condition",Scores!O$5:O$44,"&lt;"&amp;Scores!O36)+0.5*COUNTIFS(Scores!$B$5:$B$44,2,Scores!$C$5:$C$44,"Paper condition",Scores!O$5:O$44,Scores!O36),"")</f>
        <v/>
      </c>
      <c r="BC36" s="1" t="n">
        <f aca="false">IF(AND(Scores!$B36=2,OR(Scores!$C36="Tool condition",Scores!$C36="Paper condition"),ISNUMBER(Scores!O36)),(COUNTIFS(Scores!$B$5:$B$44,2,Scores!$C$5:$C$44,"Tool condition",Scores!O$5:O$44,Scores!O36)+COUNTIFS(Scores!$B$5:$B$44,2,Scores!$C$5:$C$44,"Paper condition",Scores!O$5:O$44,Scores!O36))^2-1,"")</f>
        <v>24</v>
      </c>
      <c r="BD36" s="1" t="n">
        <f aca="false">IF(ISNUMBER(Scores!O36),Scores!O36^2,"")</f>
        <v>0</v>
      </c>
      <c r="BE36" s="1" t="str">
        <f aca="false">IF(AND(Scores!$B36=1,Scores!$C36="Tool condition",ISNUMBER(Scores!P36)),COUNTIFS(Scores!$B$5:$B$44,1,Scores!$C$5:$C$44,"Paper condition",Scores!P$5:P$44,"&lt;"&amp;Scores!P36)+0.5*COUNTIFS(Scores!$B$5:$B$44,1,Scores!$C$5:$C$44,"Paper condition",Scores!P$5:P$44,Scores!P36),"")</f>
        <v/>
      </c>
      <c r="BF36" s="1" t="str">
        <f aca="false">IF(AND(Scores!$B36=1,OR(Scores!$C36="Tool condition",Scores!$C36="Paper condition"),ISNUMBER(Scores!P36)),(COUNTIFS(Scores!$B$5:$B$44,1,Scores!$C$5:$C$44,"Tool condition",Scores!P$5:P$44,Scores!P36)+COUNTIFS(Scores!$B$5:$B$44,1,Scores!$C$5:$C$44,"Paper condition",Scores!P$5:P$44,Scores!P36))^2-1,"")</f>
        <v/>
      </c>
      <c r="BG36" s="1" t="str">
        <f aca="false">IF(AND(Scores!$B36=2,Scores!$C36="Tool condition",ISNUMBER(Scores!P36)),COUNTIFS(Scores!$B$5:$B$44,2,Scores!$C$5:$C$44,"Paper condition",Scores!P$5:P$44,"&lt;"&amp;Scores!P36)+0.5*COUNTIFS(Scores!$B$5:$B$44,2,Scores!$C$5:$C$44,"Paper condition",Scores!P$5:P$44,Scores!P36),"")</f>
        <v/>
      </c>
      <c r="BH36" s="1" t="n">
        <f aca="false">IF(AND(Scores!$B36=2,OR(Scores!$C36="Tool condition",Scores!$C36="Paper condition"),ISNUMBER(Scores!P36)),(COUNTIFS(Scores!$B$5:$B$44,2,Scores!$C$5:$C$44,"Tool condition",Scores!P$5:P$44,Scores!P36)+COUNTIFS(Scores!$B$5:$B$44,2,Scores!$C$5:$C$44,"Paper condition",Scores!P$5:P$44,Scores!P36))^2-1,"")</f>
        <v>143</v>
      </c>
      <c r="BI36" s="1" t="n">
        <f aca="false">IF(ISNUMBER(Scores!P36),Scores!P36^2,"")</f>
        <v>1</v>
      </c>
      <c r="BJ36" s="1" t="str">
        <f aca="false">IF(AND(R_Scores!$B36=1,R_Scores!$C36="Tool condition",ISNUMBER(R_Scores!E36)),COUNTIFS(R_Scores!$B$5:$B$44,1,R_Scores!$C$5:$C$44,"Paper condition",R_Scores!E$5:E$44,"&lt;"&amp;R_Scores!E36)+0.5*COUNTIFS(R_Scores!$B$5:$B$44,1,R_Scores!$C$5:$C$44,"Paper condition",R_Scores!E$5:E$44,R_Scores!E36),"")</f>
        <v/>
      </c>
      <c r="BK36" s="1" t="str">
        <f aca="false">IF(AND(R_Scores!$B36=1,OR(R_Scores!$C36="Tool condition",R_Scores!$C36="Paper condition"),ISNUMBER(R_Scores!E36)),(COUNTIFS(R_Scores!$B$5:$B$44,1,R_Scores!$C$5:$C$44,"Tool condition",R_Scores!E$5:E$44,R_Scores!E36)+COUNTIFS(R_Scores!$B$5:$B$44,1,R_Scores!$C$5:$C$44,"Paper condition",R_Scores!E$5:E$44,R_Scores!E36))^2-1,"")</f>
        <v/>
      </c>
      <c r="BL36" s="1" t="str">
        <f aca="false">IF(AND(R_Scores!$B36=2,R_Scores!$C36="Tool condition",ISNUMBER(R_Scores!E36)),COUNTIFS(R_Scores!$B$5:$B$44,2,R_Scores!$C$5:$C$44,"Paper condition",R_Scores!E$5:E$44,"&lt;"&amp;R_Scores!E36)+0.5*COUNTIFS(R_Scores!$B$5:$B$44,2,R_Scores!$C$5:$C$44,"Paper condition",R_Scores!E$5:E$44,R_Scores!E36),"")</f>
        <v/>
      </c>
      <c r="BM36" s="1" t="n">
        <f aca="false">IF(AND(R_Scores!$B36=2,OR(R_Scores!$C36="Tool condition",R_Scores!$C36="Paper condition"),ISNUMBER(R_Scores!E36)),(COUNTIFS(R_Scores!$B$5:$B$44,2,R_Scores!$C$5:$C$44,"Tool condition",R_Scores!E$5:E$44,R_Scores!E36)+COUNTIFS(R_Scores!$B$5:$B$44,2,R_Scores!$C$5:$C$44,"Paper condition",R_Scores!E$5:E$44,R_Scores!E36))^2-1,"")</f>
        <v>224</v>
      </c>
      <c r="BN36" s="1" t="n">
        <f aca="false">IF(ISNUMBER(R_Scores!E36),R_Scores!E36^2,"")</f>
        <v>1</v>
      </c>
      <c r="BO36" s="1" t="str">
        <f aca="false">IF(AND(R_Scores!$B36=1,R_Scores!$C36="Tool condition",ISNUMBER(R_Scores!F36)),COUNTIFS(R_Scores!$B$5:$B$44,1,R_Scores!$C$5:$C$44,"Paper condition",R_Scores!F$5:F$44,"&lt;"&amp;R_Scores!F36)+0.5*COUNTIFS(R_Scores!$B$5:$B$44,1,R_Scores!$C$5:$C$44,"Paper condition",R_Scores!F$5:F$44,R_Scores!F36),"")</f>
        <v/>
      </c>
      <c r="BP36" s="1" t="str">
        <f aca="false">IF(AND(R_Scores!$B36=1,OR(R_Scores!$C36="Tool condition",R_Scores!$C36="Paper condition"),ISNUMBER(R_Scores!F36)),(COUNTIFS(R_Scores!$B$5:$B$44,1,R_Scores!$C$5:$C$44,"Tool condition",R_Scores!F$5:F$44,R_Scores!F36)+COUNTIFS(R_Scores!$B$5:$B$44,1,R_Scores!$C$5:$C$44,"Paper condition",R_Scores!F$5:F$44,R_Scores!F36))^2-1,"")</f>
        <v/>
      </c>
      <c r="BQ36" s="1" t="str">
        <f aca="false">IF(AND(R_Scores!$B36=2,R_Scores!$C36="Tool condition",ISNUMBER(R_Scores!F36)),COUNTIFS(R_Scores!$B$5:$B$44,2,R_Scores!$C$5:$C$44,"Paper condition",R_Scores!F$5:F$44,"&lt;"&amp;R_Scores!F36)+0.5*COUNTIFS(R_Scores!$B$5:$B$44,2,R_Scores!$C$5:$C$44,"Paper condition",R_Scores!F$5:F$44,R_Scores!F36),"")</f>
        <v/>
      </c>
      <c r="BR36" s="1" t="n">
        <f aca="false">IF(AND(R_Scores!$B36=2,OR(R_Scores!$C36="Tool condition",R_Scores!$C36="Paper condition"),ISNUMBER(R_Scores!F36)),(COUNTIFS(R_Scores!$B$5:$B$44,2,R_Scores!$C$5:$C$44,"Tool condition",R_Scores!F$5:F$44,R_Scores!F36)+COUNTIFS(R_Scores!$B$5:$B$44,2,R_Scores!$C$5:$C$44,"Paper condition",R_Scores!F$5:F$44,R_Scores!F36))^2-1,"")</f>
        <v>35</v>
      </c>
      <c r="BS36" s="1" t="n">
        <f aca="false">IF(ISNUMBER(R_Scores!F36),R_Scores!F36^2,"")</f>
        <v>0</v>
      </c>
      <c r="BT36" s="1" t="str">
        <f aca="false">IF(AND(R_Scores!$B36=1,R_Scores!$C36="Tool condition",ISNUMBER(R_Scores!G36)),COUNTIFS(R_Scores!$B$5:$B$44,1,R_Scores!$C$5:$C$44,"Paper condition",R_Scores!G$5:G$44,"&lt;"&amp;R_Scores!G36)+0.5*COUNTIFS(R_Scores!$B$5:$B$44,1,R_Scores!$C$5:$C$44,"Paper condition",R_Scores!G$5:G$44,R_Scores!G36),"")</f>
        <v/>
      </c>
      <c r="BU36" s="1" t="str">
        <f aca="false">IF(AND(R_Scores!$B36=1,OR(R_Scores!$C36="Tool condition",R_Scores!$C36="Paper condition"),ISNUMBER(R_Scores!G36)),(COUNTIFS(R_Scores!$B$5:$B$44,1,R_Scores!$C$5:$C$44,"Tool condition",R_Scores!G$5:G$44,R_Scores!G36)+COUNTIFS(R_Scores!$B$5:$B$44,1,R_Scores!$C$5:$C$44,"Paper condition",R_Scores!G$5:G$44,R_Scores!G36))^2-1,"")</f>
        <v/>
      </c>
      <c r="BV36" s="1" t="str">
        <f aca="false">IF(AND(R_Scores!$B36=2,R_Scores!$C36="Tool condition",ISNUMBER(R_Scores!G36)),COUNTIFS(R_Scores!$B$5:$B$44,2,R_Scores!$C$5:$C$44,"Paper condition",R_Scores!G$5:G$44,"&lt;"&amp;R_Scores!G36)+0.5*COUNTIFS(R_Scores!$B$5:$B$44,2,R_Scores!$C$5:$C$44,"Paper condition",R_Scores!G$5:G$44,R_Scores!G36),"")</f>
        <v/>
      </c>
      <c r="BW36" s="1" t="str">
        <f aca="false">IF(AND(R_Scores!$B36=2,OR(R_Scores!$C36="Tool condition",R_Scores!$C36="Paper condition"),ISNUMBER(R_Scores!G36)),(COUNTIFS(R_Scores!$B$5:$B$44,2,R_Scores!$C$5:$C$44,"Tool condition",R_Scores!G$5:G$44,R_Scores!G36)+COUNTIFS(R_Scores!$B$5:$B$44,2,R_Scores!$C$5:$C$44,"Paper condition",R_Scores!G$5:G$44,R_Scores!G36))^2-1,"")</f>
        <v/>
      </c>
      <c r="BX36" s="1" t="str">
        <f aca="false">IF(ISNUMBER(R_Scores!G36),R_Scores!G36^2,"")</f>
        <v/>
      </c>
      <c r="BY36" s="1" t="str">
        <f aca="false">IF(AND(R_Scores!$B36=1,R_Scores!$C36="Tool condition",ISNUMBER(R_Scores!H36)),COUNTIFS(R_Scores!$B$5:$B$44,1,R_Scores!$C$5:$C$44,"Paper condition",R_Scores!H$5:H$44,"&lt;"&amp;R_Scores!H36)+0.5*COUNTIFS(R_Scores!$B$5:$B$44,1,R_Scores!$C$5:$C$44,"Paper condition",R_Scores!H$5:H$44,R_Scores!H36),"")</f>
        <v/>
      </c>
      <c r="BZ36" s="1" t="str">
        <f aca="false">IF(AND(R_Scores!$B36=1,OR(R_Scores!$C36="Tool condition",R_Scores!$C36="Paper condition"),ISNUMBER(R_Scores!H36)),(COUNTIFS(R_Scores!$B$5:$B$44,1,R_Scores!$C$5:$C$44,"Tool condition",R_Scores!H$5:H$44,R_Scores!H36)+COUNTIFS(R_Scores!$B$5:$B$44,1,R_Scores!$C$5:$C$44,"Paper condition",R_Scores!H$5:H$44,R_Scores!H36))^2-1,"")</f>
        <v/>
      </c>
      <c r="CA36" s="1" t="str">
        <f aca="false">IF(AND(R_Scores!$B36=2,R_Scores!$C36="Tool condition",ISNUMBER(R_Scores!H36)),COUNTIFS(R_Scores!$B$5:$B$44,2,R_Scores!$C$5:$C$44,"Paper condition",R_Scores!H$5:H$44,"&lt;"&amp;R_Scores!H36)+0.5*COUNTIFS(R_Scores!$B$5:$B$44,2,R_Scores!$C$5:$C$44,"Paper condition",R_Scores!H$5:H$44,R_Scores!H36),"")</f>
        <v/>
      </c>
      <c r="CB36" s="1" t="str">
        <f aca="false">IF(AND(R_Scores!$B36=2,OR(R_Scores!$C36="Tool condition",R_Scores!$C36="Paper condition"),ISNUMBER(R_Scores!H36)),(COUNTIFS(R_Scores!$B$5:$B$44,2,R_Scores!$C$5:$C$44,"Tool condition",R_Scores!H$5:H$44,R_Scores!H36)+COUNTIFS(R_Scores!$B$5:$B$44,2,R_Scores!$C$5:$C$44,"Paper condition",R_Scores!H$5:H$44,R_Scores!H36))^2-1,"")</f>
        <v/>
      </c>
      <c r="CC36" s="1" t="str">
        <f aca="false">IF(ISNUMBER(R_Scores!H36),R_Scores!H36^2,"")</f>
        <v/>
      </c>
      <c r="CD36" s="1" t="str">
        <f aca="false">IF(AND(R_Scores!$B36=1,R_Scores!$C36="Tool condition",ISNUMBER(R_Scores!I36)),COUNTIFS(R_Scores!$B$5:$B$44,1,R_Scores!$C$5:$C$44,"Paper condition",R_Scores!I$5:I$44,"&lt;"&amp;R_Scores!I36)+0.5*COUNTIFS(R_Scores!$B$5:$B$44,1,R_Scores!$C$5:$C$44,"Paper condition",R_Scores!I$5:I$44,R_Scores!I36),"")</f>
        <v/>
      </c>
      <c r="CE36" s="1" t="str">
        <f aca="false">IF(AND(R_Scores!$B36=1,OR(R_Scores!$C36="Tool condition",R_Scores!$C36="Paper condition"),ISNUMBER(R_Scores!I36)),(COUNTIFS(R_Scores!$B$5:$B$44,1,R_Scores!$C$5:$C$44,"Tool condition",R_Scores!I$5:I$44,R_Scores!I36)+COUNTIFS(R_Scores!$B$5:$B$44,1,R_Scores!$C$5:$C$44,"Paper condition",R_Scores!I$5:I$44,R_Scores!I36))^2-1,"")</f>
        <v/>
      </c>
      <c r="CF36" s="1" t="str">
        <f aca="false">IF(AND(R_Scores!$B36=2,R_Scores!$C36="Tool condition",ISNUMBER(R_Scores!I36)),COUNTIFS(R_Scores!$B$5:$B$44,2,R_Scores!$C$5:$C$44,"Paper condition",R_Scores!I$5:I$44,"&lt;"&amp;R_Scores!I36)+0.5*COUNTIFS(R_Scores!$B$5:$B$44,2,R_Scores!$C$5:$C$44,"Paper condition",R_Scores!I$5:I$44,R_Scores!I36),"")</f>
        <v/>
      </c>
      <c r="CG36" s="1" t="n">
        <f aca="false">IF(AND(R_Scores!$B36=2,OR(R_Scores!$C36="Tool condition",R_Scores!$C36="Paper condition"),ISNUMBER(R_Scores!I36)),(COUNTIFS(R_Scores!$B$5:$B$44,2,R_Scores!$C$5:$C$44,"Tool condition",R_Scores!I$5:I$44,R_Scores!I36)+COUNTIFS(R_Scores!$B$5:$B$44,2,R_Scores!$C$5:$C$44,"Paper condition",R_Scores!I$5:I$44,R_Scores!I36))^2-1,"")</f>
        <v>255</v>
      </c>
      <c r="CH36" s="1" t="n">
        <f aca="false">IF(ISNUMBER(R_Scores!I36),R_Scores!I36^2,"")</f>
        <v>1</v>
      </c>
      <c r="CI36" s="1" t="str">
        <f aca="false">IF(AND(R_Scores!$B36=1,R_Scores!$C36="Tool condition",ISNUMBER(R_Scores!J36)),COUNTIFS(R_Scores!$B$5:$B$44,1,R_Scores!$C$5:$C$44,"Paper condition",R_Scores!J$5:J$44,"&lt;"&amp;R_Scores!J36)+0.5*COUNTIFS(R_Scores!$B$5:$B$44,1,R_Scores!$C$5:$C$44,"Paper condition",R_Scores!J$5:J$44,R_Scores!J36),"")</f>
        <v/>
      </c>
      <c r="CJ36" s="1" t="str">
        <f aca="false">IF(AND(R_Scores!$B36=1,OR(R_Scores!$C36="Tool condition",R_Scores!$C36="Paper condition"),ISNUMBER(R_Scores!J36)),(COUNTIFS(R_Scores!$B$5:$B$44,1,R_Scores!$C$5:$C$44,"Tool condition",R_Scores!J$5:J$44,R_Scores!J36)+COUNTIFS(R_Scores!$B$5:$B$44,1,R_Scores!$C$5:$C$44,"Paper condition",R_Scores!J$5:J$44,R_Scores!J36))^2-1,"")</f>
        <v/>
      </c>
      <c r="CK36" s="1" t="str">
        <f aca="false">IF(AND(R_Scores!$B36=2,R_Scores!$C36="Tool condition",ISNUMBER(R_Scores!J36)),COUNTIFS(R_Scores!$B$5:$B$44,2,R_Scores!$C$5:$C$44,"Paper condition",R_Scores!J$5:J$44,"&lt;"&amp;R_Scores!J36)+0.5*COUNTIFS(R_Scores!$B$5:$B$44,2,R_Scores!$C$5:$C$44,"Paper condition",R_Scores!J$5:J$44,R_Scores!J36),"")</f>
        <v/>
      </c>
      <c r="CL36" s="1" t="n">
        <f aca="false">IF(AND(R_Scores!$B36=2,OR(R_Scores!$C36="Tool condition",R_Scores!$C36="Paper condition"),ISNUMBER(R_Scores!J36)),(COUNTIFS(R_Scores!$B$5:$B$44,2,R_Scores!$C$5:$C$44,"Tool condition",R_Scores!J$5:J$44,R_Scores!J36)+COUNTIFS(R_Scores!$B$5:$B$44,2,R_Scores!$C$5:$C$44,"Paper condition",R_Scores!J$5:J$44,R_Scores!J36))^2-1,"")</f>
        <v>195</v>
      </c>
      <c r="CM36" s="1" t="n">
        <f aca="false">IF(ISNUMBER(R_Scores!J36),R_Scores!J36^2,"")</f>
        <v>1</v>
      </c>
      <c r="CN36" s="1" t="str">
        <f aca="false">IF(AND(R_Scores!$B36=1,R_Scores!$C36="Tool condition",ISNUMBER(R_Scores!K36)),COUNTIFS(R_Scores!$B$5:$B$44,1,R_Scores!$C$5:$C$44,"Paper condition",R_Scores!K$5:K$44,"&lt;"&amp;R_Scores!K36)+0.5*COUNTIFS(R_Scores!$B$5:$B$44,1,R_Scores!$C$5:$C$44,"Paper condition",R_Scores!K$5:K$44,R_Scores!K36),"")</f>
        <v/>
      </c>
      <c r="CO36" s="1" t="str">
        <f aca="false">IF(AND(R_Scores!$B36=1,OR(R_Scores!$C36="Tool condition",R_Scores!$C36="Paper condition"),ISNUMBER(R_Scores!K36)),(COUNTIFS(R_Scores!$B$5:$B$44,1,R_Scores!$C$5:$C$44,"Tool condition",R_Scores!K$5:K$44,R_Scores!K36)+COUNTIFS(R_Scores!$B$5:$B$44,1,R_Scores!$C$5:$C$44,"Paper condition",R_Scores!K$5:K$44,R_Scores!K36))^2-1,"")</f>
        <v/>
      </c>
      <c r="CP36" s="1" t="str">
        <f aca="false">IF(AND(R_Scores!$B36=2,R_Scores!$C36="Tool condition",ISNUMBER(R_Scores!K36)),COUNTIFS(R_Scores!$B$5:$B$44,2,R_Scores!$C$5:$C$44,"Paper condition",R_Scores!K$5:K$44,"&lt;"&amp;R_Scores!K36)+0.5*COUNTIFS(R_Scores!$B$5:$B$44,2,R_Scores!$C$5:$C$44,"Paper condition",R_Scores!K$5:K$44,R_Scores!K36),"")</f>
        <v/>
      </c>
      <c r="CQ36" s="1" t="str">
        <f aca="false">IF(AND(R_Scores!$B36=2,OR(R_Scores!$C36="Tool condition",R_Scores!$C36="Paper condition"),ISNUMBER(R_Scores!K36)),(COUNTIFS(R_Scores!$B$5:$B$44,2,R_Scores!$C$5:$C$44,"Tool condition",R_Scores!K$5:K$44,R_Scores!K36)+COUNTIFS(R_Scores!$B$5:$B$44,2,R_Scores!$C$5:$C$44,"Paper condition",R_Scores!K$5:K$44,R_Scores!K36))^2-1,"")</f>
        <v/>
      </c>
      <c r="CR36" s="1" t="str">
        <f aca="false">IF(ISNUMBER(R_Scores!K36),R_Scores!K36^2,"")</f>
        <v/>
      </c>
      <c r="CS36" s="1" t="str">
        <f aca="false">IF(AND(R_Scores!$B36=1,R_Scores!$C36="Tool condition",ISNUMBER(R_Scores!L36)),COUNTIFS(R_Scores!$B$5:$B$44,1,R_Scores!$C$5:$C$44,"Paper condition",R_Scores!L$5:L$44,"&lt;"&amp;R_Scores!L36)+0.5*COUNTIFS(R_Scores!$B$5:$B$44,1,R_Scores!$C$5:$C$44,"Paper condition",R_Scores!L$5:L$44,R_Scores!L36),"")</f>
        <v/>
      </c>
      <c r="CT36" s="1" t="str">
        <f aca="false">IF(AND(R_Scores!$B36=1,OR(R_Scores!$C36="Tool condition",R_Scores!$C36="Paper condition"),ISNUMBER(R_Scores!L36)),(COUNTIFS(R_Scores!$B$5:$B$44,1,R_Scores!$C$5:$C$44,"Tool condition",R_Scores!L$5:L$44,R_Scores!L36)+COUNTIFS(R_Scores!$B$5:$B$44,1,R_Scores!$C$5:$C$44,"Paper condition",R_Scores!L$5:L$44,R_Scores!L36))^2-1,"")</f>
        <v/>
      </c>
      <c r="CU36" s="1" t="str">
        <f aca="false">IF(AND(R_Scores!$B36=2,R_Scores!$C36="Tool condition",ISNUMBER(R_Scores!L36)),COUNTIFS(R_Scores!$B$5:$B$44,2,R_Scores!$C$5:$C$44,"Paper condition",R_Scores!L$5:L$44,"&lt;"&amp;R_Scores!L36)+0.5*COUNTIFS(R_Scores!$B$5:$B$44,2,R_Scores!$C$5:$C$44,"Paper condition",R_Scores!L$5:L$44,R_Scores!L36),"")</f>
        <v/>
      </c>
      <c r="CV36" s="1" t="str">
        <f aca="false">IF(AND(R_Scores!$B36=2,OR(R_Scores!$C36="Tool condition",R_Scores!$C36="Paper condition"),ISNUMBER(R_Scores!L36)),(COUNTIFS(R_Scores!$B$5:$B$44,2,R_Scores!$C$5:$C$44,"Tool condition",R_Scores!L$5:L$44,R_Scores!L36)+COUNTIFS(R_Scores!$B$5:$B$44,2,R_Scores!$C$5:$C$44,"Paper condition",R_Scores!L$5:L$44,R_Scores!L36))^2-1,"")</f>
        <v/>
      </c>
      <c r="CW36" s="1" t="str">
        <f aca="false">IF(ISNUMBER(R_Scores!L36),R_Scores!L36^2,"")</f>
        <v/>
      </c>
      <c r="CX36" s="1" t="str">
        <f aca="false">IF(AND(R_Scores!$B36=1,R_Scores!$C36="Tool condition",ISNUMBER(R_Scores!M36)),COUNTIFS(R_Scores!$B$5:$B$44,1,R_Scores!$C$5:$C$44,"Paper condition",R_Scores!M$5:M$44,"&lt;"&amp;R_Scores!M36)+0.5*COUNTIFS(R_Scores!$B$5:$B$44,1,R_Scores!$C$5:$C$44,"Paper condition",R_Scores!M$5:M$44,R_Scores!M36),"")</f>
        <v/>
      </c>
      <c r="CY36" s="1" t="str">
        <f aca="false">IF(AND(R_Scores!$B36=1,OR(R_Scores!$C36="Tool condition",R_Scores!$C36="Paper condition"),ISNUMBER(R_Scores!M36)),(COUNTIFS(R_Scores!$B$5:$B$44,1,R_Scores!$C$5:$C$44,"Tool condition",R_Scores!M$5:M$44,R_Scores!M36)+COUNTIFS(R_Scores!$B$5:$B$44,1,R_Scores!$C$5:$C$44,"Paper condition",R_Scores!M$5:M$44,R_Scores!M36))^2-1,"")</f>
        <v/>
      </c>
      <c r="CZ36" s="1" t="str">
        <f aca="false">IF(AND(R_Scores!$B36=2,R_Scores!$C36="Tool condition",ISNUMBER(R_Scores!M36)),COUNTIFS(R_Scores!$B$5:$B$44,2,R_Scores!$C$5:$C$44,"Paper condition",R_Scores!M$5:M$44,"&lt;"&amp;R_Scores!M36)+0.5*COUNTIFS(R_Scores!$B$5:$B$44,2,R_Scores!$C$5:$C$44,"Paper condition",R_Scores!M$5:M$44,R_Scores!M36),"")</f>
        <v/>
      </c>
      <c r="DA36" s="1" t="str">
        <f aca="false">IF(AND(R_Scores!$B36=2,OR(R_Scores!$C36="Tool condition",R_Scores!$C36="Paper condition"),ISNUMBER(R_Scores!M36)),(COUNTIFS(R_Scores!$B$5:$B$44,2,R_Scores!$C$5:$C$44,"Tool condition",R_Scores!M$5:M$44,R_Scores!M36)+COUNTIFS(R_Scores!$B$5:$B$44,2,R_Scores!$C$5:$C$44,"Paper condition",R_Scores!M$5:M$44,R_Scores!M36))^2-1,"")</f>
        <v/>
      </c>
      <c r="DB36" s="1" t="str">
        <f aca="false">IF(ISNUMBER(R_Scores!M36),R_Scores!M36^2,"")</f>
        <v/>
      </c>
      <c r="DC36" s="1" t="str">
        <f aca="false">IF(AND(R_Scores!$B36=1,R_Scores!$C36="Tool condition",ISNUMBER(R_Scores!N36)),COUNTIFS(R_Scores!$B$5:$B$44,1,R_Scores!$C$5:$C$44,"Paper condition",R_Scores!N$5:N$44,"&lt;"&amp;R_Scores!N36)+0.5*COUNTIFS(R_Scores!$B$5:$B$44,1,R_Scores!$C$5:$C$44,"Paper condition",R_Scores!N$5:N$44,R_Scores!N36),"")</f>
        <v/>
      </c>
      <c r="DD36" s="1" t="str">
        <f aca="false">IF(AND(R_Scores!$B36=1,OR(R_Scores!$C36="Tool condition",R_Scores!$C36="Paper condition"),ISNUMBER(R_Scores!N36)),(COUNTIFS(R_Scores!$B$5:$B$44,1,R_Scores!$C$5:$C$44,"Tool condition",R_Scores!N$5:N$44,R_Scores!N36)+COUNTIFS(R_Scores!$B$5:$B$44,1,R_Scores!$C$5:$C$44,"Paper condition",R_Scores!N$5:N$44,R_Scores!N36))^2-1,"")</f>
        <v/>
      </c>
      <c r="DE36" s="1" t="str">
        <f aca="false">IF(AND(R_Scores!$B36=2,R_Scores!$C36="Tool condition",ISNUMBER(R_Scores!N36)),COUNTIFS(R_Scores!$B$5:$B$44,2,R_Scores!$C$5:$C$44,"Paper condition",R_Scores!N$5:N$44,"&lt;"&amp;R_Scores!N36)+0.5*COUNTIFS(R_Scores!$B$5:$B$44,2,R_Scores!$C$5:$C$44,"Paper condition",R_Scores!N$5:N$44,R_Scores!N36),"")</f>
        <v/>
      </c>
      <c r="DF36" s="1" t="n">
        <f aca="false">IF(AND(R_Scores!$B36=2,OR(R_Scores!$C36="Tool condition",R_Scores!$C36="Paper condition"),ISNUMBER(R_Scores!N36)),(COUNTIFS(R_Scores!$B$5:$B$44,2,R_Scores!$C$5:$C$44,"Tool condition",R_Scores!N$5:N$44,R_Scores!N36)+COUNTIFS(R_Scores!$B$5:$B$44,2,R_Scores!$C$5:$C$44,"Paper condition",R_Scores!N$5:N$44,R_Scores!N36))^2-1,"")</f>
        <v>63</v>
      </c>
      <c r="DG36" s="1" t="n">
        <f aca="false">IF(ISNUMBER(R_Scores!N36),R_Scores!N36^2,"")</f>
        <v>0</v>
      </c>
      <c r="DH36" s="1" t="str">
        <f aca="false">IF(AND(R_Scores!$B36=1,R_Scores!$C36="Tool condition",ISNUMBER(R_Scores!O36)),COUNTIFS(R_Scores!$B$5:$B$44,1,R_Scores!$C$5:$C$44,"Paper condition",R_Scores!O$5:O$44,"&lt;"&amp;R_Scores!O36)+0.5*COUNTIFS(R_Scores!$B$5:$B$44,1,R_Scores!$C$5:$C$44,"Paper condition",R_Scores!O$5:O$44,R_Scores!O36),"")</f>
        <v/>
      </c>
      <c r="DI36" s="1" t="str">
        <f aca="false">IF(AND(R_Scores!$B36=1,OR(R_Scores!$C36="Tool condition",R_Scores!$C36="Paper condition"),ISNUMBER(R_Scores!O36)),(COUNTIFS(R_Scores!$B$5:$B$44,1,R_Scores!$C$5:$C$44,"Tool condition",R_Scores!O$5:O$44,R_Scores!O36)+COUNTIFS(R_Scores!$B$5:$B$44,1,R_Scores!$C$5:$C$44,"Paper condition",R_Scores!O$5:O$44,R_Scores!O36))^2-1,"")</f>
        <v/>
      </c>
      <c r="DJ36" s="1" t="str">
        <f aca="false">IF(AND(R_Scores!$B36=2,R_Scores!$C36="Tool condition",ISNUMBER(R_Scores!O36)),COUNTIFS(R_Scores!$B$5:$B$44,2,R_Scores!$C$5:$C$44,"Paper condition",R_Scores!O$5:O$44,"&lt;"&amp;R_Scores!O36)+0.5*COUNTIFS(R_Scores!$B$5:$B$44,2,R_Scores!$C$5:$C$44,"Paper condition",R_Scores!O$5:O$44,R_Scores!O36),"")</f>
        <v/>
      </c>
      <c r="DK36" s="1" t="n">
        <f aca="false">IF(AND(R_Scores!$B36=2,OR(R_Scores!$C36="Tool condition",R_Scores!$C36="Paper condition"),ISNUMBER(R_Scores!O36)),(COUNTIFS(R_Scores!$B$5:$B$44,2,R_Scores!$C$5:$C$44,"Tool condition",R_Scores!O$5:O$44,R_Scores!O36)+COUNTIFS(R_Scores!$B$5:$B$44,2,R_Scores!$C$5:$C$44,"Paper condition",R_Scores!O$5:O$44,R_Scores!O36))^2-1,"")</f>
        <v>168</v>
      </c>
      <c r="DL36" s="1" t="n">
        <f aca="false">IF(ISNUMBER(R_Scores!O36),R_Scores!O36^2,"")</f>
        <v>1</v>
      </c>
      <c r="DM36" s="1" t="str">
        <f aca="false">IF(AND(R_Scores!$B36=1,R_Scores!$C36="Tool condition",ISNUMBER(R_Scores!P36)),COUNTIFS(R_Scores!$B$5:$B$44,1,R_Scores!$C$5:$C$44,"Paper condition",R_Scores!P$5:P$44,"&lt;"&amp;R_Scores!P36)+0.5*COUNTIFS(R_Scores!$B$5:$B$44,1,R_Scores!$C$5:$C$44,"Paper condition",R_Scores!P$5:P$44,R_Scores!P36),"")</f>
        <v/>
      </c>
      <c r="DN36" s="1" t="str">
        <f aca="false">IF(AND(R_Scores!$B36=1,OR(R_Scores!$C36="Tool condition",R_Scores!$C36="Paper condition"),ISNUMBER(R_Scores!P36)),(COUNTIFS(R_Scores!$B$5:$B$44,1,R_Scores!$C$5:$C$44,"Tool condition",R_Scores!P$5:P$44,R_Scores!P36)+COUNTIFS(R_Scores!$B$5:$B$44,1,R_Scores!$C$5:$C$44,"Paper condition",R_Scores!P$5:P$44,R_Scores!P36))^2-1,"")</f>
        <v/>
      </c>
      <c r="DO36" s="1" t="str">
        <f aca="false">IF(AND(R_Scores!$B36=2,R_Scores!$C36="Tool condition",ISNUMBER(R_Scores!P36)),COUNTIFS(R_Scores!$B$5:$B$44,2,R_Scores!$C$5:$C$44,"Paper condition",R_Scores!P$5:P$44,"&lt;"&amp;R_Scores!P36)+0.5*COUNTIFS(R_Scores!$B$5:$B$44,2,R_Scores!$C$5:$C$44,"Paper condition",R_Scores!P$5:P$44,R_Scores!P36),"")</f>
        <v/>
      </c>
      <c r="DP36" s="1" t="n">
        <f aca="false">IF(AND(R_Scores!$B36=2,OR(R_Scores!$C36="Tool condition",R_Scores!$C36="Paper condition"),ISNUMBER(R_Scores!P36)),(COUNTIFS(R_Scores!$B$5:$B$44,2,R_Scores!$C$5:$C$44,"Tool condition",R_Scores!P$5:P$44,R_Scores!P36)+COUNTIFS(R_Scores!$B$5:$B$44,2,R_Scores!$C$5:$C$44,"Paper condition",R_Scores!P$5:P$44,R_Scores!P36))^2-1,"")</f>
        <v>168</v>
      </c>
      <c r="DQ36" s="1" t="n">
        <f aca="false">IF(ISNUMBER(R_Scores!P36),R_Scores!P36^2,"")</f>
        <v>0</v>
      </c>
      <c r="DR36" s="1" t="str">
        <f aca="false">IF(AND(Scores!$B36=1,Scores!$C36="Tool condition",ISNUMBER(Scores!Q36)),COUNTIFS(Scores!$B$5:$B$44,1,Scores!$C$5:$C$44,"Paper condition",Scores!Q$5:Q$44,"&lt;"&amp;Scores!Q36)+0.5*COUNTIFS(Scores!$B$5:$B$44,1,Scores!$C$5:$C$44,"Paper condition",Scores!Q$5:Q$44,Scores!Q36),"")</f>
        <v/>
      </c>
      <c r="DS36" s="1" t="str">
        <f aca="false">IF(AND(Scores!$B36=1,OR(Scores!$C36="Tool condition",Scores!$C36="Paper condition"),ISNUMBER(Scores!Q36)),(COUNTIFS(Scores!$B$5:$B$44,1,Scores!$C$5:$C$44,"Tool condition",Scores!Q$5:Q$44,Scores!Q36)+COUNTIFS(Scores!$B$5:$B$44,1,Scores!$C$5:$C$44,"Paper condition",Scores!Q$5:Q$44,Scores!Q36))^2-1,"")</f>
        <v/>
      </c>
      <c r="DT36" s="1" t="str">
        <f aca="false">IF(AND(Scores!$B36=2,Scores!$C36="Tool condition",ISNUMBER(Scores!Q36)),COUNTIFS(Scores!$B$5:$B$44,2,Scores!$C$5:$C$44,"Paper condition",Scores!Q$5:Q$44,"&lt;"&amp;Scores!Q36)+0.5*COUNTIFS(Scores!$B$5:$B$44,2,Scores!$C$5:$C$44,"Paper condition",Scores!Q$5:Q$44,Scores!Q36),"")</f>
        <v/>
      </c>
      <c r="DU36" s="1" t="n">
        <f aca="false">IF(AND(Scores!$B36=2,OR(Scores!$C36="Tool condition",Scores!$C36="Paper condition"),ISNUMBER(Scores!Q36)),(COUNTIFS(Scores!$B$5:$B$44,2,Scores!$C$5:$C$44,"Tool condition",Scores!Q$5:Q$44,Scores!Q36)+COUNTIFS(Scores!$B$5:$B$44,2,Scores!$C$5:$C$44,"Paper condition",Scores!Q$5:Q$44,Scores!Q36))^2-1,"")</f>
        <v>3</v>
      </c>
      <c r="DV36" s="1" t="n">
        <f aca="false">IF(ISNUMBER(Scores!Q36),Scores!Q36^2,"")</f>
        <v>225</v>
      </c>
      <c r="DW36" s="1" t="str">
        <f aca="false">IF(AND(Scores!$B36=1,Scores!$C36="Tool condition",ISNUMBER(Scores!R36)),COUNTIFS(Scores!$B$5:$B$44,1,Scores!$C$5:$C$44,"Paper condition",Scores!R$5:R$44,"&lt;"&amp;Scores!R36)+0.5*COUNTIFS(Scores!$B$5:$B$44,1,Scores!$C$5:$C$44,"Paper condition",Scores!R$5:R$44,Scores!R36),"")</f>
        <v/>
      </c>
      <c r="DX36" s="1" t="str">
        <f aca="false">IF(AND(Scores!$B36=1,OR(Scores!$C36="Tool condition",Scores!$C36="Paper condition"),ISNUMBER(Scores!R36)),(COUNTIFS(Scores!$B$5:$B$44,1,Scores!$C$5:$C$44,"Tool condition",Scores!R$5:R$44,Scores!R36)+COUNTIFS(Scores!$B$5:$B$44,1,Scores!$C$5:$C$44,"Paper condition",Scores!R$5:R$44,Scores!R36))^2-1,"")</f>
        <v/>
      </c>
      <c r="DY36" s="1" t="str">
        <f aca="false">IF(AND(Scores!$B36=2,Scores!$C36="Tool condition",ISNUMBER(Scores!R36)),COUNTIFS(Scores!$B$5:$B$44,2,Scores!$C$5:$C$44,"Paper condition",Scores!R$5:R$44,"&lt;"&amp;Scores!R36)+0.5*COUNTIFS(Scores!$B$5:$B$44,2,Scores!$C$5:$C$44,"Paper condition",Scores!R$5:R$44,Scores!R36),"")</f>
        <v/>
      </c>
      <c r="DZ36" s="1" t="n">
        <f aca="false">IF(AND(Scores!$B36=2,OR(Scores!$C36="Tool condition",Scores!$C36="Paper condition"),ISNUMBER(Scores!R36)),(COUNTIFS(Scores!$B$5:$B$44,2,Scores!$C$5:$C$44,"Tool condition",Scores!R$5:R$44,Scores!R36)+COUNTIFS(Scores!$B$5:$B$44,2,Scores!$C$5:$C$44,"Paper condition",Scores!R$5:R$44,Scores!R36))^2-1,"")</f>
        <v>3</v>
      </c>
      <c r="EA36" s="1" t="n">
        <f aca="false">IF(ISNUMBER(Scores!R36),Scores!R36^2,"")</f>
        <v>81</v>
      </c>
      <c r="EB36" s="1" t="str">
        <f aca="false">IF(AND(Scores!$B36=1,Scores!$C36="Tool condition",ISNUMBER(Scores!S36)),COUNTIFS(Scores!$B$5:$B$44,1,Scores!$C$5:$C$44,"Paper condition",Scores!S$5:S$44,"&lt;"&amp;Scores!S36)+0.5*COUNTIFS(Scores!$B$5:$B$44,1,Scores!$C$5:$C$44,"Paper condition",Scores!S$5:S$44,Scores!S36),"")</f>
        <v/>
      </c>
      <c r="EC36" s="1" t="str">
        <f aca="false">IF(AND(Scores!$B36=1,OR(Scores!$C36="Tool condition",Scores!$C36="Paper condition"),ISNUMBER(Scores!S36)),(COUNTIFS(Scores!$B$5:$B$44,1,Scores!$C$5:$C$44,"Tool condition",Scores!S$5:S$44,Scores!S36)+COUNTIFS(Scores!$B$5:$B$44,1,Scores!$C$5:$C$44,"Paper condition",Scores!S$5:S$44,Scores!S36))^2-1,"")</f>
        <v/>
      </c>
      <c r="ED36" s="1" t="str">
        <f aca="false">IF(AND(Scores!$B36=2,Scores!$C36="Tool condition",ISNUMBER(Scores!S36)),COUNTIFS(Scores!$B$5:$B$44,2,Scores!$C$5:$C$44,"Paper condition",Scores!S$5:S$44,"&lt;"&amp;Scores!S36)+0.5*COUNTIFS(Scores!$B$5:$B$44,2,Scores!$C$5:$C$44,"Paper condition",Scores!S$5:S$44,Scores!S36),"")</f>
        <v/>
      </c>
      <c r="EE36" s="1" t="n">
        <f aca="false">IF(AND(Scores!$B36=2,OR(Scores!$C36="Tool condition",Scores!$C36="Paper condition"),ISNUMBER(Scores!S36)),(COUNTIFS(Scores!$B$5:$B$44,2,Scores!$C$5:$C$44,"Tool condition",Scores!S$5:S$44,Scores!S36)+COUNTIFS(Scores!$B$5:$B$44,2,Scores!$C$5:$C$44,"Paper condition",Scores!S$5:S$44,Scores!S36))^2-1,"")</f>
        <v>24</v>
      </c>
      <c r="EF36" s="1" t="n">
        <f aca="false">IF(ISNUMBER(Scores!S36),Scores!S36^2,"")</f>
        <v>36</v>
      </c>
      <c r="EG36" s="1" t="str">
        <f aca="false">IF(AND(Scores!$B36=1,Scores!$C36="Tool condition",ISNUMBER(Scores!T36)),COUNTIFS(Scores!$B$5:$B$44,1,Scores!$C$5:$C$44,"Paper condition",Scores!T$5:T$44,"&lt;"&amp;Scores!T36)+0.5*COUNTIFS(Scores!$B$5:$B$44,1,Scores!$C$5:$C$44,"Paper condition",Scores!T$5:T$44,Scores!T36),"")</f>
        <v/>
      </c>
      <c r="EH36" s="1" t="str">
        <f aca="false">IF(AND(Scores!$B36=1,OR(Scores!$C36="Tool condition",Scores!$C36="Paper condition"),ISNUMBER(Scores!T36)),(COUNTIFS(Scores!$B$5:$B$44,1,Scores!$C$5:$C$44,"Tool condition",Scores!T$5:T$44,Scores!T36)+COUNTIFS(Scores!$B$5:$B$44,1,Scores!$C$5:$C$44,"Paper condition",Scores!T$5:T$44,Scores!T36))^2-1,"")</f>
        <v/>
      </c>
      <c r="EI36" s="1" t="str">
        <f aca="false">IF(AND(Scores!$B36=2,Scores!$C36="Tool condition",ISNUMBER(Scores!T36)),COUNTIFS(Scores!$B$5:$B$44,2,Scores!$C$5:$C$44,"Paper condition",Scores!T$5:T$44,"&lt;"&amp;Scores!T36)+0.5*COUNTIFS(Scores!$B$5:$B$44,2,Scores!$C$5:$C$44,"Paper condition",Scores!T$5:T$44,Scores!T36),"")</f>
        <v/>
      </c>
      <c r="EJ36" s="1" t="n">
        <f aca="false">IF(AND(Scores!$B36=2,OR(Scores!$C36="Tool condition",Scores!$C36="Paper condition"),ISNUMBER(Scores!T36)),(COUNTIFS(Scores!$B$5:$B$44,2,Scores!$C$5:$C$44,"Tool condition",Scores!T$5:T$44,Scores!T36)+COUNTIFS(Scores!$B$5:$B$44,2,Scores!$C$5:$C$44,"Paper condition",Scores!T$5:T$44,Scores!T36))^2-1,"")</f>
        <v>8</v>
      </c>
      <c r="EK36" s="1" t="n">
        <f aca="false">IF(ISNUMBER(Scores!T36),Scores!T36^2,"")</f>
        <v>25</v>
      </c>
      <c r="EL36" s="1" t="str">
        <f aca="false">IF(AND(Scores!$B36=1,Scores!$C36="Tool condition",ISNUMBER(Scores!U36)),COUNTIFS(Scores!$B$5:$B$44,1,Scores!$C$5:$C$44,"Paper condition",Scores!U$5:U$44,"&lt;"&amp;Scores!U36)+0.5*COUNTIFS(Scores!$B$5:$B$44,1,Scores!$C$5:$C$44,"Paper condition",Scores!U$5:U$44,Scores!U36),"")</f>
        <v/>
      </c>
      <c r="EM36" s="1" t="str">
        <f aca="false">IF(AND(Scores!$B36=1,OR(Scores!$C36="Tool condition",Scores!$C36="Paper condition"),ISNUMBER(Scores!U36)),(COUNTIFS(Scores!$B$5:$B$44,1,Scores!$C$5:$C$44,"Tool condition",Scores!U$5:U$44,Scores!U36)+COUNTIFS(Scores!$B$5:$B$44,1,Scores!$C$5:$C$44,"Paper condition",Scores!U$5:U$44,Scores!U36))^2-1,"")</f>
        <v/>
      </c>
      <c r="EN36" s="1" t="str">
        <f aca="false">IF(AND(Scores!$B36=2,Scores!$C36="Tool condition",ISNUMBER(Scores!U36)),COUNTIFS(Scores!$B$5:$B$44,2,Scores!$C$5:$C$44,"Paper condition",Scores!U$5:U$44,"&lt;"&amp;Scores!U36)+0.5*COUNTIFS(Scores!$B$5:$B$44,2,Scores!$C$5:$C$44,"Paper condition",Scores!U$5:U$44,Scores!U36),"")</f>
        <v/>
      </c>
      <c r="EO36" s="1" t="n">
        <f aca="false">IF(AND(Scores!$B36=2,OR(Scores!$C36="Tool condition",Scores!$C36="Paper condition"),ISNUMBER(Scores!U36)),(COUNTIFS(Scores!$B$5:$B$44,2,Scores!$C$5:$C$44,"Tool condition",Scores!U$5:U$44,Scores!U36)+COUNTIFS(Scores!$B$5:$B$44,2,Scores!$C$5:$C$44,"Paper condition",Scores!U$5:U$44,Scores!U36))^2-1,"")</f>
        <v>35</v>
      </c>
      <c r="EP36" s="1" t="n">
        <f aca="false">IF(ISNUMBER(Scores!U36),Scores!U36^2,"")</f>
        <v>16</v>
      </c>
      <c r="EQ36" s="1" t="str">
        <f aca="false">IF(AND(Scores!$B36=1,Scores!$C36="Tool condition",ISNUMBER(Scores!V36)),COUNTIFS(Scores!$B$5:$B$44,1,Scores!$C$5:$C$44,"Paper condition",Scores!V$5:V$44,"&lt;"&amp;Scores!V36)+0.5*COUNTIFS(Scores!$B$5:$B$44,1,Scores!$C$5:$C$44,"Paper condition",Scores!V$5:V$44,Scores!V36),"")</f>
        <v/>
      </c>
      <c r="ER36" s="1" t="str">
        <f aca="false">IF(AND(Scores!$B36=1,OR(Scores!$C36="Tool condition",Scores!$C36="Paper condition"),ISNUMBER(Scores!V36)),(COUNTIFS(Scores!$B$5:$B$44,1,Scores!$C$5:$C$44,"Tool condition",Scores!V$5:V$44,Scores!V36)+COUNTIFS(Scores!$B$5:$B$44,1,Scores!$C$5:$C$44,"Paper condition",Scores!V$5:V$44,Scores!V36))^2-1,"")</f>
        <v/>
      </c>
      <c r="ES36" s="1" t="str">
        <f aca="false">IF(AND(Scores!$B36=2,Scores!$C36="Tool condition",ISNUMBER(Scores!V36)),COUNTIFS(Scores!$B$5:$B$44,2,Scores!$C$5:$C$44,"Paper condition",Scores!V$5:V$44,"&lt;"&amp;Scores!V36)+0.5*COUNTIFS(Scores!$B$5:$B$44,2,Scores!$C$5:$C$44,"Paper condition",Scores!V$5:V$44,Scores!V36),"")</f>
        <v/>
      </c>
      <c r="ET36" s="1" t="n">
        <f aca="false">IF(AND(Scores!$B36=2,OR(Scores!$C36="Tool condition",Scores!$C36="Paper condition"),ISNUMBER(Scores!V36)),(COUNTIFS(Scores!$B$5:$B$44,2,Scores!$C$5:$C$44,"Tool condition",Scores!V$5:V$44,Scores!V36)+COUNTIFS(Scores!$B$5:$B$44,2,Scores!$C$5:$C$44,"Paper condition",Scores!V$5:V$44,Scores!V36))^2-1,"")</f>
        <v>15</v>
      </c>
      <c r="EU36" s="1" t="n">
        <f aca="false">IF(ISNUMBER(Scores!V36),Scores!V36^2,"")</f>
        <v>36</v>
      </c>
      <c r="EV36" s="1" t="str">
        <f aca="false">IF(AND(R_Scores!$B36=1,R_Scores!$C36="Tool condition",ISNUMBER(R_Scores!Q36)),COUNTIFS(R_Scores!$B$5:$B$44,1,R_Scores!$C$5:$C$44,"Paper condition",R_Scores!Q$5:Q$44,"&lt;"&amp;R_Scores!Q36)+0.5*COUNTIFS(R_Scores!$B$5:$B$44,1,R_Scores!$C$5:$C$44,"Paper condition",R_Scores!Q$5:Q$44,R_Scores!Q36),"")</f>
        <v/>
      </c>
      <c r="EW36" s="1" t="str">
        <f aca="false">IF(AND(R_Scores!$B36=1,OR(R_Scores!$C36="Tool condition",R_Scores!$C36="Paper condition"),ISNUMBER(R_Scores!Q36)),(COUNTIFS(R_Scores!$B$5:$B$44,1,R_Scores!$C$5:$C$44,"Tool condition",R_Scores!Q$5:Q$44,R_Scores!Q36)+COUNTIFS(R_Scores!$B$5:$B$44,1,R_Scores!$C$5:$C$44,"Paper condition",R_Scores!Q$5:Q$44,R_Scores!Q36))^2-1,"")</f>
        <v/>
      </c>
      <c r="EX36" s="1" t="str">
        <f aca="false">IF(AND(R_Scores!$B36=2,R_Scores!$C36="Tool condition",ISNUMBER(R_Scores!Q36)),COUNTIFS(R_Scores!$B$5:$B$44,2,R_Scores!$C$5:$C$44,"Paper condition",R_Scores!Q$5:Q$44,"&lt;"&amp;R_Scores!Q36)+0.5*COUNTIFS(R_Scores!$B$5:$B$44,2,R_Scores!$C$5:$C$44,"Paper condition",R_Scores!Q$5:Q$44,R_Scores!Q36),"")</f>
        <v/>
      </c>
      <c r="EY36" s="1" t="n">
        <f aca="false">IF(AND(R_Scores!$B36=2,OR(R_Scores!$C36="Tool condition",R_Scores!$C36="Paper condition"),ISNUMBER(R_Scores!Q36)),(COUNTIFS(R_Scores!$B$5:$B$44,2,R_Scores!$C$5:$C$44,"Tool condition",R_Scores!Q$5:Q$44,R_Scores!Q36)+COUNTIFS(R_Scores!$B$5:$B$44,2,R_Scores!$C$5:$C$44,"Paper condition",R_Scores!Q$5:Q$44,R_Scores!Q36))^2-1,"")</f>
        <v>8</v>
      </c>
      <c r="EZ36" s="1" t="n">
        <f aca="false">IF(ISNUMBER(R_Scores!Q36),R_Scores!Q36^2,"")</f>
        <v>16</v>
      </c>
      <c r="FA36" s="1" t="str">
        <f aca="false">IF(AND(R_Scores!$B36=1,R_Scores!$C36="Tool condition",ISNUMBER(R_Scores!R36)),COUNTIFS(R_Scores!$B$5:$B$44,1,R_Scores!$C$5:$C$44,"Paper condition",R_Scores!R$5:R$44,"&lt;"&amp;R_Scores!R36)+0.5*COUNTIFS(R_Scores!$B$5:$B$44,1,R_Scores!$C$5:$C$44,"Paper condition",R_Scores!R$5:R$44,R_Scores!R36),"")</f>
        <v/>
      </c>
      <c r="FB36" s="1" t="str">
        <f aca="false">IF(AND(R_Scores!$B36=1,OR(R_Scores!$C36="Tool condition",R_Scores!$C36="Paper condition"),ISNUMBER(R_Scores!R36)),(COUNTIFS(R_Scores!$B$5:$B$44,1,R_Scores!$C$5:$C$44,"Tool condition",R_Scores!R$5:R$44,R_Scores!R36)+COUNTIFS(R_Scores!$B$5:$B$44,1,R_Scores!$C$5:$C$44,"Paper condition",R_Scores!R$5:R$44,R_Scores!R36))^2-1,"")</f>
        <v/>
      </c>
      <c r="FC36" s="1" t="str">
        <f aca="false">IF(AND(R_Scores!$B36=2,R_Scores!$C36="Tool condition",ISNUMBER(R_Scores!R36)),COUNTIFS(R_Scores!$B$5:$B$44,2,R_Scores!$C$5:$C$44,"Paper condition",R_Scores!R$5:R$44,"&lt;"&amp;R_Scores!R36)+0.5*COUNTIFS(R_Scores!$B$5:$B$44,2,R_Scores!$C$5:$C$44,"Paper condition",R_Scores!R$5:R$44,R_Scores!R36),"")</f>
        <v/>
      </c>
      <c r="FD36" s="1" t="n">
        <f aca="false">IF(AND(R_Scores!$B36=2,OR(R_Scores!$C36="Tool condition",R_Scores!$C36="Paper condition"),ISNUMBER(R_Scores!R36)),(COUNTIFS(R_Scores!$B$5:$B$44,2,R_Scores!$C$5:$C$44,"Tool condition",R_Scores!R$5:R$44,R_Scores!R36)+COUNTIFS(R_Scores!$B$5:$B$44,2,R_Scores!$C$5:$C$44,"Paper condition",R_Scores!R$5:R$44,R_Scores!R36))^2-1,"")</f>
        <v>3</v>
      </c>
      <c r="FE36" s="1" t="n">
        <f aca="false">IF(ISNUMBER(R_Scores!R36),R_Scores!R36^2,"")</f>
        <v>361</v>
      </c>
    </row>
    <row r="37" customFormat="false" ht="14.25" hidden="false" customHeight="true" outlineLevel="0" collapsed="false">
      <c r="B37" s="1" t="str">
        <f aca="false">IF(AND(Scores!$B37=1,Scores!$C37="Tool condition",ISNUMBER(Scores!E37)),COUNTIFS(Scores!$B$5:$B$44,1,Scores!$C$5:$C$44,"Paper condition",Scores!E$5:E$44,"&lt;"&amp;Scores!E37)+0.5*COUNTIFS(Scores!$B$5:$B$44,1,Scores!$C$5:$C$44,"Paper condition",Scores!E$5:E$44,Scores!E37),"")</f>
        <v/>
      </c>
      <c r="C37" s="1" t="str">
        <f aca="false">IF(AND(Scores!$B37=1,OR(Scores!$C37="Tool condition",Scores!$C37="Paper condition"),ISNUMBER(Scores!E37)),(COUNTIFS(Scores!$B$5:$B$44,1,Scores!$C$5:$C$44,"Tool condition",Scores!E$5:E$44,Scores!E37)+COUNTIFS(Scores!$B$5:$B$44,1,Scores!$C$5:$C$44,"Paper condition",Scores!E$5:E$44,Scores!E37))^2-1,"")</f>
        <v/>
      </c>
      <c r="D37" s="1" t="str">
        <f aca="false">IF(AND(Scores!$B37=2,Scores!$C37="Tool condition",ISNUMBER(Scores!E37)),COUNTIFS(Scores!$B$5:$B$44,2,Scores!$C$5:$C$44,"Paper condition",Scores!E$5:E$44,"&lt;"&amp;Scores!E37)+0.5*COUNTIFS(Scores!$B$5:$B$44,2,Scores!$C$5:$C$44,"Paper condition",Scores!E$5:E$44,Scores!E37),"")</f>
        <v/>
      </c>
      <c r="E37" s="1" t="n">
        <f aca="false">IF(AND(Scores!$B37=2,OR(Scores!$C37="Tool condition",Scores!$C37="Paper condition"),ISNUMBER(Scores!E37)),(COUNTIFS(Scores!$B$5:$B$44,2,Scores!$C$5:$C$44,"Tool condition",Scores!E$5:E$44,Scores!E37)+COUNTIFS(Scores!$B$5:$B$44,2,Scores!$C$5:$C$44,"Paper condition",Scores!E$5:E$44,Scores!E37))^2-1,"")</f>
        <v>63</v>
      </c>
      <c r="F37" s="1" t="n">
        <f aca="false">IF(ISNUMBER(Scores!E37),Scores!E37^2,"")</f>
        <v>1</v>
      </c>
      <c r="G37" s="1" t="str">
        <f aca="false">IF(AND(Scores!$B37=1,Scores!$C37="Tool condition",ISNUMBER(Scores!F37)),COUNTIFS(Scores!$B$5:$B$44,1,Scores!$C$5:$C$44,"Paper condition",Scores!F$5:F$44,"&lt;"&amp;Scores!F37)+0.5*COUNTIFS(Scores!$B$5:$B$44,1,Scores!$C$5:$C$44,"Paper condition",Scores!F$5:F$44,Scores!F37),"")</f>
        <v/>
      </c>
      <c r="H37" s="1" t="str">
        <f aca="false">IF(AND(Scores!$B37=1,OR(Scores!$C37="Tool condition",Scores!$C37="Paper condition"),ISNUMBER(Scores!F37)),(COUNTIFS(Scores!$B$5:$B$44,1,Scores!$C$5:$C$44,"Tool condition",Scores!F$5:F$44,Scores!F37)+COUNTIFS(Scores!$B$5:$B$44,1,Scores!$C$5:$C$44,"Paper condition",Scores!F$5:F$44,Scores!F37))^2-1,"")</f>
        <v/>
      </c>
      <c r="I37" s="1" t="str">
        <f aca="false">IF(AND(Scores!$B37=2,Scores!$C37="Tool condition",ISNUMBER(Scores!F37)),COUNTIFS(Scores!$B$5:$B$44,2,Scores!$C$5:$C$44,"Paper condition",Scores!F$5:F$44,"&lt;"&amp;Scores!F37)+0.5*COUNTIFS(Scores!$B$5:$B$44,2,Scores!$C$5:$C$44,"Paper condition",Scores!F$5:F$44,Scores!F37),"")</f>
        <v/>
      </c>
      <c r="J37" s="1" t="n">
        <f aca="false">IF(AND(Scores!$B37=2,OR(Scores!$C37="Tool condition",Scores!$C37="Paper condition"),ISNUMBER(Scores!F37)),(COUNTIFS(Scores!$B$5:$B$44,2,Scores!$C$5:$C$44,"Tool condition",Scores!F$5:F$44,Scores!F37)+COUNTIFS(Scores!$B$5:$B$44,2,Scores!$C$5:$C$44,"Paper condition",Scores!F$5:F$44,Scores!F37))^2-1,"")</f>
        <v>63</v>
      </c>
      <c r="K37" s="1" t="n">
        <f aca="false">IF(ISNUMBER(Scores!F37),Scores!F37^2,"")</f>
        <v>1</v>
      </c>
      <c r="L37" s="1" t="str">
        <f aca="false">IF(AND(Scores!$B37=1,Scores!$C37="Tool condition",ISNUMBER(Scores!G37)),COUNTIFS(Scores!$B$5:$B$44,1,Scores!$C$5:$C$44,"Paper condition",Scores!G$5:G$44,"&lt;"&amp;Scores!G37)+0.5*COUNTIFS(Scores!$B$5:$B$44,1,Scores!$C$5:$C$44,"Paper condition",Scores!G$5:G$44,Scores!G37),"")</f>
        <v/>
      </c>
      <c r="M37" s="1" t="str">
        <f aca="false">IF(AND(Scores!$B37=1,OR(Scores!$C37="Tool condition",Scores!$C37="Paper condition"),ISNUMBER(Scores!G37)),(COUNTIFS(Scores!$B$5:$B$44,1,Scores!$C$5:$C$44,"Tool condition",Scores!G$5:G$44,Scores!G37)+COUNTIFS(Scores!$B$5:$B$44,1,Scores!$C$5:$C$44,"Paper condition",Scores!G$5:G$44,Scores!G37))^2-1,"")</f>
        <v/>
      </c>
      <c r="N37" s="1" t="str">
        <f aca="false">IF(AND(Scores!$B37=2,Scores!$C37="Tool condition",ISNUMBER(Scores!G37)),COUNTIFS(Scores!$B$5:$B$44,2,Scores!$C$5:$C$44,"Paper condition",Scores!G$5:G$44,"&lt;"&amp;Scores!G37)+0.5*COUNTIFS(Scores!$B$5:$B$44,2,Scores!$C$5:$C$44,"Paper condition",Scores!G$5:G$44,Scores!G37),"")</f>
        <v/>
      </c>
      <c r="O37" s="1" t="n">
        <f aca="false">IF(AND(Scores!$B37=2,OR(Scores!$C37="Tool condition",Scores!$C37="Paper condition"),ISNUMBER(Scores!G37)),(COUNTIFS(Scores!$B$5:$B$44,2,Scores!$C$5:$C$44,"Tool condition",Scores!G$5:G$44,Scores!G37)+COUNTIFS(Scores!$B$5:$B$44,2,Scores!$C$5:$C$44,"Paper condition",Scores!G$5:G$44,Scores!G37))^2-1,"")</f>
        <v>195</v>
      </c>
      <c r="P37" s="1" t="n">
        <f aca="false">IF(ISNUMBER(Scores!G37),Scores!G37^2,"")</f>
        <v>4</v>
      </c>
      <c r="Q37" s="1" t="str">
        <f aca="false">IF(AND(Scores!$B37=1,Scores!$C37="Tool condition",ISNUMBER(Scores!H37)),COUNTIFS(Scores!$B$5:$B$44,1,Scores!$C$5:$C$44,"Paper condition",Scores!H$5:H$44,"&lt;"&amp;Scores!H37)+0.5*COUNTIFS(Scores!$B$5:$B$44,1,Scores!$C$5:$C$44,"Paper condition",Scores!H$5:H$44,Scores!H37),"")</f>
        <v/>
      </c>
      <c r="R37" s="1" t="str">
        <f aca="false">IF(AND(Scores!$B37=1,OR(Scores!$C37="Tool condition",Scores!$C37="Paper condition"),ISNUMBER(Scores!H37)),(COUNTIFS(Scores!$B$5:$B$44,1,Scores!$C$5:$C$44,"Tool condition",Scores!H$5:H$44,Scores!H37)+COUNTIFS(Scores!$B$5:$B$44,1,Scores!$C$5:$C$44,"Paper condition",Scores!H$5:H$44,Scores!H37))^2-1,"")</f>
        <v/>
      </c>
      <c r="S37" s="1" t="str">
        <f aca="false">IF(AND(Scores!$B37=2,Scores!$C37="Tool condition",ISNUMBER(Scores!H37)),COUNTIFS(Scores!$B$5:$B$44,2,Scores!$C$5:$C$44,"Paper condition",Scores!H$5:H$44,"&lt;"&amp;Scores!H37)+0.5*COUNTIFS(Scores!$B$5:$B$44,2,Scores!$C$5:$C$44,"Paper condition",Scores!H$5:H$44,Scores!H37),"")</f>
        <v/>
      </c>
      <c r="T37" s="1" t="n">
        <f aca="false">IF(AND(Scores!$B37=2,OR(Scores!$C37="Tool condition",Scores!$C37="Paper condition"),ISNUMBER(Scores!H37)),(COUNTIFS(Scores!$B$5:$B$44,2,Scores!$C$5:$C$44,"Tool condition",Scores!H$5:H$44,Scores!H37)+COUNTIFS(Scores!$B$5:$B$44,2,Scores!$C$5:$C$44,"Paper condition",Scores!H$5:H$44,Scores!H37))^2-1,"")</f>
        <v>99</v>
      </c>
      <c r="U37" s="1" t="n">
        <f aca="false">IF(ISNUMBER(Scores!H37),Scores!H37^2,"")</f>
        <v>1</v>
      </c>
      <c r="V37" s="1" t="str">
        <f aca="false">IF(AND(Scores!$B37=1,Scores!$C37="Tool condition",ISNUMBER(Scores!I37)),COUNTIFS(Scores!$B$5:$B$44,1,Scores!$C$5:$C$44,"Paper condition",Scores!I$5:I$44,"&lt;"&amp;Scores!I37)+0.5*COUNTIFS(Scores!$B$5:$B$44,1,Scores!$C$5:$C$44,"Paper condition",Scores!I$5:I$44,Scores!I37),"")</f>
        <v/>
      </c>
      <c r="W37" s="1" t="str">
        <f aca="false">IF(AND(Scores!$B37=1,OR(Scores!$C37="Tool condition",Scores!$C37="Paper condition"),ISNUMBER(Scores!I37)),(COUNTIFS(Scores!$B$5:$B$44,1,Scores!$C$5:$C$44,"Tool condition",Scores!I$5:I$44,Scores!I37)+COUNTIFS(Scores!$B$5:$B$44,1,Scores!$C$5:$C$44,"Paper condition",Scores!I$5:I$44,Scores!I37))^2-1,"")</f>
        <v/>
      </c>
      <c r="X37" s="1" t="str">
        <f aca="false">IF(AND(Scores!$B37=2,Scores!$C37="Tool condition",ISNUMBER(Scores!I37)),COUNTIFS(Scores!$B$5:$B$44,2,Scores!$C$5:$C$44,"Paper condition",Scores!I$5:I$44,"&lt;"&amp;Scores!I37)+0.5*COUNTIFS(Scores!$B$5:$B$44,2,Scores!$C$5:$C$44,"Paper condition",Scores!I$5:I$44,Scores!I37),"")</f>
        <v/>
      </c>
      <c r="Y37" s="1" t="n">
        <f aca="false">IF(AND(Scores!$B37=2,OR(Scores!$C37="Tool condition",Scores!$C37="Paper condition"),ISNUMBER(Scores!I37)),(COUNTIFS(Scores!$B$5:$B$44,2,Scores!$C$5:$C$44,"Tool condition",Scores!I$5:I$44,Scores!I37)+COUNTIFS(Scores!$B$5:$B$44,2,Scores!$C$5:$C$44,"Paper condition",Scores!I$5:I$44,Scores!I37))^2-1,"")</f>
        <v>0</v>
      </c>
      <c r="Z37" s="1" t="n">
        <f aca="false">IF(ISNUMBER(Scores!I37),Scores!I37^2,"")</f>
        <v>0</v>
      </c>
      <c r="AA37" s="1" t="str">
        <f aca="false">IF(AND(Scores!$B37=1,Scores!$C37="Tool condition",ISNUMBER(Scores!J37)),COUNTIFS(Scores!$B$5:$B$44,1,Scores!$C$5:$C$44,"Paper condition",Scores!J$5:J$44,"&lt;"&amp;Scores!J37)+0.5*COUNTIFS(Scores!$B$5:$B$44,1,Scores!$C$5:$C$44,"Paper condition",Scores!J$5:J$44,Scores!J37),"")</f>
        <v/>
      </c>
      <c r="AB37" s="1" t="str">
        <f aca="false">IF(AND(Scores!$B37=1,OR(Scores!$C37="Tool condition",Scores!$C37="Paper condition"),ISNUMBER(Scores!J37)),(COUNTIFS(Scores!$B$5:$B$44,1,Scores!$C$5:$C$44,"Tool condition",Scores!J$5:J$44,Scores!J37)+COUNTIFS(Scores!$B$5:$B$44,1,Scores!$C$5:$C$44,"Paper condition",Scores!J$5:J$44,Scores!J37))^2-1,"")</f>
        <v/>
      </c>
      <c r="AC37" s="1" t="str">
        <f aca="false">IF(AND(Scores!$B37=2,Scores!$C37="Tool condition",ISNUMBER(Scores!J37)),COUNTIFS(Scores!$B$5:$B$44,2,Scores!$C$5:$C$44,"Paper condition",Scores!J$5:J$44,"&lt;"&amp;Scores!J37)+0.5*COUNTIFS(Scores!$B$5:$B$44,2,Scores!$C$5:$C$44,"Paper condition",Scores!J$5:J$44,Scores!J37),"")</f>
        <v/>
      </c>
      <c r="AD37" s="1" t="n">
        <f aca="false">IF(AND(Scores!$B37=2,OR(Scores!$C37="Tool condition",Scores!$C37="Paper condition"),ISNUMBER(Scores!J37)),(COUNTIFS(Scores!$B$5:$B$44,2,Scores!$C$5:$C$44,"Tool condition",Scores!J$5:J$44,Scores!J37)+COUNTIFS(Scores!$B$5:$B$44,2,Scores!$C$5:$C$44,"Paper condition",Scores!J$5:J$44,Scores!J37))^2-1,"")</f>
        <v>80</v>
      </c>
      <c r="AE37" s="1" t="n">
        <f aca="false">IF(ISNUMBER(Scores!J37),Scores!J37^2,"")</f>
        <v>1</v>
      </c>
      <c r="AF37" s="1" t="str">
        <f aca="false">IF(AND(Scores!$B37=1,Scores!$C37="Tool condition",ISNUMBER(Scores!K37)),COUNTIFS(Scores!$B$5:$B$44,1,Scores!$C$5:$C$44,"Paper condition",Scores!K$5:K$44,"&lt;"&amp;Scores!K37)+0.5*COUNTIFS(Scores!$B$5:$B$44,1,Scores!$C$5:$C$44,"Paper condition",Scores!K$5:K$44,Scores!K37),"")</f>
        <v/>
      </c>
      <c r="AG37" s="1" t="str">
        <f aca="false">IF(AND(Scores!$B37=1,OR(Scores!$C37="Tool condition",Scores!$C37="Paper condition"),ISNUMBER(Scores!K37)),(COUNTIFS(Scores!$B$5:$B$44,1,Scores!$C$5:$C$44,"Tool condition",Scores!K$5:K$44,Scores!K37)+COUNTIFS(Scores!$B$5:$B$44,1,Scores!$C$5:$C$44,"Paper condition",Scores!K$5:K$44,Scores!K37))^2-1,"")</f>
        <v/>
      </c>
      <c r="AH37" s="1" t="str">
        <f aca="false">IF(AND(Scores!$B37=2,Scores!$C37="Tool condition",ISNUMBER(Scores!K37)),COUNTIFS(Scores!$B$5:$B$44,2,Scores!$C$5:$C$44,"Paper condition",Scores!K$5:K$44,"&lt;"&amp;Scores!K37)+0.5*COUNTIFS(Scores!$B$5:$B$44,2,Scores!$C$5:$C$44,"Paper condition",Scores!K$5:K$44,Scores!K37),"")</f>
        <v/>
      </c>
      <c r="AI37" s="1" t="n">
        <f aca="false">IF(AND(Scores!$B37=2,OR(Scores!$C37="Tool condition",Scores!$C37="Paper condition"),ISNUMBER(Scores!K37)),(COUNTIFS(Scores!$B$5:$B$44,2,Scores!$C$5:$C$44,"Tool condition",Scores!K$5:K$44,Scores!K37)+COUNTIFS(Scores!$B$5:$B$44,2,Scores!$C$5:$C$44,"Paper condition",Scores!K$5:K$44,Scores!K37))^2-1,"")</f>
        <v>80</v>
      </c>
      <c r="AJ37" s="1" t="n">
        <f aca="false">IF(ISNUMBER(Scores!K37),Scores!K37^2,"")</f>
        <v>4</v>
      </c>
      <c r="AK37" s="1" t="str">
        <f aca="false">IF(AND(Scores!$B37=1,Scores!$C37="Tool condition",ISNUMBER(Scores!L37)),COUNTIFS(Scores!$B$5:$B$44,1,Scores!$C$5:$C$44,"Paper condition",Scores!L$5:L$44,"&lt;"&amp;Scores!L37)+0.5*COUNTIFS(Scores!$B$5:$B$44,1,Scores!$C$5:$C$44,"Paper condition",Scores!L$5:L$44,Scores!L37),"")</f>
        <v/>
      </c>
      <c r="AL37" s="1" t="str">
        <f aca="false">IF(AND(Scores!$B37=1,OR(Scores!$C37="Tool condition",Scores!$C37="Paper condition"),ISNUMBER(Scores!L37)),(COUNTIFS(Scores!$B$5:$B$44,1,Scores!$C$5:$C$44,"Tool condition",Scores!L$5:L$44,Scores!L37)+COUNTIFS(Scores!$B$5:$B$44,1,Scores!$C$5:$C$44,"Paper condition",Scores!L$5:L$44,Scores!L37))^2-1,"")</f>
        <v/>
      </c>
      <c r="AM37" s="1" t="str">
        <f aca="false">IF(AND(Scores!$B37=2,Scores!$C37="Tool condition",ISNUMBER(Scores!L37)),COUNTIFS(Scores!$B$5:$B$44,2,Scores!$C$5:$C$44,"Paper condition",Scores!L$5:L$44,"&lt;"&amp;Scores!L37)+0.5*COUNTIFS(Scores!$B$5:$B$44,2,Scores!$C$5:$C$44,"Paper condition",Scores!L$5:L$44,Scores!L37),"")</f>
        <v/>
      </c>
      <c r="AN37" s="1" t="n">
        <f aca="false">IF(AND(Scores!$B37=2,OR(Scores!$C37="Tool condition",Scores!$C37="Paper condition"),ISNUMBER(Scores!L37)),(COUNTIFS(Scores!$B$5:$B$44,2,Scores!$C$5:$C$44,"Tool condition",Scores!L$5:L$44,Scores!L37)+COUNTIFS(Scores!$B$5:$B$44,2,Scores!$C$5:$C$44,"Paper condition",Scores!L$5:L$44,Scores!L37))^2-1,"")</f>
        <v>99</v>
      </c>
      <c r="AO37" s="1" t="n">
        <f aca="false">IF(ISNUMBER(Scores!L37),Scores!L37^2,"")</f>
        <v>1</v>
      </c>
      <c r="AP37" s="1" t="str">
        <f aca="false">IF(AND(Scores!$B37=1,Scores!$C37="Tool condition",ISNUMBER(Scores!M37)),COUNTIFS(Scores!$B$5:$B$44,1,Scores!$C$5:$C$44,"Paper condition",Scores!M$5:M$44,"&lt;"&amp;Scores!M37)+0.5*COUNTIFS(Scores!$B$5:$B$44,1,Scores!$C$5:$C$44,"Paper condition",Scores!M$5:M$44,Scores!M37),"")</f>
        <v/>
      </c>
      <c r="AQ37" s="1" t="str">
        <f aca="false">IF(AND(Scores!$B37=1,OR(Scores!$C37="Tool condition",Scores!$C37="Paper condition"),ISNUMBER(Scores!M37)),(COUNTIFS(Scores!$B$5:$B$44,1,Scores!$C$5:$C$44,"Tool condition",Scores!M$5:M$44,Scores!M37)+COUNTIFS(Scores!$B$5:$B$44,1,Scores!$C$5:$C$44,"Paper condition",Scores!M$5:M$44,Scores!M37))^2-1,"")</f>
        <v/>
      </c>
      <c r="AR37" s="1" t="str">
        <f aca="false">IF(AND(Scores!$B37=2,Scores!$C37="Tool condition",ISNUMBER(Scores!M37)),COUNTIFS(Scores!$B$5:$B$44,2,Scores!$C$5:$C$44,"Paper condition",Scores!M$5:M$44,"&lt;"&amp;Scores!M37)+0.5*COUNTIFS(Scores!$B$5:$B$44,2,Scores!$C$5:$C$44,"Paper condition",Scores!M$5:M$44,Scores!M37),"")</f>
        <v/>
      </c>
      <c r="AS37" s="1" t="n">
        <f aca="false">IF(AND(Scores!$B37=2,OR(Scores!$C37="Tool condition",Scores!$C37="Paper condition"),ISNUMBER(Scores!M37)),(COUNTIFS(Scores!$B$5:$B$44,2,Scores!$C$5:$C$44,"Tool condition",Scores!M$5:M$44,Scores!M37)+COUNTIFS(Scores!$B$5:$B$44,2,Scores!$C$5:$C$44,"Paper condition",Scores!M$5:M$44,Scores!M37))^2-1,"")</f>
        <v>63</v>
      </c>
      <c r="AT37" s="1" t="n">
        <f aca="false">IF(ISNUMBER(Scores!M37),Scores!M37^2,"")</f>
        <v>4</v>
      </c>
      <c r="AU37" s="1" t="str">
        <f aca="false">IF(AND(Scores!$B37=1,Scores!$C37="Tool condition",ISNUMBER(Scores!N37)),COUNTIFS(Scores!$B$5:$B$44,1,Scores!$C$5:$C$44,"Paper condition",Scores!N$5:N$44,"&lt;"&amp;Scores!N37)+0.5*COUNTIFS(Scores!$B$5:$B$44,1,Scores!$C$5:$C$44,"Paper condition",Scores!N$5:N$44,Scores!N37),"")</f>
        <v/>
      </c>
      <c r="AV37" s="1" t="str">
        <f aca="false">IF(AND(Scores!$B37=1,OR(Scores!$C37="Tool condition",Scores!$C37="Paper condition"),ISNUMBER(Scores!N37)),(COUNTIFS(Scores!$B$5:$B$44,1,Scores!$C$5:$C$44,"Tool condition",Scores!N$5:N$44,Scores!N37)+COUNTIFS(Scores!$B$5:$B$44,1,Scores!$C$5:$C$44,"Paper condition",Scores!N$5:N$44,Scores!N37))^2-1,"")</f>
        <v/>
      </c>
      <c r="AW37" s="1" t="str">
        <f aca="false">IF(AND(Scores!$B37=2,Scores!$C37="Tool condition",ISNUMBER(Scores!N37)),COUNTIFS(Scores!$B$5:$B$44,2,Scores!$C$5:$C$44,"Paper condition",Scores!N$5:N$44,"&lt;"&amp;Scores!N37)+0.5*COUNTIFS(Scores!$B$5:$B$44,2,Scores!$C$5:$C$44,"Paper condition",Scores!N$5:N$44,Scores!N37),"")</f>
        <v/>
      </c>
      <c r="AX37" s="1" t="n">
        <f aca="false">IF(AND(Scores!$B37=2,OR(Scores!$C37="Tool condition",Scores!$C37="Paper condition"),ISNUMBER(Scores!N37)),(COUNTIFS(Scores!$B$5:$B$44,2,Scores!$C$5:$C$44,"Tool condition",Scores!N$5:N$44,Scores!N37)+COUNTIFS(Scores!$B$5:$B$44,2,Scores!$C$5:$C$44,"Paper condition",Scores!N$5:N$44,Scores!N37))^2-1,"")</f>
        <v>24</v>
      </c>
      <c r="AY37" s="1" t="n">
        <f aca="false">IF(ISNUMBER(Scores!N37),Scores!N37^2,"")</f>
        <v>0</v>
      </c>
      <c r="AZ37" s="1" t="str">
        <f aca="false">IF(AND(Scores!$B37=1,Scores!$C37="Tool condition",ISNUMBER(Scores!O37)),COUNTIFS(Scores!$B$5:$B$44,1,Scores!$C$5:$C$44,"Paper condition",Scores!O$5:O$44,"&lt;"&amp;Scores!O37)+0.5*COUNTIFS(Scores!$B$5:$B$44,1,Scores!$C$5:$C$44,"Paper condition",Scores!O$5:O$44,Scores!O37),"")</f>
        <v/>
      </c>
      <c r="BA37" s="1" t="str">
        <f aca="false">IF(AND(Scores!$B37=1,OR(Scores!$C37="Tool condition",Scores!$C37="Paper condition"),ISNUMBER(Scores!O37)),(COUNTIFS(Scores!$B$5:$B$44,1,Scores!$C$5:$C$44,"Tool condition",Scores!O$5:O$44,Scores!O37)+COUNTIFS(Scores!$B$5:$B$44,1,Scores!$C$5:$C$44,"Paper condition",Scores!O$5:O$44,Scores!O37))^2-1,"")</f>
        <v/>
      </c>
      <c r="BB37" s="1" t="str">
        <f aca="false">IF(AND(Scores!$B37=2,Scores!$C37="Tool condition",ISNUMBER(Scores!O37)),COUNTIFS(Scores!$B$5:$B$44,2,Scores!$C$5:$C$44,"Paper condition",Scores!O$5:O$44,"&lt;"&amp;Scores!O37)+0.5*COUNTIFS(Scores!$B$5:$B$44,2,Scores!$C$5:$C$44,"Paper condition",Scores!O$5:O$44,Scores!O37),"")</f>
        <v/>
      </c>
      <c r="BC37" s="1" t="n">
        <f aca="false">IF(AND(Scores!$B37=2,OR(Scores!$C37="Tool condition",Scores!$C37="Paper condition"),ISNUMBER(Scores!O37)),(COUNTIFS(Scores!$B$5:$B$44,2,Scores!$C$5:$C$44,"Tool condition",Scores!O$5:O$44,Scores!O37)+COUNTIFS(Scores!$B$5:$B$44,2,Scores!$C$5:$C$44,"Paper condition",Scores!O$5:O$44,Scores!O37))^2-1,"")</f>
        <v>120</v>
      </c>
      <c r="BD37" s="1" t="n">
        <f aca="false">IF(ISNUMBER(Scores!O37),Scores!O37^2,"")</f>
        <v>1</v>
      </c>
      <c r="BE37" s="1" t="str">
        <f aca="false">IF(AND(Scores!$B37=1,Scores!$C37="Tool condition",ISNUMBER(Scores!P37)),COUNTIFS(Scores!$B$5:$B$44,1,Scores!$C$5:$C$44,"Paper condition",Scores!P$5:P$44,"&lt;"&amp;Scores!P37)+0.5*COUNTIFS(Scores!$B$5:$B$44,1,Scores!$C$5:$C$44,"Paper condition",Scores!P$5:P$44,Scores!P37),"")</f>
        <v/>
      </c>
      <c r="BF37" s="1" t="str">
        <f aca="false">IF(AND(Scores!$B37=1,OR(Scores!$C37="Tool condition",Scores!$C37="Paper condition"),ISNUMBER(Scores!P37)),(COUNTIFS(Scores!$B$5:$B$44,1,Scores!$C$5:$C$44,"Tool condition",Scores!P$5:P$44,Scores!P37)+COUNTIFS(Scores!$B$5:$B$44,1,Scores!$C$5:$C$44,"Paper condition",Scores!P$5:P$44,Scores!P37))^2-1,"")</f>
        <v/>
      </c>
      <c r="BG37" s="1" t="str">
        <f aca="false">IF(AND(Scores!$B37=2,Scores!$C37="Tool condition",ISNUMBER(Scores!P37)),COUNTIFS(Scores!$B$5:$B$44,2,Scores!$C$5:$C$44,"Paper condition",Scores!P$5:P$44,"&lt;"&amp;Scores!P37)+0.5*COUNTIFS(Scores!$B$5:$B$44,2,Scores!$C$5:$C$44,"Paper condition",Scores!P$5:P$44,Scores!P37),"")</f>
        <v/>
      </c>
      <c r="BH37" s="1" t="n">
        <f aca="false">IF(AND(Scores!$B37=2,OR(Scores!$C37="Tool condition",Scores!$C37="Paper condition"),ISNUMBER(Scores!P37)),(COUNTIFS(Scores!$B$5:$B$44,2,Scores!$C$5:$C$44,"Tool condition",Scores!P$5:P$44,Scores!P37)+COUNTIFS(Scores!$B$5:$B$44,2,Scores!$C$5:$C$44,"Paper condition",Scores!P$5:P$44,Scores!P37))^2-1,"")</f>
        <v>143</v>
      </c>
      <c r="BI37" s="1" t="n">
        <f aca="false">IF(ISNUMBER(Scores!P37),Scores!P37^2,"")</f>
        <v>1</v>
      </c>
      <c r="BJ37" s="1" t="str">
        <f aca="false">IF(AND(R_Scores!$B37=1,R_Scores!$C37="Tool condition",ISNUMBER(R_Scores!E37)),COUNTIFS(R_Scores!$B$5:$B$44,1,R_Scores!$C$5:$C$44,"Paper condition",R_Scores!E$5:E$44,"&lt;"&amp;R_Scores!E37)+0.5*COUNTIFS(R_Scores!$B$5:$B$44,1,R_Scores!$C$5:$C$44,"Paper condition",R_Scores!E$5:E$44,R_Scores!E37),"")</f>
        <v/>
      </c>
      <c r="BK37" s="1" t="str">
        <f aca="false">IF(AND(R_Scores!$B37=1,OR(R_Scores!$C37="Tool condition",R_Scores!$C37="Paper condition"),ISNUMBER(R_Scores!E37)),(COUNTIFS(R_Scores!$B$5:$B$44,1,R_Scores!$C$5:$C$44,"Tool condition",R_Scores!E$5:E$44,R_Scores!E37)+COUNTIFS(R_Scores!$B$5:$B$44,1,R_Scores!$C$5:$C$44,"Paper condition",R_Scores!E$5:E$44,R_Scores!E37))^2-1,"")</f>
        <v/>
      </c>
      <c r="BL37" s="1" t="str">
        <f aca="false">IF(AND(R_Scores!$B37=2,R_Scores!$C37="Tool condition",ISNUMBER(R_Scores!E37)),COUNTIFS(R_Scores!$B$5:$B$44,2,R_Scores!$C$5:$C$44,"Paper condition",R_Scores!E$5:E$44,"&lt;"&amp;R_Scores!E37)+0.5*COUNTIFS(R_Scores!$B$5:$B$44,2,R_Scores!$C$5:$C$44,"Paper condition",R_Scores!E$5:E$44,R_Scores!E37),"")</f>
        <v/>
      </c>
      <c r="BM37" s="1" t="n">
        <f aca="false">IF(AND(R_Scores!$B37=2,OR(R_Scores!$C37="Tool condition",R_Scores!$C37="Paper condition"),ISNUMBER(R_Scores!E37)),(COUNTIFS(R_Scores!$B$5:$B$44,2,R_Scores!$C$5:$C$44,"Tool condition",R_Scores!E$5:E$44,R_Scores!E37)+COUNTIFS(R_Scores!$B$5:$B$44,2,R_Scores!$C$5:$C$44,"Paper condition",R_Scores!E$5:E$44,R_Scores!E37))^2-1,"")</f>
        <v>24</v>
      </c>
      <c r="BN37" s="1" t="n">
        <f aca="false">IF(ISNUMBER(R_Scores!E37),R_Scores!E37^2,"")</f>
        <v>0</v>
      </c>
      <c r="BO37" s="1" t="str">
        <f aca="false">IF(AND(R_Scores!$B37=1,R_Scores!$C37="Tool condition",ISNUMBER(R_Scores!F37)),COUNTIFS(R_Scores!$B$5:$B$44,1,R_Scores!$C$5:$C$44,"Paper condition",R_Scores!F$5:F$44,"&lt;"&amp;R_Scores!F37)+0.5*COUNTIFS(R_Scores!$B$5:$B$44,1,R_Scores!$C$5:$C$44,"Paper condition",R_Scores!F$5:F$44,R_Scores!F37),"")</f>
        <v/>
      </c>
      <c r="BP37" s="1" t="str">
        <f aca="false">IF(AND(R_Scores!$B37=1,OR(R_Scores!$C37="Tool condition",R_Scores!$C37="Paper condition"),ISNUMBER(R_Scores!F37)),(COUNTIFS(R_Scores!$B$5:$B$44,1,R_Scores!$C$5:$C$44,"Tool condition",R_Scores!F$5:F$44,R_Scores!F37)+COUNTIFS(R_Scores!$B$5:$B$44,1,R_Scores!$C$5:$C$44,"Paper condition",R_Scores!F$5:F$44,R_Scores!F37))^2-1,"")</f>
        <v/>
      </c>
      <c r="BQ37" s="1" t="str">
        <f aca="false">IF(AND(R_Scores!$B37=2,R_Scores!$C37="Tool condition",ISNUMBER(R_Scores!F37)),COUNTIFS(R_Scores!$B$5:$B$44,2,R_Scores!$C$5:$C$44,"Paper condition",R_Scores!F$5:F$44,"&lt;"&amp;R_Scores!F37)+0.5*COUNTIFS(R_Scores!$B$5:$B$44,2,R_Scores!$C$5:$C$44,"Paper condition",R_Scores!F$5:F$44,R_Scores!F37),"")</f>
        <v/>
      </c>
      <c r="BR37" s="1" t="n">
        <f aca="false">IF(AND(R_Scores!$B37=2,OR(R_Scores!$C37="Tool condition",R_Scores!$C37="Paper condition"),ISNUMBER(R_Scores!F37)),(COUNTIFS(R_Scores!$B$5:$B$44,2,R_Scores!$C$5:$C$44,"Tool condition",R_Scores!F$5:F$44,R_Scores!F37)+COUNTIFS(R_Scores!$B$5:$B$44,2,R_Scores!$C$5:$C$44,"Paper condition",R_Scores!F$5:F$44,R_Scores!F37))^2-1,"")</f>
        <v>195</v>
      </c>
      <c r="BS37" s="1" t="n">
        <f aca="false">IF(ISNUMBER(R_Scores!F37),R_Scores!F37^2,"")</f>
        <v>1</v>
      </c>
      <c r="BT37" s="1" t="str">
        <f aca="false">IF(AND(R_Scores!$B37=1,R_Scores!$C37="Tool condition",ISNUMBER(R_Scores!G37)),COUNTIFS(R_Scores!$B$5:$B$44,1,R_Scores!$C$5:$C$44,"Paper condition",R_Scores!G$5:G$44,"&lt;"&amp;R_Scores!G37)+0.5*COUNTIFS(R_Scores!$B$5:$B$44,1,R_Scores!$C$5:$C$44,"Paper condition",R_Scores!G$5:G$44,R_Scores!G37),"")</f>
        <v/>
      </c>
      <c r="BU37" s="1" t="str">
        <f aca="false">IF(AND(R_Scores!$B37=1,OR(R_Scores!$C37="Tool condition",R_Scores!$C37="Paper condition"),ISNUMBER(R_Scores!G37)),(COUNTIFS(R_Scores!$B$5:$B$44,1,R_Scores!$C$5:$C$44,"Tool condition",R_Scores!G$5:G$44,R_Scores!G37)+COUNTIFS(R_Scores!$B$5:$B$44,1,R_Scores!$C$5:$C$44,"Paper condition",R_Scores!G$5:G$44,R_Scores!G37))^2-1,"")</f>
        <v/>
      </c>
      <c r="BV37" s="1" t="str">
        <f aca="false">IF(AND(R_Scores!$B37=2,R_Scores!$C37="Tool condition",ISNUMBER(R_Scores!G37)),COUNTIFS(R_Scores!$B$5:$B$44,2,R_Scores!$C$5:$C$44,"Paper condition",R_Scores!G$5:G$44,"&lt;"&amp;R_Scores!G37)+0.5*COUNTIFS(R_Scores!$B$5:$B$44,2,R_Scores!$C$5:$C$44,"Paper condition",R_Scores!G$5:G$44,R_Scores!G37),"")</f>
        <v/>
      </c>
      <c r="BW37" s="1" t="str">
        <f aca="false">IF(AND(R_Scores!$B37=2,OR(R_Scores!$C37="Tool condition",R_Scores!$C37="Paper condition"),ISNUMBER(R_Scores!G37)),(COUNTIFS(R_Scores!$B$5:$B$44,2,R_Scores!$C$5:$C$44,"Tool condition",R_Scores!G$5:G$44,R_Scores!G37)+COUNTIFS(R_Scores!$B$5:$B$44,2,R_Scores!$C$5:$C$44,"Paper condition",R_Scores!G$5:G$44,R_Scores!G37))^2-1,"")</f>
        <v/>
      </c>
      <c r="BX37" s="1" t="str">
        <f aca="false">IF(ISNUMBER(R_Scores!G37),R_Scores!G37^2,"")</f>
        <v/>
      </c>
      <c r="BY37" s="1" t="str">
        <f aca="false">IF(AND(R_Scores!$B37=1,R_Scores!$C37="Tool condition",ISNUMBER(R_Scores!H37)),COUNTIFS(R_Scores!$B$5:$B$44,1,R_Scores!$C$5:$C$44,"Paper condition",R_Scores!H$5:H$44,"&lt;"&amp;R_Scores!H37)+0.5*COUNTIFS(R_Scores!$B$5:$B$44,1,R_Scores!$C$5:$C$44,"Paper condition",R_Scores!H$5:H$44,R_Scores!H37),"")</f>
        <v/>
      </c>
      <c r="BZ37" s="1" t="str">
        <f aca="false">IF(AND(R_Scores!$B37=1,OR(R_Scores!$C37="Tool condition",R_Scores!$C37="Paper condition"),ISNUMBER(R_Scores!H37)),(COUNTIFS(R_Scores!$B$5:$B$44,1,R_Scores!$C$5:$C$44,"Tool condition",R_Scores!H$5:H$44,R_Scores!H37)+COUNTIFS(R_Scores!$B$5:$B$44,1,R_Scores!$C$5:$C$44,"Paper condition",R_Scores!H$5:H$44,R_Scores!H37))^2-1,"")</f>
        <v/>
      </c>
      <c r="CA37" s="1" t="str">
        <f aca="false">IF(AND(R_Scores!$B37=2,R_Scores!$C37="Tool condition",ISNUMBER(R_Scores!H37)),COUNTIFS(R_Scores!$B$5:$B$44,2,R_Scores!$C$5:$C$44,"Paper condition",R_Scores!H$5:H$44,"&lt;"&amp;R_Scores!H37)+0.5*COUNTIFS(R_Scores!$B$5:$B$44,2,R_Scores!$C$5:$C$44,"Paper condition",R_Scores!H$5:H$44,R_Scores!H37),"")</f>
        <v/>
      </c>
      <c r="CB37" s="1" t="str">
        <f aca="false">IF(AND(R_Scores!$B37=2,OR(R_Scores!$C37="Tool condition",R_Scores!$C37="Paper condition"),ISNUMBER(R_Scores!H37)),(COUNTIFS(R_Scores!$B$5:$B$44,2,R_Scores!$C$5:$C$44,"Tool condition",R_Scores!H$5:H$44,R_Scores!H37)+COUNTIFS(R_Scores!$B$5:$B$44,2,R_Scores!$C$5:$C$44,"Paper condition",R_Scores!H$5:H$44,R_Scores!H37))^2-1,"")</f>
        <v/>
      </c>
      <c r="CC37" s="1" t="str">
        <f aca="false">IF(ISNUMBER(R_Scores!H37),R_Scores!H37^2,"")</f>
        <v/>
      </c>
      <c r="CD37" s="1" t="str">
        <f aca="false">IF(AND(R_Scores!$B37=1,R_Scores!$C37="Tool condition",ISNUMBER(R_Scores!I37)),COUNTIFS(R_Scores!$B$5:$B$44,1,R_Scores!$C$5:$C$44,"Paper condition",R_Scores!I$5:I$44,"&lt;"&amp;R_Scores!I37)+0.5*COUNTIFS(R_Scores!$B$5:$B$44,1,R_Scores!$C$5:$C$44,"Paper condition",R_Scores!I$5:I$44,R_Scores!I37),"")</f>
        <v/>
      </c>
      <c r="CE37" s="1" t="str">
        <f aca="false">IF(AND(R_Scores!$B37=1,OR(R_Scores!$C37="Tool condition",R_Scores!$C37="Paper condition"),ISNUMBER(R_Scores!I37)),(COUNTIFS(R_Scores!$B$5:$B$44,1,R_Scores!$C$5:$C$44,"Tool condition",R_Scores!I$5:I$44,R_Scores!I37)+COUNTIFS(R_Scores!$B$5:$B$44,1,R_Scores!$C$5:$C$44,"Paper condition",R_Scores!I$5:I$44,R_Scores!I37))^2-1,"")</f>
        <v/>
      </c>
      <c r="CF37" s="1" t="str">
        <f aca="false">IF(AND(R_Scores!$B37=2,R_Scores!$C37="Tool condition",ISNUMBER(R_Scores!I37)),COUNTIFS(R_Scores!$B$5:$B$44,2,R_Scores!$C$5:$C$44,"Paper condition",R_Scores!I$5:I$44,"&lt;"&amp;R_Scores!I37)+0.5*COUNTIFS(R_Scores!$B$5:$B$44,2,R_Scores!$C$5:$C$44,"Paper condition",R_Scores!I$5:I$44,R_Scores!I37),"")</f>
        <v/>
      </c>
      <c r="CG37" s="1" t="n">
        <f aca="false">IF(AND(R_Scores!$B37=2,OR(R_Scores!$C37="Tool condition",R_Scores!$C37="Paper condition"),ISNUMBER(R_Scores!I37)),(COUNTIFS(R_Scores!$B$5:$B$44,2,R_Scores!$C$5:$C$44,"Tool condition",R_Scores!I$5:I$44,R_Scores!I37)+COUNTIFS(R_Scores!$B$5:$B$44,2,R_Scores!$C$5:$C$44,"Paper condition",R_Scores!I$5:I$44,R_Scores!I37))^2-1,"")</f>
        <v>15</v>
      </c>
      <c r="CH37" s="1" t="n">
        <f aca="false">IF(ISNUMBER(R_Scores!I37),R_Scores!I37^2,"")</f>
        <v>0</v>
      </c>
      <c r="CI37" s="1" t="str">
        <f aca="false">IF(AND(R_Scores!$B37=1,R_Scores!$C37="Tool condition",ISNUMBER(R_Scores!J37)),COUNTIFS(R_Scores!$B$5:$B$44,1,R_Scores!$C$5:$C$44,"Paper condition",R_Scores!J$5:J$44,"&lt;"&amp;R_Scores!J37)+0.5*COUNTIFS(R_Scores!$B$5:$B$44,1,R_Scores!$C$5:$C$44,"Paper condition",R_Scores!J$5:J$44,R_Scores!J37),"")</f>
        <v/>
      </c>
      <c r="CJ37" s="1" t="str">
        <f aca="false">IF(AND(R_Scores!$B37=1,OR(R_Scores!$C37="Tool condition",R_Scores!$C37="Paper condition"),ISNUMBER(R_Scores!J37)),(COUNTIFS(R_Scores!$B$5:$B$44,1,R_Scores!$C$5:$C$44,"Tool condition",R_Scores!J$5:J$44,R_Scores!J37)+COUNTIFS(R_Scores!$B$5:$B$44,1,R_Scores!$C$5:$C$44,"Paper condition",R_Scores!J$5:J$44,R_Scores!J37))^2-1,"")</f>
        <v/>
      </c>
      <c r="CK37" s="1" t="str">
        <f aca="false">IF(AND(R_Scores!$B37=2,R_Scores!$C37="Tool condition",ISNUMBER(R_Scores!J37)),COUNTIFS(R_Scores!$B$5:$B$44,2,R_Scores!$C$5:$C$44,"Paper condition",R_Scores!J$5:J$44,"&lt;"&amp;R_Scores!J37)+0.5*COUNTIFS(R_Scores!$B$5:$B$44,2,R_Scores!$C$5:$C$44,"Paper condition",R_Scores!J$5:J$44,R_Scores!J37),"")</f>
        <v/>
      </c>
      <c r="CL37" s="1" t="n">
        <f aca="false">IF(AND(R_Scores!$B37=2,OR(R_Scores!$C37="Tool condition",R_Scores!$C37="Paper condition"),ISNUMBER(R_Scores!J37)),(COUNTIFS(R_Scores!$B$5:$B$44,2,R_Scores!$C$5:$C$44,"Tool condition",R_Scores!J$5:J$44,R_Scores!J37)+COUNTIFS(R_Scores!$B$5:$B$44,2,R_Scores!$C$5:$C$44,"Paper condition",R_Scores!J$5:J$44,R_Scores!J37))^2-1,"")</f>
        <v>195</v>
      </c>
      <c r="CM37" s="1" t="n">
        <f aca="false">IF(ISNUMBER(R_Scores!J37),R_Scores!J37^2,"")</f>
        <v>1</v>
      </c>
      <c r="CN37" s="1" t="str">
        <f aca="false">IF(AND(R_Scores!$B37=1,R_Scores!$C37="Tool condition",ISNUMBER(R_Scores!K37)),COUNTIFS(R_Scores!$B$5:$B$44,1,R_Scores!$C$5:$C$44,"Paper condition",R_Scores!K$5:K$44,"&lt;"&amp;R_Scores!K37)+0.5*COUNTIFS(R_Scores!$B$5:$B$44,1,R_Scores!$C$5:$C$44,"Paper condition",R_Scores!K$5:K$44,R_Scores!K37),"")</f>
        <v/>
      </c>
      <c r="CO37" s="1" t="str">
        <f aca="false">IF(AND(R_Scores!$B37=1,OR(R_Scores!$C37="Tool condition",R_Scores!$C37="Paper condition"),ISNUMBER(R_Scores!K37)),(COUNTIFS(R_Scores!$B$5:$B$44,1,R_Scores!$C$5:$C$44,"Tool condition",R_Scores!K$5:K$44,R_Scores!K37)+COUNTIFS(R_Scores!$B$5:$B$44,1,R_Scores!$C$5:$C$44,"Paper condition",R_Scores!K$5:K$44,R_Scores!K37))^2-1,"")</f>
        <v/>
      </c>
      <c r="CP37" s="1" t="str">
        <f aca="false">IF(AND(R_Scores!$B37=2,R_Scores!$C37="Tool condition",ISNUMBER(R_Scores!K37)),COUNTIFS(R_Scores!$B$5:$B$44,2,R_Scores!$C$5:$C$44,"Paper condition",R_Scores!K$5:K$44,"&lt;"&amp;R_Scores!K37)+0.5*COUNTIFS(R_Scores!$B$5:$B$44,2,R_Scores!$C$5:$C$44,"Paper condition",R_Scores!K$5:K$44,R_Scores!K37),"")</f>
        <v/>
      </c>
      <c r="CQ37" s="1" t="str">
        <f aca="false">IF(AND(R_Scores!$B37=2,OR(R_Scores!$C37="Tool condition",R_Scores!$C37="Paper condition"),ISNUMBER(R_Scores!K37)),(COUNTIFS(R_Scores!$B$5:$B$44,2,R_Scores!$C$5:$C$44,"Tool condition",R_Scores!K$5:K$44,R_Scores!K37)+COUNTIFS(R_Scores!$B$5:$B$44,2,R_Scores!$C$5:$C$44,"Paper condition",R_Scores!K$5:K$44,R_Scores!K37))^2-1,"")</f>
        <v/>
      </c>
      <c r="CR37" s="1" t="str">
        <f aca="false">IF(ISNUMBER(R_Scores!K37),R_Scores!K37^2,"")</f>
        <v/>
      </c>
      <c r="CS37" s="1" t="str">
        <f aca="false">IF(AND(R_Scores!$B37=1,R_Scores!$C37="Tool condition",ISNUMBER(R_Scores!L37)),COUNTIFS(R_Scores!$B$5:$B$44,1,R_Scores!$C$5:$C$44,"Paper condition",R_Scores!L$5:L$44,"&lt;"&amp;R_Scores!L37)+0.5*COUNTIFS(R_Scores!$B$5:$B$44,1,R_Scores!$C$5:$C$44,"Paper condition",R_Scores!L$5:L$44,R_Scores!L37),"")</f>
        <v/>
      </c>
      <c r="CT37" s="1" t="str">
        <f aca="false">IF(AND(R_Scores!$B37=1,OR(R_Scores!$C37="Tool condition",R_Scores!$C37="Paper condition"),ISNUMBER(R_Scores!L37)),(COUNTIFS(R_Scores!$B$5:$B$44,1,R_Scores!$C$5:$C$44,"Tool condition",R_Scores!L$5:L$44,R_Scores!L37)+COUNTIFS(R_Scores!$B$5:$B$44,1,R_Scores!$C$5:$C$44,"Paper condition",R_Scores!L$5:L$44,R_Scores!L37))^2-1,"")</f>
        <v/>
      </c>
      <c r="CU37" s="1" t="str">
        <f aca="false">IF(AND(R_Scores!$B37=2,R_Scores!$C37="Tool condition",ISNUMBER(R_Scores!L37)),COUNTIFS(R_Scores!$B$5:$B$44,2,R_Scores!$C$5:$C$44,"Paper condition",R_Scores!L$5:L$44,"&lt;"&amp;R_Scores!L37)+0.5*COUNTIFS(R_Scores!$B$5:$B$44,2,R_Scores!$C$5:$C$44,"Paper condition",R_Scores!L$5:L$44,R_Scores!L37),"")</f>
        <v/>
      </c>
      <c r="CV37" s="1" t="str">
        <f aca="false">IF(AND(R_Scores!$B37=2,OR(R_Scores!$C37="Tool condition",R_Scores!$C37="Paper condition"),ISNUMBER(R_Scores!L37)),(COUNTIFS(R_Scores!$B$5:$B$44,2,R_Scores!$C$5:$C$44,"Tool condition",R_Scores!L$5:L$44,R_Scores!L37)+COUNTIFS(R_Scores!$B$5:$B$44,2,R_Scores!$C$5:$C$44,"Paper condition",R_Scores!L$5:L$44,R_Scores!L37))^2-1,"")</f>
        <v/>
      </c>
      <c r="CW37" s="1" t="str">
        <f aca="false">IF(ISNUMBER(R_Scores!L37),R_Scores!L37^2,"")</f>
        <v/>
      </c>
      <c r="CX37" s="1" t="str">
        <f aca="false">IF(AND(R_Scores!$B37=1,R_Scores!$C37="Tool condition",ISNUMBER(R_Scores!M37)),COUNTIFS(R_Scores!$B$5:$B$44,1,R_Scores!$C$5:$C$44,"Paper condition",R_Scores!M$5:M$44,"&lt;"&amp;R_Scores!M37)+0.5*COUNTIFS(R_Scores!$B$5:$B$44,1,R_Scores!$C$5:$C$44,"Paper condition",R_Scores!M$5:M$44,R_Scores!M37),"")</f>
        <v/>
      </c>
      <c r="CY37" s="1" t="str">
        <f aca="false">IF(AND(R_Scores!$B37=1,OR(R_Scores!$C37="Tool condition",R_Scores!$C37="Paper condition"),ISNUMBER(R_Scores!M37)),(COUNTIFS(R_Scores!$B$5:$B$44,1,R_Scores!$C$5:$C$44,"Tool condition",R_Scores!M$5:M$44,R_Scores!M37)+COUNTIFS(R_Scores!$B$5:$B$44,1,R_Scores!$C$5:$C$44,"Paper condition",R_Scores!M$5:M$44,R_Scores!M37))^2-1,"")</f>
        <v/>
      </c>
      <c r="CZ37" s="1" t="str">
        <f aca="false">IF(AND(R_Scores!$B37=2,R_Scores!$C37="Tool condition",ISNUMBER(R_Scores!M37)),COUNTIFS(R_Scores!$B$5:$B$44,2,R_Scores!$C$5:$C$44,"Paper condition",R_Scores!M$5:M$44,"&lt;"&amp;R_Scores!M37)+0.5*COUNTIFS(R_Scores!$B$5:$B$44,2,R_Scores!$C$5:$C$44,"Paper condition",R_Scores!M$5:M$44,R_Scores!M37),"")</f>
        <v/>
      </c>
      <c r="DA37" s="1" t="str">
        <f aca="false">IF(AND(R_Scores!$B37=2,OR(R_Scores!$C37="Tool condition",R_Scores!$C37="Paper condition"),ISNUMBER(R_Scores!M37)),(COUNTIFS(R_Scores!$B$5:$B$44,2,R_Scores!$C$5:$C$44,"Tool condition",R_Scores!M$5:M$44,R_Scores!M37)+COUNTIFS(R_Scores!$B$5:$B$44,2,R_Scores!$C$5:$C$44,"Paper condition",R_Scores!M$5:M$44,R_Scores!M37))^2-1,"")</f>
        <v/>
      </c>
      <c r="DB37" s="1" t="str">
        <f aca="false">IF(ISNUMBER(R_Scores!M37),R_Scores!M37^2,"")</f>
        <v/>
      </c>
      <c r="DC37" s="1" t="str">
        <f aca="false">IF(AND(R_Scores!$B37=1,R_Scores!$C37="Tool condition",ISNUMBER(R_Scores!N37)),COUNTIFS(R_Scores!$B$5:$B$44,1,R_Scores!$C$5:$C$44,"Paper condition",R_Scores!N$5:N$44,"&lt;"&amp;R_Scores!N37)+0.5*COUNTIFS(R_Scores!$B$5:$B$44,1,R_Scores!$C$5:$C$44,"Paper condition",R_Scores!N$5:N$44,R_Scores!N37),"")</f>
        <v/>
      </c>
      <c r="DD37" s="1" t="str">
        <f aca="false">IF(AND(R_Scores!$B37=1,OR(R_Scores!$C37="Tool condition",R_Scores!$C37="Paper condition"),ISNUMBER(R_Scores!N37)),(COUNTIFS(R_Scores!$B$5:$B$44,1,R_Scores!$C$5:$C$44,"Tool condition",R_Scores!N$5:N$44,R_Scores!N37)+COUNTIFS(R_Scores!$B$5:$B$44,1,R_Scores!$C$5:$C$44,"Paper condition",R_Scores!N$5:N$44,R_Scores!N37))^2-1,"")</f>
        <v/>
      </c>
      <c r="DE37" s="1" t="str">
        <f aca="false">IF(AND(R_Scores!$B37=2,R_Scores!$C37="Tool condition",ISNUMBER(R_Scores!N37)),COUNTIFS(R_Scores!$B$5:$B$44,2,R_Scores!$C$5:$C$44,"Paper condition",R_Scores!N$5:N$44,"&lt;"&amp;R_Scores!N37)+0.5*COUNTIFS(R_Scores!$B$5:$B$44,2,R_Scores!$C$5:$C$44,"Paper condition",R_Scores!N$5:N$44,R_Scores!N37),"")</f>
        <v/>
      </c>
      <c r="DF37" s="1" t="n">
        <f aca="false">IF(AND(R_Scores!$B37=2,OR(R_Scores!$C37="Tool condition",R_Scores!$C37="Paper condition"),ISNUMBER(R_Scores!N37)),(COUNTIFS(R_Scores!$B$5:$B$44,2,R_Scores!$C$5:$C$44,"Tool condition",R_Scores!N$5:N$44,R_Scores!N37)+COUNTIFS(R_Scores!$B$5:$B$44,2,R_Scores!$C$5:$C$44,"Paper condition",R_Scores!N$5:N$44,R_Scores!N37))^2-1,"")</f>
        <v>63</v>
      </c>
      <c r="DG37" s="1" t="n">
        <f aca="false">IF(ISNUMBER(R_Scores!N37),R_Scores!N37^2,"")</f>
        <v>0</v>
      </c>
      <c r="DH37" s="1" t="str">
        <f aca="false">IF(AND(R_Scores!$B37=1,R_Scores!$C37="Tool condition",ISNUMBER(R_Scores!O37)),COUNTIFS(R_Scores!$B$5:$B$44,1,R_Scores!$C$5:$C$44,"Paper condition",R_Scores!O$5:O$44,"&lt;"&amp;R_Scores!O37)+0.5*COUNTIFS(R_Scores!$B$5:$B$44,1,R_Scores!$C$5:$C$44,"Paper condition",R_Scores!O$5:O$44,R_Scores!O37),"")</f>
        <v/>
      </c>
      <c r="DI37" s="1" t="str">
        <f aca="false">IF(AND(R_Scores!$B37=1,OR(R_Scores!$C37="Tool condition",R_Scores!$C37="Paper condition"),ISNUMBER(R_Scores!O37)),(COUNTIFS(R_Scores!$B$5:$B$44,1,R_Scores!$C$5:$C$44,"Tool condition",R_Scores!O$5:O$44,R_Scores!O37)+COUNTIFS(R_Scores!$B$5:$B$44,1,R_Scores!$C$5:$C$44,"Paper condition",R_Scores!O$5:O$44,R_Scores!O37))^2-1,"")</f>
        <v/>
      </c>
      <c r="DJ37" s="1" t="str">
        <f aca="false">IF(AND(R_Scores!$B37=2,R_Scores!$C37="Tool condition",ISNUMBER(R_Scores!O37)),COUNTIFS(R_Scores!$B$5:$B$44,2,R_Scores!$C$5:$C$44,"Paper condition",R_Scores!O$5:O$44,"&lt;"&amp;R_Scores!O37)+0.5*COUNTIFS(R_Scores!$B$5:$B$44,2,R_Scores!$C$5:$C$44,"Paper condition",R_Scores!O$5:O$44,R_Scores!O37),"")</f>
        <v/>
      </c>
      <c r="DK37" s="1" t="n">
        <f aca="false">IF(AND(R_Scores!$B37=2,OR(R_Scores!$C37="Tool condition",R_Scores!$C37="Paper condition"),ISNUMBER(R_Scores!O37)),(COUNTIFS(R_Scores!$B$5:$B$44,2,R_Scores!$C$5:$C$44,"Tool condition",R_Scores!O$5:O$44,R_Scores!O37)+COUNTIFS(R_Scores!$B$5:$B$44,2,R_Scores!$C$5:$C$44,"Paper condition",R_Scores!O$5:O$44,R_Scores!O37))^2-1,"")</f>
        <v>168</v>
      </c>
      <c r="DL37" s="1" t="n">
        <f aca="false">IF(ISNUMBER(R_Scores!O37),R_Scores!O37^2,"")</f>
        <v>1</v>
      </c>
      <c r="DM37" s="1" t="str">
        <f aca="false">IF(AND(R_Scores!$B37=1,R_Scores!$C37="Tool condition",ISNUMBER(R_Scores!P37)),COUNTIFS(R_Scores!$B$5:$B$44,1,R_Scores!$C$5:$C$44,"Paper condition",R_Scores!P$5:P$44,"&lt;"&amp;R_Scores!P37)+0.5*COUNTIFS(R_Scores!$B$5:$B$44,1,R_Scores!$C$5:$C$44,"Paper condition",R_Scores!P$5:P$44,R_Scores!P37),"")</f>
        <v/>
      </c>
      <c r="DN37" s="1" t="str">
        <f aca="false">IF(AND(R_Scores!$B37=1,OR(R_Scores!$C37="Tool condition",R_Scores!$C37="Paper condition"),ISNUMBER(R_Scores!P37)),(COUNTIFS(R_Scores!$B$5:$B$44,1,R_Scores!$C$5:$C$44,"Tool condition",R_Scores!P$5:P$44,R_Scores!P37)+COUNTIFS(R_Scores!$B$5:$B$44,1,R_Scores!$C$5:$C$44,"Paper condition",R_Scores!P$5:P$44,R_Scores!P37))^2-1,"")</f>
        <v/>
      </c>
      <c r="DO37" s="1" t="str">
        <f aca="false">IF(AND(R_Scores!$B37=2,R_Scores!$C37="Tool condition",ISNUMBER(R_Scores!P37)),COUNTIFS(R_Scores!$B$5:$B$44,2,R_Scores!$C$5:$C$44,"Paper condition",R_Scores!P$5:P$44,"&lt;"&amp;R_Scores!P37)+0.5*COUNTIFS(R_Scores!$B$5:$B$44,2,R_Scores!$C$5:$C$44,"Paper condition",R_Scores!P$5:P$44,R_Scores!P37),"")</f>
        <v/>
      </c>
      <c r="DP37" s="1" t="n">
        <f aca="false">IF(AND(R_Scores!$B37=2,OR(R_Scores!$C37="Tool condition",R_Scores!$C37="Paper condition"),ISNUMBER(R_Scores!P37)),(COUNTIFS(R_Scores!$B$5:$B$44,2,R_Scores!$C$5:$C$44,"Tool condition",R_Scores!P$5:P$44,R_Scores!P37)+COUNTIFS(R_Scores!$B$5:$B$44,2,R_Scores!$C$5:$C$44,"Paper condition",R_Scores!P$5:P$44,R_Scores!P37))^2-1,"")</f>
        <v>168</v>
      </c>
      <c r="DQ37" s="1" t="n">
        <f aca="false">IF(ISNUMBER(R_Scores!P37),R_Scores!P37^2,"")</f>
        <v>0</v>
      </c>
      <c r="DR37" s="1" t="str">
        <f aca="false">IF(AND(Scores!$B37=1,Scores!$C37="Tool condition",ISNUMBER(Scores!Q37)),COUNTIFS(Scores!$B$5:$B$44,1,Scores!$C$5:$C$44,"Paper condition",Scores!Q$5:Q$44,"&lt;"&amp;Scores!Q37)+0.5*COUNTIFS(Scores!$B$5:$B$44,1,Scores!$C$5:$C$44,"Paper condition",Scores!Q$5:Q$44,Scores!Q37),"")</f>
        <v/>
      </c>
      <c r="DS37" s="1" t="str">
        <f aca="false">IF(AND(Scores!$B37=1,OR(Scores!$C37="Tool condition",Scores!$C37="Paper condition"),ISNUMBER(Scores!Q37)),(COUNTIFS(Scores!$B$5:$B$44,1,Scores!$C$5:$C$44,"Tool condition",Scores!Q$5:Q$44,Scores!Q37)+COUNTIFS(Scores!$B$5:$B$44,1,Scores!$C$5:$C$44,"Paper condition",Scores!Q$5:Q$44,Scores!Q37))^2-1,"")</f>
        <v/>
      </c>
      <c r="DT37" s="1" t="str">
        <f aca="false">IF(AND(Scores!$B37=2,Scores!$C37="Tool condition",ISNUMBER(Scores!Q37)),COUNTIFS(Scores!$B$5:$B$44,2,Scores!$C$5:$C$44,"Paper condition",Scores!Q$5:Q$44,"&lt;"&amp;Scores!Q37)+0.5*COUNTIFS(Scores!$B$5:$B$44,2,Scores!$C$5:$C$44,"Paper condition",Scores!Q$5:Q$44,Scores!Q37),"")</f>
        <v/>
      </c>
      <c r="DU37" s="1" t="n">
        <f aca="false">IF(AND(Scores!$B37=2,OR(Scores!$C37="Tool condition",Scores!$C37="Paper condition"),ISNUMBER(Scores!Q37)),(COUNTIFS(Scores!$B$5:$B$44,2,Scores!$C$5:$C$44,"Tool condition",Scores!Q$5:Q$44,Scores!Q37)+COUNTIFS(Scores!$B$5:$B$44,2,Scores!$C$5:$C$44,"Paper condition",Scores!Q$5:Q$44,Scores!Q37))^2-1,"")</f>
        <v>0</v>
      </c>
      <c r="DV37" s="1" t="n">
        <f aca="false">IF(ISNUMBER(Scores!Q37),Scores!Q37^2,"")</f>
        <v>169</v>
      </c>
      <c r="DW37" s="1" t="str">
        <f aca="false">IF(AND(Scores!$B37=1,Scores!$C37="Tool condition",ISNUMBER(Scores!R37)),COUNTIFS(Scores!$B$5:$B$44,1,Scores!$C$5:$C$44,"Paper condition",Scores!R$5:R$44,"&lt;"&amp;Scores!R37)+0.5*COUNTIFS(Scores!$B$5:$B$44,1,Scores!$C$5:$C$44,"Paper condition",Scores!R$5:R$44,Scores!R37),"")</f>
        <v/>
      </c>
      <c r="DX37" s="1" t="str">
        <f aca="false">IF(AND(Scores!$B37=1,OR(Scores!$C37="Tool condition",Scores!$C37="Paper condition"),ISNUMBER(Scores!R37)),(COUNTIFS(Scores!$B$5:$B$44,1,Scores!$C$5:$C$44,"Tool condition",Scores!R$5:R$44,Scores!R37)+COUNTIFS(Scores!$B$5:$B$44,1,Scores!$C$5:$C$44,"Paper condition",Scores!R$5:R$44,Scores!R37))^2-1,"")</f>
        <v/>
      </c>
      <c r="DY37" s="1" t="str">
        <f aca="false">IF(AND(Scores!$B37=2,Scores!$C37="Tool condition",ISNUMBER(Scores!R37)),COUNTIFS(Scores!$B$5:$B$44,2,Scores!$C$5:$C$44,"Paper condition",Scores!R$5:R$44,"&lt;"&amp;Scores!R37)+0.5*COUNTIFS(Scores!$B$5:$B$44,2,Scores!$C$5:$C$44,"Paper condition",Scores!R$5:R$44,Scores!R37),"")</f>
        <v/>
      </c>
      <c r="DZ37" s="1" t="n">
        <f aca="false">IF(AND(Scores!$B37=2,OR(Scores!$C37="Tool condition",Scores!$C37="Paper condition"),ISNUMBER(Scores!R37)),(COUNTIFS(Scores!$B$5:$B$44,2,Scores!$C$5:$C$44,"Tool condition",Scores!R$5:R$44,Scores!R37)+COUNTIFS(Scores!$B$5:$B$44,2,Scores!$C$5:$C$44,"Paper condition",Scores!R$5:R$44,Scores!R37))^2-1,"")</f>
        <v>3</v>
      </c>
      <c r="EA37" s="1" t="n">
        <f aca="false">IF(ISNUMBER(Scores!R37),Scores!R37^2,"")</f>
        <v>36</v>
      </c>
      <c r="EB37" s="1" t="str">
        <f aca="false">IF(AND(Scores!$B37=1,Scores!$C37="Tool condition",ISNUMBER(Scores!S37)),COUNTIFS(Scores!$B$5:$B$44,1,Scores!$C$5:$C$44,"Paper condition",Scores!S$5:S$44,"&lt;"&amp;Scores!S37)+0.5*COUNTIFS(Scores!$B$5:$B$44,1,Scores!$C$5:$C$44,"Paper condition",Scores!S$5:S$44,Scores!S37),"")</f>
        <v/>
      </c>
      <c r="EC37" s="1" t="str">
        <f aca="false">IF(AND(Scores!$B37=1,OR(Scores!$C37="Tool condition",Scores!$C37="Paper condition"),ISNUMBER(Scores!S37)),(COUNTIFS(Scores!$B$5:$B$44,1,Scores!$C$5:$C$44,"Tool condition",Scores!S$5:S$44,Scores!S37)+COUNTIFS(Scores!$B$5:$B$44,1,Scores!$C$5:$C$44,"Paper condition",Scores!S$5:S$44,Scores!S37))^2-1,"")</f>
        <v/>
      </c>
      <c r="ED37" s="1" t="str">
        <f aca="false">IF(AND(Scores!$B37=2,Scores!$C37="Tool condition",ISNUMBER(Scores!S37)),COUNTIFS(Scores!$B$5:$B$44,2,Scores!$C$5:$C$44,"Paper condition",Scores!S$5:S$44,"&lt;"&amp;Scores!S37)+0.5*COUNTIFS(Scores!$B$5:$B$44,2,Scores!$C$5:$C$44,"Paper condition",Scores!S$5:S$44,Scores!S37),"")</f>
        <v/>
      </c>
      <c r="EE37" s="1" t="n">
        <f aca="false">IF(AND(Scores!$B37=2,OR(Scores!$C37="Tool condition",Scores!$C37="Paper condition"),ISNUMBER(Scores!S37)),(COUNTIFS(Scores!$B$5:$B$44,2,Scores!$C$5:$C$44,"Tool condition",Scores!S$5:S$44,Scores!S37)+COUNTIFS(Scores!$B$5:$B$44,2,Scores!$C$5:$C$44,"Paper condition",Scores!S$5:S$44,Scores!S37))^2-1,"")</f>
        <v>24</v>
      </c>
      <c r="EF37" s="1" t="n">
        <f aca="false">IF(ISNUMBER(Scores!S37),Scores!S37^2,"")</f>
        <v>49</v>
      </c>
      <c r="EG37" s="1" t="str">
        <f aca="false">IF(AND(Scores!$B37=1,Scores!$C37="Tool condition",ISNUMBER(Scores!T37)),COUNTIFS(Scores!$B$5:$B$44,1,Scores!$C$5:$C$44,"Paper condition",Scores!T$5:T$44,"&lt;"&amp;Scores!T37)+0.5*COUNTIFS(Scores!$B$5:$B$44,1,Scores!$C$5:$C$44,"Paper condition",Scores!T$5:T$44,Scores!T37),"")</f>
        <v/>
      </c>
      <c r="EH37" s="1" t="str">
        <f aca="false">IF(AND(Scores!$B37=1,OR(Scores!$C37="Tool condition",Scores!$C37="Paper condition"),ISNUMBER(Scores!T37)),(COUNTIFS(Scores!$B$5:$B$44,1,Scores!$C$5:$C$44,"Tool condition",Scores!T$5:T$44,Scores!T37)+COUNTIFS(Scores!$B$5:$B$44,1,Scores!$C$5:$C$44,"Paper condition",Scores!T$5:T$44,Scores!T37))^2-1,"")</f>
        <v/>
      </c>
      <c r="EI37" s="1" t="str">
        <f aca="false">IF(AND(Scores!$B37=2,Scores!$C37="Tool condition",ISNUMBER(Scores!T37)),COUNTIFS(Scores!$B$5:$B$44,2,Scores!$C$5:$C$44,"Paper condition",Scores!T$5:T$44,"&lt;"&amp;Scores!T37)+0.5*COUNTIFS(Scores!$B$5:$B$44,2,Scores!$C$5:$C$44,"Paper condition",Scores!T$5:T$44,Scores!T37),"")</f>
        <v/>
      </c>
      <c r="EJ37" s="1" t="n">
        <f aca="false">IF(AND(Scores!$B37=2,OR(Scores!$C37="Tool condition",Scores!$C37="Paper condition"),ISNUMBER(Scores!T37)),(COUNTIFS(Scores!$B$5:$B$44,2,Scores!$C$5:$C$44,"Tool condition",Scores!T$5:T$44,Scores!T37)+COUNTIFS(Scores!$B$5:$B$44,2,Scores!$C$5:$C$44,"Paper condition",Scores!T$5:T$44,Scores!T37))^2-1,"")</f>
        <v>80</v>
      </c>
      <c r="EK37" s="1" t="n">
        <f aca="false">IF(ISNUMBER(Scores!T37),Scores!T37^2,"")</f>
        <v>36</v>
      </c>
      <c r="EL37" s="1" t="str">
        <f aca="false">IF(AND(Scores!$B37=1,Scores!$C37="Tool condition",ISNUMBER(Scores!U37)),COUNTIFS(Scores!$B$5:$B$44,1,Scores!$C$5:$C$44,"Paper condition",Scores!U$5:U$44,"&lt;"&amp;Scores!U37)+0.5*COUNTIFS(Scores!$B$5:$B$44,1,Scores!$C$5:$C$44,"Paper condition",Scores!U$5:U$44,Scores!U37),"")</f>
        <v/>
      </c>
      <c r="EM37" s="1" t="str">
        <f aca="false">IF(AND(Scores!$B37=1,OR(Scores!$C37="Tool condition",Scores!$C37="Paper condition"),ISNUMBER(Scores!U37)),(COUNTIFS(Scores!$B$5:$B$44,1,Scores!$C$5:$C$44,"Tool condition",Scores!U$5:U$44,Scores!U37)+COUNTIFS(Scores!$B$5:$B$44,1,Scores!$C$5:$C$44,"Paper condition",Scores!U$5:U$44,Scores!U37))^2-1,"")</f>
        <v/>
      </c>
      <c r="EN37" s="1" t="str">
        <f aca="false">IF(AND(Scores!$B37=2,Scores!$C37="Tool condition",ISNUMBER(Scores!U37)),COUNTIFS(Scores!$B$5:$B$44,2,Scores!$C$5:$C$44,"Paper condition",Scores!U$5:U$44,"&lt;"&amp;Scores!U37)+0.5*COUNTIFS(Scores!$B$5:$B$44,2,Scores!$C$5:$C$44,"Paper condition",Scores!U$5:U$44,Scores!U37),"")</f>
        <v/>
      </c>
      <c r="EO37" s="1" t="n">
        <f aca="false">IF(AND(Scores!$B37=2,OR(Scores!$C37="Tool condition",Scores!$C37="Paper condition"),ISNUMBER(Scores!U37)),(COUNTIFS(Scores!$B$5:$B$44,2,Scores!$C$5:$C$44,"Tool condition",Scores!U$5:U$44,Scores!U37)+COUNTIFS(Scores!$B$5:$B$44,2,Scores!$C$5:$C$44,"Paper condition",Scores!U$5:U$44,Scores!U37))^2-1,"")</f>
        <v>3</v>
      </c>
      <c r="EP37" s="1" t="n">
        <f aca="false">IF(ISNUMBER(Scores!U37),Scores!U37^2,"")</f>
        <v>4</v>
      </c>
      <c r="EQ37" s="1" t="str">
        <f aca="false">IF(AND(Scores!$B37=1,Scores!$C37="Tool condition",ISNUMBER(Scores!V37)),COUNTIFS(Scores!$B$5:$B$44,1,Scores!$C$5:$C$44,"Paper condition",Scores!V$5:V$44,"&lt;"&amp;Scores!V37)+0.5*COUNTIFS(Scores!$B$5:$B$44,1,Scores!$C$5:$C$44,"Paper condition",Scores!V$5:V$44,Scores!V37),"")</f>
        <v/>
      </c>
      <c r="ER37" s="1" t="str">
        <f aca="false">IF(AND(Scores!$B37=1,OR(Scores!$C37="Tool condition",Scores!$C37="Paper condition"),ISNUMBER(Scores!V37)),(COUNTIFS(Scores!$B$5:$B$44,1,Scores!$C$5:$C$44,"Tool condition",Scores!V$5:V$44,Scores!V37)+COUNTIFS(Scores!$B$5:$B$44,1,Scores!$C$5:$C$44,"Paper condition",Scores!V$5:V$44,Scores!V37))^2-1,"")</f>
        <v/>
      </c>
      <c r="ES37" s="1" t="str">
        <f aca="false">IF(AND(Scores!$B37=2,Scores!$C37="Tool condition",ISNUMBER(Scores!V37)),COUNTIFS(Scores!$B$5:$B$44,2,Scores!$C$5:$C$44,"Paper condition",Scores!V$5:V$44,"&lt;"&amp;Scores!V37)+0.5*COUNTIFS(Scores!$B$5:$B$44,2,Scores!$C$5:$C$44,"Paper condition",Scores!V$5:V$44,Scores!V37),"")</f>
        <v/>
      </c>
      <c r="ET37" s="1" t="n">
        <f aca="false">IF(AND(Scores!$B37=2,OR(Scores!$C37="Tool condition",Scores!$C37="Paper condition"),ISNUMBER(Scores!V37)),(COUNTIFS(Scores!$B$5:$B$44,2,Scores!$C$5:$C$44,"Tool condition",Scores!V$5:V$44,Scores!V37)+COUNTIFS(Scores!$B$5:$B$44,2,Scores!$C$5:$C$44,"Paper condition",Scores!V$5:V$44,Scores!V37))^2-1,"")</f>
        <v>15</v>
      </c>
      <c r="EU37" s="1" t="n">
        <f aca="false">IF(ISNUMBER(Scores!V37),Scores!V37^2,"")</f>
        <v>25</v>
      </c>
      <c r="EV37" s="1" t="str">
        <f aca="false">IF(AND(R_Scores!$B37=1,R_Scores!$C37="Tool condition",ISNUMBER(R_Scores!Q37)),COUNTIFS(R_Scores!$B$5:$B$44,1,R_Scores!$C$5:$C$44,"Paper condition",R_Scores!Q$5:Q$44,"&lt;"&amp;R_Scores!Q37)+0.5*COUNTIFS(R_Scores!$B$5:$B$44,1,R_Scores!$C$5:$C$44,"Paper condition",R_Scores!Q$5:Q$44,R_Scores!Q37),"")</f>
        <v/>
      </c>
      <c r="EW37" s="1" t="str">
        <f aca="false">IF(AND(R_Scores!$B37=1,OR(R_Scores!$C37="Tool condition",R_Scores!$C37="Paper condition"),ISNUMBER(R_Scores!Q37)),(COUNTIFS(R_Scores!$B$5:$B$44,1,R_Scores!$C$5:$C$44,"Tool condition",R_Scores!Q$5:Q$44,R_Scores!Q37)+COUNTIFS(R_Scores!$B$5:$B$44,1,R_Scores!$C$5:$C$44,"Paper condition",R_Scores!Q$5:Q$44,R_Scores!Q37))^2-1,"")</f>
        <v/>
      </c>
      <c r="EX37" s="1" t="str">
        <f aca="false">IF(AND(R_Scores!$B37=2,R_Scores!$C37="Tool condition",ISNUMBER(R_Scores!Q37)),COUNTIFS(R_Scores!$B$5:$B$44,2,R_Scores!$C$5:$C$44,"Paper condition",R_Scores!Q$5:Q$44,"&lt;"&amp;R_Scores!Q37)+0.5*COUNTIFS(R_Scores!$B$5:$B$44,2,R_Scores!$C$5:$C$44,"Paper condition",R_Scores!Q$5:Q$44,R_Scores!Q37),"")</f>
        <v/>
      </c>
      <c r="EY37" s="1" t="n">
        <f aca="false">IF(AND(R_Scores!$B37=2,OR(R_Scores!$C37="Tool condition",R_Scores!$C37="Paper condition"),ISNUMBER(R_Scores!Q37)),(COUNTIFS(R_Scores!$B$5:$B$44,2,R_Scores!$C$5:$C$44,"Tool condition",R_Scores!Q$5:Q$44,R_Scores!Q37)+COUNTIFS(R_Scores!$B$5:$B$44,2,R_Scores!$C$5:$C$44,"Paper condition",R_Scores!Q$5:Q$44,R_Scores!Q37))^2-1,"")</f>
        <v>15</v>
      </c>
      <c r="EZ37" s="1" t="n">
        <f aca="false">IF(ISNUMBER(R_Scores!Q37),R_Scores!Q37^2,"")</f>
        <v>9</v>
      </c>
      <c r="FA37" s="1" t="str">
        <f aca="false">IF(AND(R_Scores!$B37=1,R_Scores!$C37="Tool condition",ISNUMBER(R_Scores!R37)),COUNTIFS(R_Scores!$B$5:$B$44,1,R_Scores!$C$5:$C$44,"Paper condition",R_Scores!R$5:R$44,"&lt;"&amp;R_Scores!R37)+0.5*COUNTIFS(R_Scores!$B$5:$B$44,1,R_Scores!$C$5:$C$44,"Paper condition",R_Scores!R$5:R$44,R_Scores!R37),"")</f>
        <v/>
      </c>
      <c r="FB37" s="1" t="str">
        <f aca="false">IF(AND(R_Scores!$B37=1,OR(R_Scores!$C37="Tool condition",R_Scores!$C37="Paper condition"),ISNUMBER(R_Scores!R37)),(COUNTIFS(R_Scores!$B$5:$B$44,1,R_Scores!$C$5:$C$44,"Tool condition",R_Scores!R$5:R$44,R_Scores!R37)+COUNTIFS(R_Scores!$B$5:$B$44,1,R_Scores!$C$5:$C$44,"Paper condition",R_Scores!R$5:R$44,R_Scores!R37))^2-1,"")</f>
        <v/>
      </c>
      <c r="FC37" s="1" t="str">
        <f aca="false">IF(AND(R_Scores!$B37=2,R_Scores!$C37="Tool condition",ISNUMBER(R_Scores!R37)),COUNTIFS(R_Scores!$B$5:$B$44,2,R_Scores!$C$5:$C$44,"Paper condition",R_Scores!R$5:R$44,"&lt;"&amp;R_Scores!R37)+0.5*COUNTIFS(R_Scores!$B$5:$B$44,2,R_Scores!$C$5:$C$44,"Paper condition",R_Scores!R$5:R$44,R_Scores!R37),"")</f>
        <v/>
      </c>
      <c r="FD37" s="1" t="n">
        <f aca="false">IF(AND(R_Scores!$B37=2,OR(R_Scores!$C37="Tool condition",R_Scores!$C37="Paper condition"),ISNUMBER(R_Scores!R37)),(COUNTIFS(R_Scores!$B$5:$B$44,2,R_Scores!$C$5:$C$44,"Tool condition",R_Scores!R$5:R$44,R_Scores!R37)+COUNTIFS(R_Scores!$B$5:$B$44,2,R_Scores!$C$5:$C$44,"Paper condition",R_Scores!R$5:R$44,R_Scores!R37))^2-1,"")</f>
        <v>0</v>
      </c>
      <c r="FE37" s="1" t="n">
        <f aca="false">IF(ISNUMBER(R_Scores!R37),R_Scores!R37^2,"")</f>
        <v>256</v>
      </c>
    </row>
    <row r="38" customFormat="false" ht="14.25" hidden="false" customHeight="true" outlineLevel="0" collapsed="false">
      <c r="B38" s="1" t="str">
        <f aca="false">IF(AND(Scores!$B38=1,Scores!$C38="Tool condition",ISNUMBER(Scores!E38)),COUNTIFS(Scores!$B$5:$B$44,1,Scores!$C$5:$C$44,"Paper condition",Scores!E$5:E$44,"&lt;"&amp;Scores!E38)+0.5*COUNTIFS(Scores!$B$5:$B$44,1,Scores!$C$5:$C$44,"Paper condition",Scores!E$5:E$44,Scores!E38),"")</f>
        <v/>
      </c>
      <c r="C38" s="1" t="str">
        <f aca="false">IF(AND(Scores!$B38=1,OR(Scores!$C38="Tool condition",Scores!$C38="Paper condition"),ISNUMBER(Scores!E38)),(COUNTIFS(Scores!$B$5:$B$44,1,Scores!$C$5:$C$44,"Tool condition",Scores!E$5:E$44,Scores!E38)+COUNTIFS(Scores!$B$5:$B$44,1,Scores!$C$5:$C$44,"Paper condition",Scores!E$5:E$44,Scores!E38))^2-1,"")</f>
        <v/>
      </c>
      <c r="D38" s="1" t="str">
        <f aca="false">IF(AND(Scores!$B38=2,Scores!$C38="Tool condition",ISNUMBER(Scores!E38)),COUNTIFS(Scores!$B$5:$B$44,2,Scores!$C$5:$C$44,"Paper condition",Scores!E$5:E$44,"&lt;"&amp;Scores!E38)+0.5*COUNTIFS(Scores!$B$5:$B$44,2,Scores!$C$5:$C$44,"Paper condition",Scores!E$5:E$44,Scores!E38),"")</f>
        <v/>
      </c>
      <c r="E38" s="1" t="n">
        <f aca="false">IF(AND(Scores!$B38=2,OR(Scores!$C38="Tool condition",Scores!$C38="Paper condition"),ISNUMBER(Scores!E38)),(COUNTIFS(Scores!$B$5:$B$44,2,Scores!$C$5:$C$44,"Tool condition",Scores!E$5:E$44,Scores!E38)+COUNTIFS(Scores!$B$5:$B$44,2,Scores!$C$5:$C$44,"Paper condition",Scores!E$5:E$44,Scores!E38))^2-1,"")</f>
        <v>143</v>
      </c>
      <c r="F38" s="1" t="n">
        <f aca="false">IF(ISNUMBER(Scores!E38),Scores!E38^2,"")</f>
        <v>4</v>
      </c>
      <c r="G38" s="1" t="str">
        <f aca="false">IF(AND(Scores!$B38=1,Scores!$C38="Tool condition",ISNUMBER(Scores!F38)),COUNTIFS(Scores!$B$5:$B$44,1,Scores!$C$5:$C$44,"Paper condition",Scores!F$5:F$44,"&lt;"&amp;Scores!F38)+0.5*COUNTIFS(Scores!$B$5:$B$44,1,Scores!$C$5:$C$44,"Paper condition",Scores!F$5:F$44,Scores!F38),"")</f>
        <v/>
      </c>
      <c r="H38" s="1" t="str">
        <f aca="false">IF(AND(Scores!$B38=1,OR(Scores!$C38="Tool condition",Scores!$C38="Paper condition"),ISNUMBER(Scores!F38)),(COUNTIFS(Scores!$B$5:$B$44,1,Scores!$C$5:$C$44,"Tool condition",Scores!F$5:F$44,Scores!F38)+COUNTIFS(Scores!$B$5:$B$44,1,Scores!$C$5:$C$44,"Paper condition",Scores!F$5:F$44,Scores!F38))^2-1,"")</f>
        <v/>
      </c>
      <c r="I38" s="1" t="str">
        <f aca="false">IF(AND(Scores!$B38=2,Scores!$C38="Tool condition",ISNUMBER(Scores!F38)),COUNTIFS(Scores!$B$5:$B$44,2,Scores!$C$5:$C$44,"Paper condition",Scores!F$5:F$44,"&lt;"&amp;Scores!F38)+0.5*COUNTIFS(Scores!$B$5:$B$44,2,Scores!$C$5:$C$44,"Paper condition",Scores!F$5:F$44,Scores!F38),"")</f>
        <v/>
      </c>
      <c r="J38" s="1" t="n">
        <f aca="false">IF(AND(Scores!$B38=2,OR(Scores!$C38="Tool condition",Scores!$C38="Paper condition"),ISNUMBER(Scores!F38)),(COUNTIFS(Scores!$B$5:$B$44,2,Scores!$C$5:$C$44,"Tool condition",Scores!F$5:F$44,Scores!F38)+COUNTIFS(Scores!$B$5:$B$44,2,Scores!$C$5:$C$44,"Paper condition",Scores!F$5:F$44,Scores!F38))^2-1,"")</f>
        <v>120</v>
      </c>
      <c r="K38" s="1" t="n">
        <f aca="false">IF(ISNUMBER(Scores!F38),Scores!F38^2,"")</f>
        <v>4</v>
      </c>
      <c r="L38" s="1" t="str">
        <f aca="false">IF(AND(Scores!$B38=1,Scores!$C38="Tool condition",ISNUMBER(Scores!G38)),COUNTIFS(Scores!$B$5:$B$44,1,Scores!$C$5:$C$44,"Paper condition",Scores!G$5:G$44,"&lt;"&amp;Scores!G38)+0.5*COUNTIFS(Scores!$B$5:$B$44,1,Scores!$C$5:$C$44,"Paper condition",Scores!G$5:G$44,Scores!G38),"")</f>
        <v/>
      </c>
      <c r="M38" s="1" t="str">
        <f aca="false">IF(AND(Scores!$B38=1,OR(Scores!$C38="Tool condition",Scores!$C38="Paper condition"),ISNUMBER(Scores!G38)),(COUNTIFS(Scores!$B$5:$B$44,1,Scores!$C$5:$C$44,"Tool condition",Scores!G$5:G$44,Scores!G38)+COUNTIFS(Scores!$B$5:$B$44,1,Scores!$C$5:$C$44,"Paper condition",Scores!G$5:G$44,Scores!G38))^2-1,"")</f>
        <v/>
      </c>
      <c r="N38" s="1" t="str">
        <f aca="false">IF(AND(Scores!$B38=2,Scores!$C38="Tool condition",ISNUMBER(Scores!G38)),COUNTIFS(Scores!$B$5:$B$44,2,Scores!$C$5:$C$44,"Paper condition",Scores!G$5:G$44,"&lt;"&amp;Scores!G38)+0.5*COUNTIFS(Scores!$B$5:$B$44,2,Scores!$C$5:$C$44,"Paper condition",Scores!G$5:G$44,Scores!G38),"")</f>
        <v/>
      </c>
      <c r="O38" s="1" t="n">
        <f aca="false">IF(AND(Scores!$B38=2,OR(Scores!$C38="Tool condition",Scores!$C38="Paper condition"),ISNUMBER(Scores!G38)),(COUNTIFS(Scores!$B$5:$B$44,2,Scores!$C$5:$C$44,"Tool condition",Scores!G$5:G$44,Scores!G38)+COUNTIFS(Scores!$B$5:$B$44,2,Scores!$C$5:$C$44,"Paper condition",Scores!G$5:G$44,Scores!G38))^2-1,"")</f>
        <v>35</v>
      </c>
      <c r="P38" s="1" t="n">
        <f aca="false">IF(ISNUMBER(Scores!G38),Scores!G38^2,"")</f>
        <v>1</v>
      </c>
      <c r="Q38" s="1" t="str">
        <f aca="false">IF(AND(Scores!$B38=1,Scores!$C38="Tool condition",ISNUMBER(Scores!H38)),COUNTIFS(Scores!$B$5:$B$44,1,Scores!$C$5:$C$44,"Paper condition",Scores!H$5:H$44,"&lt;"&amp;Scores!H38)+0.5*COUNTIFS(Scores!$B$5:$B$44,1,Scores!$C$5:$C$44,"Paper condition",Scores!H$5:H$44,Scores!H38),"")</f>
        <v/>
      </c>
      <c r="R38" s="1" t="str">
        <f aca="false">IF(AND(Scores!$B38=1,OR(Scores!$C38="Tool condition",Scores!$C38="Paper condition"),ISNUMBER(Scores!H38)),(COUNTIFS(Scores!$B$5:$B$44,1,Scores!$C$5:$C$44,"Tool condition",Scores!H$5:H$44,Scores!H38)+COUNTIFS(Scores!$B$5:$B$44,1,Scores!$C$5:$C$44,"Paper condition",Scores!H$5:H$44,Scores!H38))^2-1,"")</f>
        <v/>
      </c>
      <c r="S38" s="1" t="str">
        <f aca="false">IF(AND(Scores!$B38=2,Scores!$C38="Tool condition",ISNUMBER(Scores!H38)),COUNTIFS(Scores!$B$5:$B$44,2,Scores!$C$5:$C$44,"Paper condition",Scores!H$5:H$44,"&lt;"&amp;Scores!H38)+0.5*COUNTIFS(Scores!$B$5:$B$44,2,Scores!$C$5:$C$44,"Paper condition",Scores!H$5:H$44,Scores!H38),"")</f>
        <v/>
      </c>
      <c r="T38" s="1" t="n">
        <f aca="false">IF(AND(Scores!$B38=2,OR(Scores!$C38="Tool condition",Scores!$C38="Paper condition"),ISNUMBER(Scores!H38)),(COUNTIFS(Scores!$B$5:$B$44,2,Scores!$C$5:$C$44,"Tool condition",Scores!H$5:H$44,Scores!H38)+COUNTIFS(Scores!$B$5:$B$44,2,Scores!$C$5:$C$44,"Paper condition",Scores!H$5:H$44,Scores!H38))^2-1,"")</f>
        <v>99</v>
      </c>
      <c r="U38" s="1" t="n">
        <f aca="false">IF(ISNUMBER(Scores!H38),Scores!H38^2,"")</f>
        <v>4</v>
      </c>
      <c r="V38" s="1" t="str">
        <f aca="false">IF(AND(Scores!$B38=1,Scores!$C38="Tool condition",ISNUMBER(Scores!I38)),COUNTIFS(Scores!$B$5:$B$44,1,Scores!$C$5:$C$44,"Paper condition",Scores!I$5:I$44,"&lt;"&amp;Scores!I38)+0.5*COUNTIFS(Scores!$B$5:$B$44,1,Scores!$C$5:$C$44,"Paper condition",Scores!I$5:I$44,Scores!I38),"")</f>
        <v/>
      </c>
      <c r="W38" s="1" t="str">
        <f aca="false">IF(AND(Scores!$B38=1,OR(Scores!$C38="Tool condition",Scores!$C38="Paper condition"),ISNUMBER(Scores!I38)),(COUNTIFS(Scores!$B$5:$B$44,1,Scores!$C$5:$C$44,"Tool condition",Scores!I$5:I$44,Scores!I38)+COUNTIFS(Scores!$B$5:$B$44,1,Scores!$C$5:$C$44,"Paper condition",Scores!I$5:I$44,Scores!I38))^2-1,"")</f>
        <v/>
      </c>
      <c r="X38" s="1" t="str">
        <f aca="false">IF(AND(Scores!$B38=2,Scores!$C38="Tool condition",ISNUMBER(Scores!I38)),COUNTIFS(Scores!$B$5:$B$44,2,Scores!$C$5:$C$44,"Paper condition",Scores!I$5:I$44,"&lt;"&amp;Scores!I38)+0.5*COUNTIFS(Scores!$B$5:$B$44,2,Scores!$C$5:$C$44,"Paper condition",Scores!I$5:I$44,Scores!I38),"")</f>
        <v/>
      </c>
      <c r="Y38" s="1" t="n">
        <f aca="false">IF(AND(Scores!$B38=2,OR(Scores!$C38="Tool condition",Scores!$C38="Paper condition"),ISNUMBER(Scores!I38)),(COUNTIFS(Scores!$B$5:$B$44,2,Scores!$C$5:$C$44,"Tool condition",Scores!I$5:I$44,Scores!I38)+COUNTIFS(Scores!$B$5:$B$44,2,Scores!$C$5:$C$44,"Paper condition",Scores!I$5:I$44,Scores!I38))^2-1,"")</f>
        <v>80</v>
      </c>
      <c r="Z38" s="1" t="n">
        <f aca="false">IF(ISNUMBER(Scores!I38),Scores!I38^2,"")</f>
        <v>1</v>
      </c>
      <c r="AA38" s="1" t="str">
        <f aca="false">IF(AND(Scores!$B38=1,Scores!$C38="Tool condition",ISNUMBER(Scores!J38)),COUNTIFS(Scores!$B$5:$B$44,1,Scores!$C$5:$C$44,"Paper condition",Scores!J$5:J$44,"&lt;"&amp;Scores!J38)+0.5*COUNTIFS(Scores!$B$5:$B$44,1,Scores!$C$5:$C$44,"Paper condition",Scores!J$5:J$44,Scores!J38),"")</f>
        <v/>
      </c>
      <c r="AB38" s="1" t="str">
        <f aca="false">IF(AND(Scores!$B38=1,OR(Scores!$C38="Tool condition",Scores!$C38="Paper condition"),ISNUMBER(Scores!J38)),(COUNTIFS(Scores!$B$5:$B$44,1,Scores!$C$5:$C$44,"Tool condition",Scores!J$5:J$44,Scores!J38)+COUNTIFS(Scores!$B$5:$B$44,1,Scores!$C$5:$C$44,"Paper condition",Scores!J$5:J$44,Scores!J38))^2-1,"")</f>
        <v/>
      </c>
      <c r="AC38" s="1" t="str">
        <f aca="false">IF(AND(Scores!$B38=2,Scores!$C38="Tool condition",ISNUMBER(Scores!J38)),COUNTIFS(Scores!$B$5:$B$44,2,Scores!$C$5:$C$44,"Paper condition",Scores!J$5:J$44,"&lt;"&amp;Scores!J38)+0.5*COUNTIFS(Scores!$B$5:$B$44,2,Scores!$C$5:$C$44,"Paper condition",Scores!J$5:J$44,Scores!J38),"")</f>
        <v/>
      </c>
      <c r="AD38" s="1" t="n">
        <f aca="false">IF(AND(Scores!$B38=2,OR(Scores!$C38="Tool condition",Scores!$C38="Paper condition"),ISNUMBER(Scores!J38)),(COUNTIFS(Scores!$B$5:$B$44,2,Scores!$C$5:$C$44,"Tool condition",Scores!J$5:J$44,Scores!J38)+COUNTIFS(Scores!$B$5:$B$44,2,Scores!$C$5:$C$44,"Paper condition",Scores!J$5:J$44,Scores!J38))^2-1,"")</f>
        <v>120</v>
      </c>
      <c r="AE38" s="1" t="n">
        <f aca="false">IF(ISNUMBER(Scores!J38),Scores!J38^2,"")</f>
        <v>4</v>
      </c>
      <c r="AF38" s="1" t="str">
        <f aca="false">IF(AND(Scores!$B38=1,Scores!$C38="Tool condition",ISNUMBER(Scores!K38)),COUNTIFS(Scores!$B$5:$B$44,1,Scores!$C$5:$C$44,"Paper condition",Scores!K$5:K$44,"&lt;"&amp;Scores!K38)+0.5*COUNTIFS(Scores!$B$5:$B$44,1,Scores!$C$5:$C$44,"Paper condition",Scores!K$5:K$44,Scores!K38),"")</f>
        <v/>
      </c>
      <c r="AG38" s="1" t="str">
        <f aca="false">IF(AND(Scores!$B38=1,OR(Scores!$C38="Tool condition",Scores!$C38="Paper condition"),ISNUMBER(Scores!K38)),(COUNTIFS(Scores!$B$5:$B$44,1,Scores!$C$5:$C$44,"Tool condition",Scores!K$5:K$44,Scores!K38)+COUNTIFS(Scores!$B$5:$B$44,1,Scores!$C$5:$C$44,"Paper condition",Scores!K$5:K$44,Scores!K38))^2-1,"")</f>
        <v/>
      </c>
      <c r="AH38" s="1" t="str">
        <f aca="false">IF(AND(Scores!$B38=2,Scores!$C38="Tool condition",ISNUMBER(Scores!K38)),COUNTIFS(Scores!$B$5:$B$44,2,Scores!$C$5:$C$44,"Paper condition",Scores!K$5:K$44,"&lt;"&amp;Scores!K38)+0.5*COUNTIFS(Scores!$B$5:$B$44,2,Scores!$C$5:$C$44,"Paper condition",Scores!K$5:K$44,Scores!K38),"")</f>
        <v/>
      </c>
      <c r="AI38" s="1" t="n">
        <f aca="false">IF(AND(Scores!$B38=2,OR(Scores!$C38="Tool condition",Scores!$C38="Paper condition"),ISNUMBER(Scores!K38)),(COUNTIFS(Scores!$B$5:$B$44,2,Scores!$C$5:$C$44,"Tool condition",Scores!K$5:K$44,Scores!K38)+COUNTIFS(Scores!$B$5:$B$44,2,Scores!$C$5:$C$44,"Paper condition",Scores!K$5:K$44,Scores!K38))^2-1,"")</f>
        <v>120</v>
      </c>
      <c r="AJ38" s="1" t="n">
        <f aca="false">IF(ISNUMBER(Scores!K38),Scores!K38^2,"")</f>
        <v>1</v>
      </c>
      <c r="AK38" s="1" t="str">
        <f aca="false">IF(AND(Scores!$B38=1,Scores!$C38="Tool condition",ISNUMBER(Scores!L38)),COUNTIFS(Scores!$B$5:$B$44,1,Scores!$C$5:$C$44,"Paper condition",Scores!L$5:L$44,"&lt;"&amp;Scores!L38)+0.5*COUNTIFS(Scores!$B$5:$B$44,1,Scores!$C$5:$C$44,"Paper condition",Scores!L$5:L$44,Scores!L38),"")</f>
        <v/>
      </c>
      <c r="AL38" s="1" t="str">
        <f aca="false">IF(AND(Scores!$B38=1,OR(Scores!$C38="Tool condition",Scores!$C38="Paper condition"),ISNUMBER(Scores!L38)),(COUNTIFS(Scores!$B$5:$B$44,1,Scores!$C$5:$C$44,"Tool condition",Scores!L$5:L$44,Scores!L38)+COUNTIFS(Scores!$B$5:$B$44,1,Scores!$C$5:$C$44,"Paper condition",Scores!L$5:L$44,Scores!L38))^2-1,"")</f>
        <v/>
      </c>
      <c r="AM38" s="1" t="str">
        <f aca="false">IF(AND(Scores!$B38=2,Scores!$C38="Tool condition",ISNUMBER(Scores!L38)),COUNTIFS(Scores!$B$5:$B$44,2,Scores!$C$5:$C$44,"Paper condition",Scores!L$5:L$44,"&lt;"&amp;Scores!L38)+0.5*COUNTIFS(Scores!$B$5:$B$44,2,Scores!$C$5:$C$44,"Paper condition",Scores!L$5:L$44,Scores!L38),"")</f>
        <v/>
      </c>
      <c r="AN38" s="1" t="n">
        <f aca="false">IF(AND(Scores!$B38=2,OR(Scores!$C38="Tool condition",Scores!$C38="Paper condition"),ISNUMBER(Scores!L38)),(COUNTIFS(Scores!$B$5:$B$44,2,Scores!$C$5:$C$44,"Tool condition",Scores!L$5:L$44,Scores!L38)+COUNTIFS(Scores!$B$5:$B$44,2,Scores!$C$5:$C$44,"Paper condition",Scores!L$5:L$44,Scores!L38))^2-1,"")</f>
        <v>99</v>
      </c>
      <c r="AO38" s="1" t="n">
        <f aca="false">IF(ISNUMBER(Scores!L38),Scores!L38^2,"")</f>
        <v>1</v>
      </c>
      <c r="AP38" s="1" t="str">
        <f aca="false">IF(AND(Scores!$B38=1,Scores!$C38="Tool condition",ISNUMBER(Scores!M38)),COUNTIFS(Scores!$B$5:$B$44,1,Scores!$C$5:$C$44,"Paper condition",Scores!M$5:M$44,"&lt;"&amp;Scores!M38)+0.5*COUNTIFS(Scores!$B$5:$B$44,1,Scores!$C$5:$C$44,"Paper condition",Scores!M$5:M$44,Scores!M38),"")</f>
        <v/>
      </c>
      <c r="AQ38" s="1" t="str">
        <f aca="false">IF(AND(Scores!$B38=1,OR(Scores!$C38="Tool condition",Scores!$C38="Paper condition"),ISNUMBER(Scores!M38)),(COUNTIFS(Scores!$B$5:$B$44,1,Scores!$C$5:$C$44,"Tool condition",Scores!M$5:M$44,Scores!M38)+COUNTIFS(Scores!$B$5:$B$44,1,Scores!$C$5:$C$44,"Paper condition",Scores!M$5:M$44,Scores!M38))^2-1,"")</f>
        <v/>
      </c>
      <c r="AR38" s="1" t="str">
        <f aca="false">IF(AND(Scores!$B38=2,Scores!$C38="Tool condition",ISNUMBER(Scores!M38)),COUNTIFS(Scores!$B$5:$B$44,2,Scores!$C$5:$C$44,"Paper condition",Scores!M$5:M$44,"&lt;"&amp;Scores!M38)+0.5*COUNTIFS(Scores!$B$5:$B$44,2,Scores!$C$5:$C$44,"Paper condition",Scores!M$5:M$44,Scores!M38),"")</f>
        <v/>
      </c>
      <c r="AS38" s="1" t="n">
        <f aca="false">IF(AND(Scores!$B38=2,OR(Scores!$C38="Tool condition",Scores!$C38="Paper condition"),ISNUMBER(Scores!M38)),(COUNTIFS(Scores!$B$5:$B$44,2,Scores!$C$5:$C$44,"Tool condition",Scores!M$5:M$44,Scores!M38)+COUNTIFS(Scores!$B$5:$B$44,2,Scores!$C$5:$C$44,"Paper condition",Scores!M$5:M$44,Scores!M38))^2-1,"")</f>
        <v>80</v>
      </c>
      <c r="AT38" s="1" t="n">
        <f aca="false">IF(ISNUMBER(Scores!M38),Scores!M38^2,"")</f>
        <v>1</v>
      </c>
      <c r="AU38" s="1" t="str">
        <f aca="false">IF(AND(Scores!$B38=1,Scores!$C38="Tool condition",ISNUMBER(Scores!N38)),COUNTIFS(Scores!$B$5:$B$44,1,Scores!$C$5:$C$44,"Paper condition",Scores!N$5:N$44,"&lt;"&amp;Scores!N38)+0.5*COUNTIFS(Scores!$B$5:$B$44,1,Scores!$C$5:$C$44,"Paper condition",Scores!N$5:N$44,Scores!N38),"")</f>
        <v/>
      </c>
      <c r="AV38" s="1" t="str">
        <f aca="false">IF(AND(Scores!$B38=1,OR(Scores!$C38="Tool condition",Scores!$C38="Paper condition"),ISNUMBER(Scores!N38)),(COUNTIFS(Scores!$B$5:$B$44,1,Scores!$C$5:$C$44,"Tool condition",Scores!N$5:N$44,Scores!N38)+COUNTIFS(Scores!$B$5:$B$44,1,Scores!$C$5:$C$44,"Paper condition",Scores!N$5:N$44,Scores!N38))^2-1,"")</f>
        <v/>
      </c>
      <c r="AW38" s="1" t="str">
        <f aca="false">IF(AND(Scores!$B38=2,Scores!$C38="Tool condition",ISNUMBER(Scores!N38)),COUNTIFS(Scores!$B$5:$B$44,2,Scores!$C$5:$C$44,"Paper condition",Scores!N$5:N$44,"&lt;"&amp;Scores!N38)+0.5*COUNTIFS(Scores!$B$5:$B$44,2,Scores!$C$5:$C$44,"Paper condition",Scores!N$5:N$44,Scores!N38),"")</f>
        <v/>
      </c>
      <c r="AX38" s="1" t="n">
        <f aca="false">IF(AND(Scores!$B38=2,OR(Scores!$C38="Tool condition",Scores!$C38="Paper condition"),ISNUMBER(Scores!N38)),(COUNTIFS(Scores!$B$5:$B$44,2,Scores!$C$5:$C$44,"Tool condition",Scores!N$5:N$44,Scores!N38)+COUNTIFS(Scores!$B$5:$B$44,2,Scores!$C$5:$C$44,"Paper condition",Scores!N$5:N$44,Scores!N38))^2-1,"")</f>
        <v>35</v>
      </c>
      <c r="AY38" s="1" t="n">
        <f aca="false">IF(ISNUMBER(Scores!N38),Scores!N38^2,"")</f>
        <v>4</v>
      </c>
      <c r="AZ38" s="1" t="str">
        <f aca="false">IF(AND(Scores!$B38=1,Scores!$C38="Tool condition",ISNUMBER(Scores!O38)),COUNTIFS(Scores!$B$5:$B$44,1,Scores!$C$5:$C$44,"Paper condition",Scores!O$5:O$44,"&lt;"&amp;Scores!O38)+0.5*COUNTIFS(Scores!$B$5:$B$44,1,Scores!$C$5:$C$44,"Paper condition",Scores!O$5:O$44,Scores!O38),"")</f>
        <v/>
      </c>
      <c r="BA38" s="1" t="str">
        <f aca="false">IF(AND(Scores!$B38=1,OR(Scores!$C38="Tool condition",Scores!$C38="Paper condition"),ISNUMBER(Scores!O38)),(COUNTIFS(Scores!$B$5:$B$44,1,Scores!$C$5:$C$44,"Tool condition",Scores!O$5:O$44,Scores!O38)+COUNTIFS(Scores!$B$5:$B$44,1,Scores!$C$5:$C$44,"Paper condition",Scores!O$5:O$44,Scores!O38))^2-1,"")</f>
        <v/>
      </c>
      <c r="BB38" s="1" t="str">
        <f aca="false">IF(AND(Scores!$B38=2,Scores!$C38="Tool condition",ISNUMBER(Scores!O38)),COUNTIFS(Scores!$B$5:$B$44,2,Scores!$C$5:$C$44,"Paper condition",Scores!O$5:O$44,"&lt;"&amp;Scores!O38)+0.5*COUNTIFS(Scores!$B$5:$B$44,2,Scores!$C$5:$C$44,"Paper condition",Scores!O$5:O$44,Scores!O38),"")</f>
        <v/>
      </c>
      <c r="BC38" s="1" t="n">
        <f aca="false">IF(AND(Scores!$B38=2,OR(Scores!$C38="Tool condition",Scores!$C38="Paper condition"),ISNUMBER(Scores!O38)),(COUNTIFS(Scores!$B$5:$B$44,2,Scores!$C$5:$C$44,"Tool condition",Scores!O$5:O$44,Scores!O38)+COUNTIFS(Scores!$B$5:$B$44,2,Scores!$C$5:$C$44,"Paper condition",Scores!O$5:O$44,Scores!O38))^2-1,"")</f>
        <v>120</v>
      </c>
      <c r="BD38" s="1" t="n">
        <f aca="false">IF(ISNUMBER(Scores!O38),Scores!O38^2,"")</f>
        <v>1</v>
      </c>
      <c r="BE38" s="1" t="str">
        <f aca="false">IF(AND(Scores!$B38=1,Scores!$C38="Tool condition",ISNUMBER(Scores!P38)),COUNTIFS(Scores!$B$5:$B$44,1,Scores!$C$5:$C$44,"Paper condition",Scores!P$5:P$44,"&lt;"&amp;Scores!P38)+0.5*COUNTIFS(Scores!$B$5:$B$44,1,Scores!$C$5:$C$44,"Paper condition",Scores!P$5:P$44,Scores!P38),"")</f>
        <v/>
      </c>
      <c r="BF38" s="1" t="str">
        <f aca="false">IF(AND(Scores!$B38=1,OR(Scores!$C38="Tool condition",Scores!$C38="Paper condition"),ISNUMBER(Scores!P38)),(COUNTIFS(Scores!$B$5:$B$44,1,Scores!$C$5:$C$44,"Tool condition",Scores!P$5:P$44,Scores!P38)+COUNTIFS(Scores!$B$5:$B$44,1,Scores!$C$5:$C$44,"Paper condition",Scores!P$5:P$44,Scores!P38))^2-1,"")</f>
        <v/>
      </c>
      <c r="BG38" s="1" t="str">
        <f aca="false">IF(AND(Scores!$B38=2,Scores!$C38="Tool condition",ISNUMBER(Scores!P38)),COUNTIFS(Scores!$B$5:$B$44,2,Scores!$C$5:$C$44,"Paper condition",Scores!P$5:P$44,"&lt;"&amp;Scores!P38)+0.5*COUNTIFS(Scores!$B$5:$B$44,2,Scores!$C$5:$C$44,"Paper condition",Scores!P$5:P$44,Scores!P38),"")</f>
        <v/>
      </c>
      <c r="BH38" s="1" t="n">
        <f aca="false">IF(AND(Scores!$B38=2,OR(Scores!$C38="Tool condition",Scores!$C38="Paper condition"),ISNUMBER(Scores!P38)),(COUNTIFS(Scores!$B$5:$B$44,2,Scores!$C$5:$C$44,"Tool condition",Scores!P$5:P$44,Scores!P38)+COUNTIFS(Scores!$B$5:$B$44,2,Scores!$C$5:$C$44,"Paper condition",Scores!P$5:P$44,Scores!P38))^2-1,"")</f>
        <v>63</v>
      </c>
      <c r="BI38" s="1" t="n">
        <f aca="false">IF(ISNUMBER(Scores!P38),Scores!P38^2,"")</f>
        <v>0</v>
      </c>
      <c r="BJ38" s="1" t="str">
        <f aca="false">IF(AND(R_Scores!$B38=1,R_Scores!$C38="Tool condition",ISNUMBER(R_Scores!E38)),COUNTIFS(R_Scores!$B$5:$B$44,1,R_Scores!$C$5:$C$44,"Paper condition",R_Scores!E$5:E$44,"&lt;"&amp;R_Scores!E38)+0.5*COUNTIFS(R_Scores!$B$5:$B$44,1,R_Scores!$C$5:$C$44,"Paper condition",R_Scores!E$5:E$44,R_Scores!E38),"")</f>
        <v/>
      </c>
      <c r="BK38" s="1" t="str">
        <f aca="false">IF(AND(R_Scores!$B38=1,OR(R_Scores!$C38="Tool condition",R_Scores!$C38="Paper condition"),ISNUMBER(R_Scores!E38)),(COUNTIFS(R_Scores!$B$5:$B$44,1,R_Scores!$C$5:$C$44,"Tool condition",R_Scores!E$5:E$44,R_Scores!E38)+COUNTIFS(R_Scores!$B$5:$B$44,1,R_Scores!$C$5:$C$44,"Paper condition",R_Scores!E$5:E$44,R_Scores!E38))^2-1,"")</f>
        <v/>
      </c>
      <c r="BL38" s="1" t="str">
        <f aca="false">IF(AND(R_Scores!$B38=2,R_Scores!$C38="Tool condition",ISNUMBER(R_Scores!E38)),COUNTIFS(R_Scores!$B$5:$B$44,2,R_Scores!$C$5:$C$44,"Paper condition",R_Scores!E$5:E$44,"&lt;"&amp;R_Scores!E38)+0.5*COUNTIFS(R_Scores!$B$5:$B$44,2,R_Scores!$C$5:$C$44,"Paper condition",R_Scores!E$5:E$44,R_Scores!E38),"")</f>
        <v/>
      </c>
      <c r="BM38" s="1" t="n">
        <f aca="false">IF(AND(R_Scores!$B38=2,OR(R_Scores!$C38="Tool condition",R_Scores!$C38="Paper condition"),ISNUMBER(R_Scores!E38)),(COUNTIFS(R_Scores!$B$5:$B$44,2,R_Scores!$C$5:$C$44,"Tool condition",R_Scores!E$5:E$44,R_Scores!E38)+COUNTIFS(R_Scores!$B$5:$B$44,2,R_Scores!$C$5:$C$44,"Paper condition",R_Scores!E$5:E$44,R_Scores!E38))^2-1,"")</f>
        <v>224</v>
      </c>
      <c r="BN38" s="1" t="n">
        <f aca="false">IF(ISNUMBER(R_Scores!E38),R_Scores!E38^2,"")</f>
        <v>1</v>
      </c>
      <c r="BO38" s="1" t="str">
        <f aca="false">IF(AND(R_Scores!$B38=1,R_Scores!$C38="Tool condition",ISNUMBER(R_Scores!F38)),COUNTIFS(R_Scores!$B$5:$B$44,1,R_Scores!$C$5:$C$44,"Paper condition",R_Scores!F$5:F$44,"&lt;"&amp;R_Scores!F38)+0.5*COUNTIFS(R_Scores!$B$5:$B$44,1,R_Scores!$C$5:$C$44,"Paper condition",R_Scores!F$5:F$44,R_Scores!F38),"")</f>
        <v/>
      </c>
      <c r="BP38" s="1" t="str">
        <f aca="false">IF(AND(R_Scores!$B38=1,OR(R_Scores!$C38="Tool condition",R_Scores!$C38="Paper condition"),ISNUMBER(R_Scores!F38)),(COUNTIFS(R_Scores!$B$5:$B$44,1,R_Scores!$C$5:$C$44,"Tool condition",R_Scores!F$5:F$44,R_Scores!F38)+COUNTIFS(R_Scores!$B$5:$B$44,1,R_Scores!$C$5:$C$44,"Paper condition",R_Scores!F$5:F$44,R_Scores!F38))^2-1,"")</f>
        <v/>
      </c>
      <c r="BQ38" s="1" t="str">
        <f aca="false">IF(AND(R_Scores!$B38=2,R_Scores!$C38="Tool condition",ISNUMBER(R_Scores!F38)),COUNTIFS(R_Scores!$B$5:$B$44,2,R_Scores!$C$5:$C$44,"Paper condition",R_Scores!F$5:F$44,"&lt;"&amp;R_Scores!F38)+0.5*COUNTIFS(R_Scores!$B$5:$B$44,2,R_Scores!$C$5:$C$44,"Paper condition",R_Scores!F$5:F$44,R_Scores!F38),"")</f>
        <v/>
      </c>
      <c r="BR38" s="1" t="n">
        <f aca="false">IF(AND(R_Scores!$B38=2,OR(R_Scores!$C38="Tool condition",R_Scores!$C38="Paper condition"),ISNUMBER(R_Scores!F38)),(COUNTIFS(R_Scores!$B$5:$B$44,2,R_Scores!$C$5:$C$44,"Tool condition",R_Scores!F$5:F$44,R_Scores!F38)+COUNTIFS(R_Scores!$B$5:$B$44,2,R_Scores!$C$5:$C$44,"Paper condition",R_Scores!F$5:F$44,R_Scores!F38))^2-1,"")</f>
        <v>195</v>
      </c>
      <c r="BS38" s="1" t="n">
        <f aca="false">IF(ISNUMBER(R_Scores!F38),R_Scores!F38^2,"")</f>
        <v>1</v>
      </c>
      <c r="BT38" s="1" t="str">
        <f aca="false">IF(AND(R_Scores!$B38=1,R_Scores!$C38="Tool condition",ISNUMBER(R_Scores!G38)),COUNTIFS(R_Scores!$B$5:$B$44,1,R_Scores!$C$5:$C$44,"Paper condition",R_Scores!G$5:G$44,"&lt;"&amp;R_Scores!G38)+0.5*COUNTIFS(R_Scores!$B$5:$B$44,1,R_Scores!$C$5:$C$44,"Paper condition",R_Scores!G$5:G$44,R_Scores!G38),"")</f>
        <v/>
      </c>
      <c r="BU38" s="1" t="str">
        <f aca="false">IF(AND(R_Scores!$B38=1,OR(R_Scores!$C38="Tool condition",R_Scores!$C38="Paper condition"),ISNUMBER(R_Scores!G38)),(COUNTIFS(R_Scores!$B$5:$B$44,1,R_Scores!$C$5:$C$44,"Tool condition",R_Scores!G$5:G$44,R_Scores!G38)+COUNTIFS(R_Scores!$B$5:$B$44,1,R_Scores!$C$5:$C$44,"Paper condition",R_Scores!G$5:G$44,R_Scores!G38))^2-1,"")</f>
        <v/>
      </c>
      <c r="BV38" s="1" t="str">
        <f aca="false">IF(AND(R_Scores!$B38=2,R_Scores!$C38="Tool condition",ISNUMBER(R_Scores!G38)),COUNTIFS(R_Scores!$B$5:$B$44,2,R_Scores!$C$5:$C$44,"Paper condition",R_Scores!G$5:G$44,"&lt;"&amp;R_Scores!G38)+0.5*COUNTIFS(R_Scores!$B$5:$B$44,2,R_Scores!$C$5:$C$44,"Paper condition",R_Scores!G$5:G$44,R_Scores!G38),"")</f>
        <v/>
      </c>
      <c r="BW38" s="1" t="str">
        <f aca="false">IF(AND(R_Scores!$B38=2,OR(R_Scores!$C38="Tool condition",R_Scores!$C38="Paper condition"),ISNUMBER(R_Scores!G38)),(COUNTIFS(R_Scores!$B$5:$B$44,2,R_Scores!$C$5:$C$44,"Tool condition",R_Scores!G$5:G$44,R_Scores!G38)+COUNTIFS(R_Scores!$B$5:$B$44,2,R_Scores!$C$5:$C$44,"Paper condition",R_Scores!G$5:G$44,R_Scores!G38))^2-1,"")</f>
        <v/>
      </c>
      <c r="BX38" s="1" t="str">
        <f aca="false">IF(ISNUMBER(R_Scores!G38),R_Scores!G38^2,"")</f>
        <v/>
      </c>
      <c r="BY38" s="1" t="str">
        <f aca="false">IF(AND(R_Scores!$B38=1,R_Scores!$C38="Tool condition",ISNUMBER(R_Scores!H38)),COUNTIFS(R_Scores!$B$5:$B$44,1,R_Scores!$C$5:$C$44,"Paper condition",R_Scores!H$5:H$44,"&lt;"&amp;R_Scores!H38)+0.5*COUNTIFS(R_Scores!$B$5:$B$44,1,R_Scores!$C$5:$C$44,"Paper condition",R_Scores!H$5:H$44,R_Scores!H38),"")</f>
        <v/>
      </c>
      <c r="BZ38" s="1" t="str">
        <f aca="false">IF(AND(R_Scores!$B38=1,OR(R_Scores!$C38="Tool condition",R_Scores!$C38="Paper condition"),ISNUMBER(R_Scores!H38)),(COUNTIFS(R_Scores!$B$5:$B$44,1,R_Scores!$C$5:$C$44,"Tool condition",R_Scores!H$5:H$44,R_Scores!H38)+COUNTIFS(R_Scores!$B$5:$B$44,1,R_Scores!$C$5:$C$44,"Paper condition",R_Scores!H$5:H$44,R_Scores!H38))^2-1,"")</f>
        <v/>
      </c>
      <c r="CA38" s="1" t="str">
        <f aca="false">IF(AND(R_Scores!$B38=2,R_Scores!$C38="Tool condition",ISNUMBER(R_Scores!H38)),COUNTIFS(R_Scores!$B$5:$B$44,2,R_Scores!$C$5:$C$44,"Paper condition",R_Scores!H$5:H$44,"&lt;"&amp;R_Scores!H38)+0.5*COUNTIFS(R_Scores!$B$5:$B$44,2,R_Scores!$C$5:$C$44,"Paper condition",R_Scores!H$5:H$44,R_Scores!H38),"")</f>
        <v/>
      </c>
      <c r="CB38" s="1" t="str">
        <f aca="false">IF(AND(R_Scores!$B38=2,OR(R_Scores!$C38="Tool condition",R_Scores!$C38="Paper condition"),ISNUMBER(R_Scores!H38)),(COUNTIFS(R_Scores!$B$5:$B$44,2,R_Scores!$C$5:$C$44,"Tool condition",R_Scores!H$5:H$44,R_Scores!H38)+COUNTIFS(R_Scores!$B$5:$B$44,2,R_Scores!$C$5:$C$44,"Paper condition",R_Scores!H$5:H$44,R_Scores!H38))^2-1,"")</f>
        <v/>
      </c>
      <c r="CC38" s="1" t="str">
        <f aca="false">IF(ISNUMBER(R_Scores!H38),R_Scores!H38^2,"")</f>
        <v/>
      </c>
      <c r="CD38" s="1" t="str">
        <f aca="false">IF(AND(R_Scores!$B38=1,R_Scores!$C38="Tool condition",ISNUMBER(R_Scores!I38)),COUNTIFS(R_Scores!$B$5:$B$44,1,R_Scores!$C$5:$C$44,"Paper condition",R_Scores!I$5:I$44,"&lt;"&amp;R_Scores!I38)+0.5*COUNTIFS(R_Scores!$B$5:$B$44,1,R_Scores!$C$5:$C$44,"Paper condition",R_Scores!I$5:I$44,R_Scores!I38),"")</f>
        <v/>
      </c>
      <c r="CE38" s="1" t="str">
        <f aca="false">IF(AND(R_Scores!$B38=1,OR(R_Scores!$C38="Tool condition",R_Scores!$C38="Paper condition"),ISNUMBER(R_Scores!I38)),(COUNTIFS(R_Scores!$B$5:$B$44,1,R_Scores!$C$5:$C$44,"Tool condition",R_Scores!I$5:I$44,R_Scores!I38)+COUNTIFS(R_Scores!$B$5:$B$44,1,R_Scores!$C$5:$C$44,"Paper condition",R_Scores!I$5:I$44,R_Scores!I38))^2-1,"")</f>
        <v/>
      </c>
      <c r="CF38" s="1" t="str">
        <f aca="false">IF(AND(R_Scores!$B38=2,R_Scores!$C38="Tool condition",ISNUMBER(R_Scores!I38)),COUNTIFS(R_Scores!$B$5:$B$44,2,R_Scores!$C$5:$C$44,"Paper condition",R_Scores!I$5:I$44,"&lt;"&amp;R_Scores!I38)+0.5*COUNTIFS(R_Scores!$B$5:$B$44,2,R_Scores!$C$5:$C$44,"Paper condition",R_Scores!I$5:I$44,R_Scores!I38),"")</f>
        <v/>
      </c>
      <c r="CG38" s="1" t="n">
        <f aca="false">IF(AND(R_Scores!$B38=2,OR(R_Scores!$C38="Tool condition",R_Scores!$C38="Paper condition"),ISNUMBER(R_Scores!I38)),(COUNTIFS(R_Scores!$B$5:$B$44,2,R_Scores!$C$5:$C$44,"Tool condition",R_Scores!I$5:I$44,R_Scores!I38)+COUNTIFS(R_Scores!$B$5:$B$44,2,R_Scores!$C$5:$C$44,"Paper condition",R_Scores!I$5:I$44,R_Scores!I38))^2-1,"")</f>
        <v>255</v>
      </c>
      <c r="CH38" s="1" t="n">
        <f aca="false">IF(ISNUMBER(R_Scores!I38),R_Scores!I38^2,"")</f>
        <v>1</v>
      </c>
      <c r="CI38" s="1" t="str">
        <f aca="false">IF(AND(R_Scores!$B38=1,R_Scores!$C38="Tool condition",ISNUMBER(R_Scores!J38)),COUNTIFS(R_Scores!$B$5:$B$44,1,R_Scores!$C$5:$C$44,"Paper condition",R_Scores!J$5:J$44,"&lt;"&amp;R_Scores!J38)+0.5*COUNTIFS(R_Scores!$B$5:$B$44,1,R_Scores!$C$5:$C$44,"Paper condition",R_Scores!J$5:J$44,R_Scores!J38),"")</f>
        <v/>
      </c>
      <c r="CJ38" s="1" t="str">
        <f aca="false">IF(AND(R_Scores!$B38=1,OR(R_Scores!$C38="Tool condition",R_Scores!$C38="Paper condition"),ISNUMBER(R_Scores!J38)),(COUNTIFS(R_Scores!$B$5:$B$44,1,R_Scores!$C$5:$C$44,"Tool condition",R_Scores!J$5:J$44,R_Scores!J38)+COUNTIFS(R_Scores!$B$5:$B$44,1,R_Scores!$C$5:$C$44,"Paper condition",R_Scores!J$5:J$44,R_Scores!J38))^2-1,"")</f>
        <v/>
      </c>
      <c r="CK38" s="1" t="str">
        <f aca="false">IF(AND(R_Scores!$B38=2,R_Scores!$C38="Tool condition",ISNUMBER(R_Scores!J38)),COUNTIFS(R_Scores!$B$5:$B$44,2,R_Scores!$C$5:$C$44,"Paper condition",R_Scores!J$5:J$44,"&lt;"&amp;R_Scores!J38)+0.5*COUNTIFS(R_Scores!$B$5:$B$44,2,R_Scores!$C$5:$C$44,"Paper condition",R_Scores!J$5:J$44,R_Scores!J38),"")</f>
        <v/>
      </c>
      <c r="CL38" s="1" t="n">
        <f aca="false">IF(AND(R_Scores!$B38=2,OR(R_Scores!$C38="Tool condition",R_Scores!$C38="Paper condition"),ISNUMBER(R_Scores!J38)),(COUNTIFS(R_Scores!$B$5:$B$44,2,R_Scores!$C$5:$C$44,"Tool condition",R_Scores!J$5:J$44,R_Scores!J38)+COUNTIFS(R_Scores!$B$5:$B$44,2,R_Scores!$C$5:$C$44,"Paper condition",R_Scores!J$5:J$44,R_Scores!J38))^2-1,"")</f>
        <v>195</v>
      </c>
      <c r="CM38" s="1" t="n">
        <f aca="false">IF(ISNUMBER(R_Scores!J38),R_Scores!J38^2,"")</f>
        <v>1</v>
      </c>
      <c r="CN38" s="1" t="str">
        <f aca="false">IF(AND(R_Scores!$B38=1,R_Scores!$C38="Tool condition",ISNUMBER(R_Scores!K38)),COUNTIFS(R_Scores!$B$5:$B$44,1,R_Scores!$C$5:$C$44,"Paper condition",R_Scores!K$5:K$44,"&lt;"&amp;R_Scores!K38)+0.5*COUNTIFS(R_Scores!$B$5:$B$44,1,R_Scores!$C$5:$C$44,"Paper condition",R_Scores!K$5:K$44,R_Scores!K38),"")</f>
        <v/>
      </c>
      <c r="CO38" s="1" t="str">
        <f aca="false">IF(AND(R_Scores!$B38=1,OR(R_Scores!$C38="Tool condition",R_Scores!$C38="Paper condition"),ISNUMBER(R_Scores!K38)),(COUNTIFS(R_Scores!$B$5:$B$44,1,R_Scores!$C$5:$C$44,"Tool condition",R_Scores!K$5:K$44,R_Scores!K38)+COUNTIFS(R_Scores!$B$5:$B$44,1,R_Scores!$C$5:$C$44,"Paper condition",R_Scores!K$5:K$44,R_Scores!K38))^2-1,"")</f>
        <v/>
      </c>
      <c r="CP38" s="1" t="str">
        <f aca="false">IF(AND(R_Scores!$B38=2,R_Scores!$C38="Tool condition",ISNUMBER(R_Scores!K38)),COUNTIFS(R_Scores!$B$5:$B$44,2,R_Scores!$C$5:$C$44,"Paper condition",R_Scores!K$5:K$44,"&lt;"&amp;R_Scores!K38)+0.5*COUNTIFS(R_Scores!$B$5:$B$44,2,R_Scores!$C$5:$C$44,"Paper condition",R_Scores!K$5:K$44,R_Scores!K38),"")</f>
        <v/>
      </c>
      <c r="CQ38" s="1" t="str">
        <f aca="false">IF(AND(R_Scores!$B38=2,OR(R_Scores!$C38="Tool condition",R_Scores!$C38="Paper condition"),ISNUMBER(R_Scores!K38)),(COUNTIFS(R_Scores!$B$5:$B$44,2,R_Scores!$C$5:$C$44,"Tool condition",R_Scores!K$5:K$44,R_Scores!K38)+COUNTIFS(R_Scores!$B$5:$B$44,2,R_Scores!$C$5:$C$44,"Paper condition",R_Scores!K$5:K$44,R_Scores!K38))^2-1,"")</f>
        <v/>
      </c>
      <c r="CR38" s="1" t="str">
        <f aca="false">IF(ISNUMBER(R_Scores!K38),R_Scores!K38^2,"")</f>
        <v/>
      </c>
      <c r="CS38" s="1" t="str">
        <f aca="false">IF(AND(R_Scores!$B38=1,R_Scores!$C38="Tool condition",ISNUMBER(R_Scores!L38)),COUNTIFS(R_Scores!$B$5:$B$44,1,R_Scores!$C$5:$C$44,"Paper condition",R_Scores!L$5:L$44,"&lt;"&amp;R_Scores!L38)+0.5*COUNTIFS(R_Scores!$B$5:$B$44,1,R_Scores!$C$5:$C$44,"Paper condition",R_Scores!L$5:L$44,R_Scores!L38),"")</f>
        <v/>
      </c>
      <c r="CT38" s="1" t="str">
        <f aca="false">IF(AND(R_Scores!$B38=1,OR(R_Scores!$C38="Tool condition",R_Scores!$C38="Paper condition"),ISNUMBER(R_Scores!L38)),(COUNTIFS(R_Scores!$B$5:$B$44,1,R_Scores!$C$5:$C$44,"Tool condition",R_Scores!L$5:L$44,R_Scores!L38)+COUNTIFS(R_Scores!$B$5:$B$44,1,R_Scores!$C$5:$C$44,"Paper condition",R_Scores!L$5:L$44,R_Scores!L38))^2-1,"")</f>
        <v/>
      </c>
      <c r="CU38" s="1" t="str">
        <f aca="false">IF(AND(R_Scores!$B38=2,R_Scores!$C38="Tool condition",ISNUMBER(R_Scores!L38)),COUNTIFS(R_Scores!$B$5:$B$44,2,R_Scores!$C$5:$C$44,"Paper condition",R_Scores!L$5:L$44,"&lt;"&amp;R_Scores!L38)+0.5*COUNTIFS(R_Scores!$B$5:$B$44,2,R_Scores!$C$5:$C$44,"Paper condition",R_Scores!L$5:L$44,R_Scores!L38),"")</f>
        <v/>
      </c>
      <c r="CV38" s="1" t="str">
        <f aca="false">IF(AND(R_Scores!$B38=2,OR(R_Scores!$C38="Tool condition",R_Scores!$C38="Paper condition"),ISNUMBER(R_Scores!L38)),(COUNTIFS(R_Scores!$B$5:$B$44,2,R_Scores!$C$5:$C$44,"Tool condition",R_Scores!L$5:L$44,R_Scores!L38)+COUNTIFS(R_Scores!$B$5:$B$44,2,R_Scores!$C$5:$C$44,"Paper condition",R_Scores!L$5:L$44,R_Scores!L38))^2-1,"")</f>
        <v/>
      </c>
      <c r="CW38" s="1" t="str">
        <f aca="false">IF(ISNUMBER(R_Scores!L38),R_Scores!L38^2,"")</f>
        <v/>
      </c>
      <c r="CX38" s="1" t="str">
        <f aca="false">IF(AND(R_Scores!$B38=1,R_Scores!$C38="Tool condition",ISNUMBER(R_Scores!M38)),COUNTIFS(R_Scores!$B$5:$B$44,1,R_Scores!$C$5:$C$44,"Paper condition",R_Scores!M$5:M$44,"&lt;"&amp;R_Scores!M38)+0.5*COUNTIFS(R_Scores!$B$5:$B$44,1,R_Scores!$C$5:$C$44,"Paper condition",R_Scores!M$5:M$44,R_Scores!M38),"")</f>
        <v/>
      </c>
      <c r="CY38" s="1" t="str">
        <f aca="false">IF(AND(R_Scores!$B38=1,OR(R_Scores!$C38="Tool condition",R_Scores!$C38="Paper condition"),ISNUMBER(R_Scores!M38)),(COUNTIFS(R_Scores!$B$5:$B$44,1,R_Scores!$C$5:$C$44,"Tool condition",R_Scores!M$5:M$44,R_Scores!M38)+COUNTIFS(R_Scores!$B$5:$B$44,1,R_Scores!$C$5:$C$44,"Paper condition",R_Scores!M$5:M$44,R_Scores!M38))^2-1,"")</f>
        <v/>
      </c>
      <c r="CZ38" s="1" t="str">
        <f aca="false">IF(AND(R_Scores!$B38=2,R_Scores!$C38="Tool condition",ISNUMBER(R_Scores!M38)),COUNTIFS(R_Scores!$B$5:$B$44,2,R_Scores!$C$5:$C$44,"Paper condition",R_Scores!M$5:M$44,"&lt;"&amp;R_Scores!M38)+0.5*COUNTIFS(R_Scores!$B$5:$B$44,2,R_Scores!$C$5:$C$44,"Paper condition",R_Scores!M$5:M$44,R_Scores!M38),"")</f>
        <v/>
      </c>
      <c r="DA38" s="1" t="str">
        <f aca="false">IF(AND(R_Scores!$B38=2,OR(R_Scores!$C38="Tool condition",R_Scores!$C38="Paper condition"),ISNUMBER(R_Scores!M38)),(COUNTIFS(R_Scores!$B$5:$B$44,2,R_Scores!$C$5:$C$44,"Tool condition",R_Scores!M$5:M$44,R_Scores!M38)+COUNTIFS(R_Scores!$B$5:$B$44,2,R_Scores!$C$5:$C$44,"Paper condition",R_Scores!M$5:M$44,R_Scores!M38))^2-1,"")</f>
        <v/>
      </c>
      <c r="DB38" s="1" t="str">
        <f aca="false">IF(ISNUMBER(R_Scores!M38),R_Scores!M38^2,"")</f>
        <v/>
      </c>
      <c r="DC38" s="1" t="str">
        <f aca="false">IF(AND(R_Scores!$B38=1,R_Scores!$C38="Tool condition",ISNUMBER(R_Scores!N38)),COUNTIFS(R_Scores!$B$5:$B$44,1,R_Scores!$C$5:$C$44,"Paper condition",R_Scores!N$5:N$44,"&lt;"&amp;R_Scores!N38)+0.5*COUNTIFS(R_Scores!$B$5:$B$44,1,R_Scores!$C$5:$C$44,"Paper condition",R_Scores!N$5:N$44,R_Scores!N38),"")</f>
        <v/>
      </c>
      <c r="DD38" s="1" t="str">
        <f aca="false">IF(AND(R_Scores!$B38=1,OR(R_Scores!$C38="Tool condition",R_Scores!$C38="Paper condition"),ISNUMBER(R_Scores!N38)),(COUNTIFS(R_Scores!$B$5:$B$44,1,R_Scores!$C$5:$C$44,"Tool condition",R_Scores!N$5:N$44,R_Scores!N38)+COUNTIFS(R_Scores!$B$5:$B$44,1,R_Scores!$C$5:$C$44,"Paper condition",R_Scores!N$5:N$44,R_Scores!N38))^2-1,"")</f>
        <v/>
      </c>
      <c r="DE38" s="1" t="str">
        <f aca="false">IF(AND(R_Scores!$B38=2,R_Scores!$C38="Tool condition",ISNUMBER(R_Scores!N38)),COUNTIFS(R_Scores!$B$5:$B$44,2,R_Scores!$C$5:$C$44,"Paper condition",R_Scores!N$5:N$44,"&lt;"&amp;R_Scores!N38)+0.5*COUNTIFS(R_Scores!$B$5:$B$44,2,R_Scores!$C$5:$C$44,"Paper condition",R_Scores!N$5:N$44,R_Scores!N38),"")</f>
        <v/>
      </c>
      <c r="DF38" s="1" t="n">
        <f aca="false">IF(AND(R_Scores!$B38=2,OR(R_Scores!$C38="Tool condition",R_Scores!$C38="Paper condition"),ISNUMBER(R_Scores!N38)),(COUNTIFS(R_Scores!$B$5:$B$44,2,R_Scores!$C$5:$C$44,"Tool condition",R_Scores!N$5:N$44,R_Scores!N38)+COUNTIFS(R_Scores!$B$5:$B$44,2,R_Scores!$C$5:$C$44,"Paper condition",R_Scores!N$5:N$44,R_Scores!N38))^2-1,"")</f>
        <v>63</v>
      </c>
      <c r="DG38" s="1" t="n">
        <f aca="false">IF(ISNUMBER(R_Scores!N38),R_Scores!N38^2,"")</f>
        <v>0</v>
      </c>
      <c r="DH38" s="1" t="str">
        <f aca="false">IF(AND(R_Scores!$B38=1,R_Scores!$C38="Tool condition",ISNUMBER(R_Scores!O38)),COUNTIFS(R_Scores!$B$5:$B$44,1,R_Scores!$C$5:$C$44,"Paper condition",R_Scores!O$5:O$44,"&lt;"&amp;R_Scores!O38)+0.5*COUNTIFS(R_Scores!$B$5:$B$44,1,R_Scores!$C$5:$C$44,"Paper condition",R_Scores!O$5:O$44,R_Scores!O38),"")</f>
        <v/>
      </c>
      <c r="DI38" s="1" t="str">
        <f aca="false">IF(AND(R_Scores!$B38=1,OR(R_Scores!$C38="Tool condition",R_Scores!$C38="Paper condition"),ISNUMBER(R_Scores!O38)),(COUNTIFS(R_Scores!$B$5:$B$44,1,R_Scores!$C$5:$C$44,"Tool condition",R_Scores!O$5:O$44,R_Scores!O38)+COUNTIFS(R_Scores!$B$5:$B$44,1,R_Scores!$C$5:$C$44,"Paper condition",R_Scores!O$5:O$44,R_Scores!O38))^2-1,"")</f>
        <v/>
      </c>
      <c r="DJ38" s="1" t="str">
        <f aca="false">IF(AND(R_Scores!$B38=2,R_Scores!$C38="Tool condition",ISNUMBER(R_Scores!O38)),COUNTIFS(R_Scores!$B$5:$B$44,2,R_Scores!$C$5:$C$44,"Paper condition",R_Scores!O$5:O$44,"&lt;"&amp;R_Scores!O38)+0.5*COUNTIFS(R_Scores!$B$5:$B$44,2,R_Scores!$C$5:$C$44,"Paper condition",R_Scores!O$5:O$44,R_Scores!O38),"")</f>
        <v/>
      </c>
      <c r="DK38" s="1" t="n">
        <f aca="false">IF(AND(R_Scores!$B38=2,OR(R_Scores!$C38="Tool condition",R_Scores!$C38="Paper condition"),ISNUMBER(R_Scores!O38)),(COUNTIFS(R_Scores!$B$5:$B$44,2,R_Scores!$C$5:$C$44,"Tool condition",R_Scores!O$5:O$44,R_Scores!O38)+COUNTIFS(R_Scores!$B$5:$B$44,2,R_Scores!$C$5:$C$44,"Paper condition",R_Scores!O$5:O$44,R_Scores!O38))^2-1,"")</f>
        <v>168</v>
      </c>
      <c r="DL38" s="1" t="n">
        <f aca="false">IF(ISNUMBER(R_Scores!O38),R_Scores!O38^2,"")</f>
        <v>1</v>
      </c>
      <c r="DM38" s="1" t="str">
        <f aca="false">IF(AND(R_Scores!$B38=1,R_Scores!$C38="Tool condition",ISNUMBER(R_Scores!P38)),COUNTIFS(R_Scores!$B$5:$B$44,1,R_Scores!$C$5:$C$44,"Paper condition",R_Scores!P$5:P$44,"&lt;"&amp;R_Scores!P38)+0.5*COUNTIFS(R_Scores!$B$5:$B$44,1,R_Scores!$C$5:$C$44,"Paper condition",R_Scores!P$5:P$44,R_Scores!P38),"")</f>
        <v/>
      </c>
      <c r="DN38" s="1" t="str">
        <f aca="false">IF(AND(R_Scores!$B38=1,OR(R_Scores!$C38="Tool condition",R_Scores!$C38="Paper condition"),ISNUMBER(R_Scores!P38)),(COUNTIFS(R_Scores!$B$5:$B$44,1,R_Scores!$C$5:$C$44,"Tool condition",R_Scores!P$5:P$44,R_Scores!P38)+COUNTIFS(R_Scores!$B$5:$B$44,1,R_Scores!$C$5:$C$44,"Paper condition",R_Scores!P$5:P$44,R_Scores!P38))^2-1,"")</f>
        <v/>
      </c>
      <c r="DO38" s="1" t="str">
        <f aca="false">IF(AND(R_Scores!$B38=2,R_Scores!$C38="Tool condition",ISNUMBER(R_Scores!P38)),COUNTIFS(R_Scores!$B$5:$B$44,2,R_Scores!$C$5:$C$44,"Paper condition",R_Scores!P$5:P$44,"&lt;"&amp;R_Scores!P38)+0.5*COUNTIFS(R_Scores!$B$5:$B$44,2,R_Scores!$C$5:$C$44,"Paper condition",R_Scores!P$5:P$44,R_Scores!P38),"")</f>
        <v/>
      </c>
      <c r="DP38" s="1" t="n">
        <f aca="false">IF(AND(R_Scores!$B38=2,OR(R_Scores!$C38="Tool condition",R_Scores!$C38="Paper condition"),ISNUMBER(R_Scores!P38)),(COUNTIFS(R_Scores!$B$5:$B$44,2,R_Scores!$C$5:$C$44,"Tool condition",R_Scores!P$5:P$44,R_Scores!P38)+COUNTIFS(R_Scores!$B$5:$B$44,2,R_Scores!$C$5:$C$44,"Paper condition",R_Scores!P$5:P$44,R_Scores!P38))^2-1,"")</f>
        <v>168</v>
      </c>
      <c r="DQ38" s="1" t="n">
        <f aca="false">IF(ISNUMBER(R_Scores!P38),R_Scores!P38^2,"")</f>
        <v>0</v>
      </c>
      <c r="DR38" s="1" t="str">
        <f aca="false">IF(AND(Scores!$B38=1,Scores!$C38="Tool condition",ISNUMBER(Scores!Q38)),COUNTIFS(Scores!$B$5:$B$44,1,Scores!$C$5:$C$44,"Paper condition",Scores!Q$5:Q$44,"&lt;"&amp;Scores!Q38)+0.5*COUNTIFS(Scores!$B$5:$B$44,1,Scores!$C$5:$C$44,"Paper condition",Scores!Q$5:Q$44,Scores!Q38),"")</f>
        <v/>
      </c>
      <c r="DS38" s="1" t="str">
        <f aca="false">IF(AND(Scores!$B38=1,OR(Scores!$C38="Tool condition",Scores!$C38="Paper condition"),ISNUMBER(Scores!Q38)),(COUNTIFS(Scores!$B$5:$B$44,1,Scores!$C$5:$C$44,"Tool condition",Scores!Q$5:Q$44,Scores!Q38)+COUNTIFS(Scores!$B$5:$B$44,1,Scores!$C$5:$C$44,"Paper condition",Scores!Q$5:Q$44,Scores!Q38))^2-1,"")</f>
        <v/>
      </c>
      <c r="DT38" s="1" t="str">
        <f aca="false">IF(AND(Scores!$B38=2,Scores!$C38="Tool condition",ISNUMBER(Scores!Q38)),COUNTIFS(Scores!$B$5:$B$44,2,Scores!$C$5:$C$44,"Paper condition",Scores!Q$5:Q$44,"&lt;"&amp;Scores!Q38)+0.5*COUNTIFS(Scores!$B$5:$B$44,2,Scores!$C$5:$C$44,"Paper condition",Scores!Q$5:Q$44,Scores!Q38),"")</f>
        <v/>
      </c>
      <c r="DU38" s="1" t="n">
        <f aca="false">IF(AND(Scores!$B38=2,OR(Scores!$C38="Tool condition",Scores!$C38="Paper condition"),ISNUMBER(Scores!Q38)),(COUNTIFS(Scores!$B$5:$B$44,2,Scores!$C$5:$C$44,"Tool condition",Scores!Q$5:Q$44,Scores!Q38)+COUNTIFS(Scores!$B$5:$B$44,2,Scores!$C$5:$C$44,"Paper condition",Scores!Q$5:Q$44,Scores!Q38))^2-1,"")</f>
        <v>8</v>
      </c>
      <c r="DV38" s="1" t="n">
        <f aca="false">IF(ISNUMBER(Scores!Q38),Scores!Q38^2,"")</f>
        <v>256</v>
      </c>
      <c r="DW38" s="1" t="str">
        <f aca="false">IF(AND(Scores!$B38=1,Scores!$C38="Tool condition",ISNUMBER(Scores!R38)),COUNTIFS(Scores!$B$5:$B$44,1,Scores!$C$5:$C$44,"Paper condition",Scores!R$5:R$44,"&lt;"&amp;Scores!R38)+0.5*COUNTIFS(Scores!$B$5:$B$44,1,Scores!$C$5:$C$44,"Paper condition",Scores!R$5:R$44,Scores!R38),"")</f>
        <v/>
      </c>
      <c r="DX38" s="1" t="str">
        <f aca="false">IF(AND(Scores!$B38=1,OR(Scores!$C38="Tool condition",Scores!$C38="Paper condition"),ISNUMBER(Scores!R38)),(COUNTIFS(Scores!$B$5:$B$44,1,Scores!$C$5:$C$44,"Tool condition",Scores!R$5:R$44,Scores!R38)+COUNTIFS(Scores!$B$5:$B$44,1,Scores!$C$5:$C$44,"Paper condition",Scores!R$5:R$44,Scores!R38))^2-1,"")</f>
        <v/>
      </c>
      <c r="DY38" s="1" t="str">
        <f aca="false">IF(AND(Scores!$B38=2,Scores!$C38="Tool condition",ISNUMBER(Scores!R38)),COUNTIFS(Scores!$B$5:$B$44,2,Scores!$C$5:$C$44,"Paper condition",Scores!R$5:R$44,"&lt;"&amp;Scores!R38)+0.5*COUNTIFS(Scores!$B$5:$B$44,2,Scores!$C$5:$C$44,"Paper condition",Scores!R$5:R$44,Scores!R38),"")</f>
        <v/>
      </c>
      <c r="DZ38" s="1" t="n">
        <f aca="false">IF(AND(Scores!$B38=2,OR(Scores!$C38="Tool condition",Scores!$C38="Paper condition"),ISNUMBER(Scores!R38)),(COUNTIFS(Scores!$B$5:$B$44,2,Scores!$C$5:$C$44,"Tool condition",Scores!R$5:R$44,Scores!R38)+COUNTIFS(Scores!$B$5:$B$44,2,Scores!$C$5:$C$44,"Paper condition",Scores!R$5:R$44,Scores!R38))^2-1,"")</f>
        <v>80</v>
      </c>
      <c r="EA38" s="1" t="n">
        <f aca="false">IF(ISNUMBER(Scores!R38),Scores!R38^2,"")</f>
        <v>100</v>
      </c>
      <c r="EB38" s="1" t="str">
        <f aca="false">IF(AND(Scores!$B38=1,Scores!$C38="Tool condition",ISNUMBER(Scores!S38)),COUNTIFS(Scores!$B$5:$B$44,1,Scores!$C$5:$C$44,"Paper condition",Scores!S$5:S$44,"&lt;"&amp;Scores!S38)+0.5*COUNTIFS(Scores!$B$5:$B$44,1,Scores!$C$5:$C$44,"Paper condition",Scores!S$5:S$44,Scores!S38),"")</f>
        <v/>
      </c>
      <c r="EC38" s="1" t="str">
        <f aca="false">IF(AND(Scores!$B38=1,OR(Scores!$C38="Tool condition",Scores!$C38="Paper condition"),ISNUMBER(Scores!S38)),(COUNTIFS(Scores!$B$5:$B$44,1,Scores!$C$5:$C$44,"Tool condition",Scores!S$5:S$44,Scores!S38)+COUNTIFS(Scores!$B$5:$B$44,1,Scores!$C$5:$C$44,"Paper condition",Scores!S$5:S$44,Scores!S38))^2-1,"")</f>
        <v/>
      </c>
      <c r="ED38" s="1" t="str">
        <f aca="false">IF(AND(Scores!$B38=2,Scores!$C38="Tool condition",ISNUMBER(Scores!S38)),COUNTIFS(Scores!$B$5:$B$44,2,Scores!$C$5:$C$44,"Paper condition",Scores!S$5:S$44,"&lt;"&amp;Scores!S38)+0.5*COUNTIFS(Scores!$B$5:$B$44,2,Scores!$C$5:$C$44,"Paper condition",Scores!S$5:S$44,Scores!S38),"")</f>
        <v/>
      </c>
      <c r="EE38" s="1" t="n">
        <f aca="false">IF(AND(Scores!$B38=2,OR(Scores!$C38="Tool condition",Scores!$C38="Paper condition"),ISNUMBER(Scores!S38)),(COUNTIFS(Scores!$B$5:$B$44,2,Scores!$C$5:$C$44,"Tool condition",Scores!S$5:S$44,Scores!S38)+COUNTIFS(Scores!$B$5:$B$44,2,Scores!$C$5:$C$44,"Paper condition",Scores!S$5:S$44,Scores!S38))^2-1,"")</f>
        <v>24</v>
      </c>
      <c r="EF38" s="1" t="n">
        <f aca="false">IF(ISNUMBER(Scores!S38),Scores!S38^2,"")</f>
        <v>36</v>
      </c>
      <c r="EG38" s="1" t="str">
        <f aca="false">IF(AND(Scores!$B38=1,Scores!$C38="Tool condition",ISNUMBER(Scores!T38)),COUNTIFS(Scores!$B$5:$B$44,1,Scores!$C$5:$C$44,"Paper condition",Scores!T$5:T$44,"&lt;"&amp;Scores!T38)+0.5*COUNTIFS(Scores!$B$5:$B$44,1,Scores!$C$5:$C$44,"Paper condition",Scores!T$5:T$44,Scores!T38),"")</f>
        <v/>
      </c>
      <c r="EH38" s="1" t="str">
        <f aca="false">IF(AND(Scores!$B38=1,OR(Scores!$C38="Tool condition",Scores!$C38="Paper condition"),ISNUMBER(Scores!T38)),(COUNTIFS(Scores!$B$5:$B$44,1,Scores!$C$5:$C$44,"Tool condition",Scores!T$5:T$44,Scores!T38)+COUNTIFS(Scores!$B$5:$B$44,1,Scores!$C$5:$C$44,"Paper condition",Scores!T$5:T$44,Scores!T38))^2-1,"")</f>
        <v/>
      </c>
      <c r="EI38" s="1" t="str">
        <f aca="false">IF(AND(Scores!$B38=2,Scores!$C38="Tool condition",ISNUMBER(Scores!T38)),COUNTIFS(Scores!$B$5:$B$44,2,Scores!$C$5:$C$44,"Paper condition",Scores!T$5:T$44,"&lt;"&amp;Scores!T38)+0.5*COUNTIFS(Scores!$B$5:$B$44,2,Scores!$C$5:$C$44,"Paper condition",Scores!T$5:T$44,Scores!T38),"")</f>
        <v/>
      </c>
      <c r="EJ38" s="1" t="n">
        <f aca="false">IF(AND(Scores!$B38=2,OR(Scores!$C38="Tool condition",Scores!$C38="Paper condition"),ISNUMBER(Scores!T38)),(COUNTIFS(Scores!$B$5:$B$44,2,Scores!$C$5:$C$44,"Tool condition",Scores!T$5:T$44,Scores!T38)+COUNTIFS(Scores!$B$5:$B$44,2,Scores!$C$5:$C$44,"Paper condition",Scores!T$5:T$44,Scores!T38))^2-1,"")</f>
        <v>80</v>
      </c>
      <c r="EK38" s="1" t="n">
        <f aca="false">IF(ISNUMBER(Scores!T38),Scores!T38^2,"")</f>
        <v>36</v>
      </c>
      <c r="EL38" s="1" t="str">
        <f aca="false">IF(AND(Scores!$B38=1,Scores!$C38="Tool condition",ISNUMBER(Scores!U38)),COUNTIFS(Scores!$B$5:$B$44,1,Scores!$C$5:$C$44,"Paper condition",Scores!U$5:U$44,"&lt;"&amp;Scores!U38)+0.5*COUNTIFS(Scores!$B$5:$B$44,1,Scores!$C$5:$C$44,"Paper condition",Scores!U$5:U$44,Scores!U38),"")</f>
        <v/>
      </c>
      <c r="EM38" s="1" t="str">
        <f aca="false">IF(AND(Scores!$B38=1,OR(Scores!$C38="Tool condition",Scores!$C38="Paper condition"),ISNUMBER(Scores!U38)),(COUNTIFS(Scores!$B$5:$B$44,1,Scores!$C$5:$C$44,"Tool condition",Scores!U$5:U$44,Scores!U38)+COUNTIFS(Scores!$B$5:$B$44,1,Scores!$C$5:$C$44,"Paper condition",Scores!U$5:U$44,Scores!U38))^2-1,"")</f>
        <v/>
      </c>
      <c r="EN38" s="1" t="str">
        <f aca="false">IF(AND(Scores!$B38=2,Scores!$C38="Tool condition",ISNUMBER(Scores!U38)),COUNTIFS(Scores!$B$5:$B$44,2,Scores!$C$5:$C$44,"Paper condition",Scores!U$5:U$44,"&lt;"&amp;Scores!U38)+0.5*COUNTIFS(Scores!$B$5:$B$44,2,Scores!$C$5:$C$44,"Paper condition",Scores!U$5:U$44,Scores!U38),"")</f>
        <v/>
      </c>
      <c r="EO38" s="1" t="n">
        <f aca="false">IF(AND(Scores!$B38=2,OR(Scores!$C38="Tool condition",Scores!$C38="Paper condition"),ISNUMBER(Scores!U38)),(COUNTIFS(Scores!$B$5:$B$44,2,Scores!$C$5:$C$44,"Tool condition",Scores!U$5:U$44,Scores!U38)+COUNTIFS(Scores!$B$5:$B$44,2,Scores!$C$5:$C$44,"Paper condition",Scores!U$5:U$44,Scores!U38))^2-1,"")</f>
        <v>35</v>
      </c>
      <c r="EP38" s="1" t="n">
        <f aca="false">IF(ISNUMBER(Scores!U38),Scores!U38^2,"")</f>
        <v>9</v>
      </c>
      <c r="EQ38" s="1" t="str">
        <f aca="false">IF(AND(Scores!$B38=1,Scores!$C38="Tool condition",ISNUMBER(Scores!V38)),COUNTIFS(Scores!$B$5:$B$44,1,Scores!$C$5:$C$44,"Paper condition",Scores!V$5:V$44,"&lt;"&amp;Scores!V38)+0.5*COUNTIFS(Scores!$B$5:$B$44,1,Scores!$C$5:$C$44,"Paper condition",Scores!V$5:V$44,Scores!V38),"")</f>
        <v/>
      </c>
      <c r="ER38" s="1" t="str">
        <f aca="false">IF(AND(Scores!$B38=1,OR(Scores!$C38="Tool condition",Scores!$C38="Paper condition"),ISNUMBER(Scores!V38)),(COUNTIFS(Scores!$B$5:$B$44,1,Scores!$C$5:$C$44,"Tool condition",Scores!V$5:V$44,Scores!V38)+COUNTIFS(Scores!$B$5:$B$44,1,Scores!$C$5:$C$44,"Paper condition",Scores!V$5:V$44,Scores!V38))^2-1,"")</f>
        <v/>
      </c>
      <c r="ES38" s="1" t="str">
        <f aca="false">IF(AND(Scores!$B38=2,Scores!$C38="Tool condition",ISNUMBER(Scores!V38)),COUNTIFS(Scores!$B$5:$B$44,2,Scores!$C$5:$C$44,"Paper condition",Scores!V$5:V$44,"&lt;"&amp;Scores!V38)+0.5*COUNTIFS(Scores!$B$5:$B$44,2,Scores!$C$5:$C$44,"Paper condition",Scores!V$5:V$44,Scores!V38),"")</f>
        <v/>
      </c>
      <c r="ET38" s="1" t="n">
        <f aca="false">IF(AND(Scores!$B38=2,OR(Scores!$C38="Tool condition",Scores!$C38="Paper condition"),ISNUMBER(Scores!V38)),(COUNTIFS(Scores!$B$5:$B$44,2,Scores!$C$5:$C$44,"Tool condition",Scores!V$5:V$44,Scores!V38)+COUNTIFS(Scores!$B$5:$B$44,2,Scores!$C$5:$C$44,"Paper condition",Scores!V$5:V$44,Scores!V38))^2-1,"")</f>
        <v>48</v>
      </c>
      <c r="EU38" s="1" t="n">
        <f aca="false">IF(ISNUMBER(Scores!V38),Scores!V38^2,"")</f>
        <v>49</v>
      </c>
      <c r="EV38" s="1" t="str">
        <f aca="false">IF(AND(R_Scores!$B38=1,R_Scores!$C38="Tool condition",ISNUMBER(R_Scores!Q38)),COUNTIFS(R_Scores!$B$5:$B$44,1,R_Scores!$C$5:$C$44,"Paper condition",R_Scores!Q$5:Q$44,"&lt;"&amp;R_Scores!Q38)+0.5*COUNTIFS(R_Scores!$B$5:$B$44,1,R_Scores!$C$5:$C$44,"Paper condition",R_Scores!Q$5:Q$44,R_Scores!Q38),"")</f>
        <v/>
      </c>
      <c r="EW38" s="1" t="str">
        <f aca="false">IF(AND(R_Scores!$B38=1,OR(R_Scores!$C38="Tool condition",R_Scores!$C38="Paper condition"),ISNUMBER(R_Scores!Q38)),(COUNTIFS(R_Scores!$B$5:$B$44,1,R_Scores!$C$5:$C$44,"Tool condition",R_Scores!Q$5:Q$44,R_Scores!Q38)+COUNTIFS(R_Scores!$B$5:$B$44,1,R_Scores!$C$5:$C$44,"Paper condition",R_Scores!Q$5:Q$44,R_Scores!Q38))^2-1,"")</f>
        <v/>
      </c>
      <c r="EX38" s="1" t="str">
        <f aca="false">IF(AND(R_Scores!$B38=2,R_Scores!$C38="Tool condition",ISNUMBER(R_Scores!Q38)),COUNTIFS(R_Scores!$B$5:$B$44,2,R_Scores!$C$5:$C$44,"Paper condition",R_Scores!Q$5:Q$44,"&lt;"&amp;R_Scores!Q38)+0.5*COUNTIFS(R_Scores!$B$5:$B$44,2,R_Scores!$C$5:$C$44,"Paper condition",R_Scores!Q$5:Q$44,R_Scores!Q38),"")</f>
        <v/>
      </c>
      <c r="EY38" s="1" t="n">
        <f aca="false">IF(AND(R_Scores!$B38=2,OR(R_Scores!$C38="Tool condition",R_Scores!$C38="Paper condition"),ISNUMBER(R_Scores!Q38)),(COUNTIFS(R_Scores!$B$5:$B$44,2,R_Scores!$C$5:$C$44,"Tool condition",R_Scores!Q$5:Q$44,R_Scores!Q38)+COUNTIFS(R_Scores!$B$5:$B$44,2,R_Scores!$C$5:$C$44,"Paper condition",R_Scores!Q$5:Q$44,R_Scores!Q38))^2-1,"")</f>
        <v>143</v>
      </c>
      <c r="EZ38" s="1" t="n">
        <f aca="false">IF(ISNUMBER(R_Scores!Q38),R_Scores!Q38^2,"")</f>
        <v>25</v>
      </c>
      <c r="FA38" s="1" t="str">
        <f aca="false">IF(AND(R_Scores!$B38=1,R_Scores!$C38="Tool condition",ISNUMBER(R_Scores!R38)),COUNTIFS(R_Scores!$B$5:$B$44,1,R_Scores!$C$5:$C$44,"Paper condition",R_Scores!R$5:R$44,"&lt;"&amp;R_Scores!R38)+0.5*COUNTIFS(R_Scores!$B$5:$B$44,1,R_Scores!$C$5:$C$44,"Paper condition",R_Scores!R$5:R$44,R_Scores!R38),"")</f>
        <v/>
      </c>
      <c r="FB38" s="1" t="str">
        <f aca="false">IF(AND(R_Scores!$B38=1,OR(R_Scores!$C38="Tool condition",R_Scores!$C38="Paper condition"),ISNUMBER(R_Scores!R38)),(COUNTIFS(R_Scores!$B$5:$B$44,1,R_Scores!$C$5:$C$44,"Tool condition",R_Scores!R$5:R$44,R_Scores!R38)+COUNTIFS(R_Scores!$B$5:$B$44,1,R_Scores!$C$5:$C$44,"Paper condition",R_Scores!R$5:R$44,R_Scores!R38))^2-1,"")</f>
        <v/>
      </c>
      <c r="FC38" s="1" t="str">
        <f aca="false">IF(AND(R_Scores!$B38=2,R_Scores!$C38="Tool condition",ISNUMBER(R_Scores!R38)),COUNTIFS(R_Scores!$B$5:$B$44,2,R_Scores!$C$5:$C$44,"Paper condition",R_Scores!R$5:R$44,"&lt;"&amp;R_Scores!R38)+0.5*COUNTIFS(R_Scores!$B$5:$B$44,2,R_Scores!$C$5:$C$44,"Paper condition",R_Scores!R$5:R$44,R_Scores!R38),"")</f>
        <v/>
      </c>
      <c r="FD38" s="1" t="n">
        <f aca="false">IF(AND(R_Scores!$B38=2,OR(R_Scores!$C38="Tool condition",R_Scores!$C38="Paper condition"),ISNUMBER(R_Scores!R38)),(COUNTIFS(R_Scores!$B$5:$B$44,2,R_Scores!$C$5:$C$44,"Tool condition",R_Scores!R$5:R$44,R_Scores!R38)+COUNTIFS(R_Scores!$B$5:$B$44,2,R_Scores!$C$5:$C$44,"Paper condition",R_Scores!R$5:R$44,R_Scores!R38))^2-1,"")</f>
        <v>3</v>
      </c>
      <c r="FE38" s="1" t="n">
        <f aca="false">IF(ISNUMBER(R_Scores!R38),R_Scores!R38^2,"")</f>
        <v>441</v>
      </c>
    </row>
    <row r="39" customFormat="false" ht="14.25" hidden="false" customHeight="true" outlineLevel="0" collapsed="false">
      <c r="B39" s="1" t="str">
        <f aca="false">IF(AND(Scores!$B39=1,Scores!$C39="Tool condition",ISNUMBER(Scores!E39)),COUNTIFS(Scores!$B$5:$B$44,1,Scores!$C$5:$C$44,"Paper condition",Scores!E$5:E$44,"&lt;"&amp;Scores!E39)+0.5*COUNTIFS(Scores!$B$5:$B$44,1,Scores!$C$5:$C$44,"Paper condition",Scores!E$5:E$44,Scores!E39),"")</f>
        <v/>
      </c>
      <c r="C39" s="1" t="str">
        <f aca="false">IF(AND(Scores!$B39=1,OR(Scores!$C39="Tool condition",Scores!$C39="Paper condition"),ISNUMBER(Scores!E39)),(COUNTIFS(Scores!$B$5:$B$44,1,Scores!$C$5:$C$44,"Tool condition",Scores!E$5:E$44,Scores!E39)+COUNTIFS(Scores!$B$5:$B$44,1,Scores!$C$5:$C$44,"Paper condition",Scores!E$5:E$44,Scores!E39))^2-1,"")</f>
        <v/>
      </c>
      <c r="D39" s="1" t="str">
        <f aca="false">IF(AND(Scores!$B39=2,Scores!$C39="Tool condition",ISNUMBER(Scores!E39)),COUNTIFS(Scores!$B$5:$B$44,2,Scores!$C$5:$C$44,"Paper condition",Scores!E$5:E$44,"&lt;"&amp;Scores!E39)+0.5*COUNTIFS(Scores!$B$5:$B$44,2,Scores!$C$5:$C$44,"Paper condition",Scores!E$5:E$44,Scores!E39),"")</f>
        <v/>
      </c>
      <c r="E39" s="1" t="n">
        <f aca="false">IF(AND(Scores!$B39=2,OR(Scores!$C39="Tool condition",Scores!$C39="Paper condition"),ISNUMBER(Scores!E39)),(COUNTIFS(Scores!$B$5:$B$44,2,Scores!$C$5:$C$44,"Tool condition",Scores!E$5:E$44,Scores!E39)+COUNTIFS(Scores!$B$5:$B$44,2,Scores!$C$5:$C$44,"Paper condition",Scores!E$5:E$44,Scores!E39))^2-1,"")</f>
        <v>63</v>
      </c>
      <c r="F39" s="1" t="n">
        <f aca="false">IF(ISNUMBER(Scores!E39),Scores!E39^2,"")</f>
        <v>1</v>
      </c>
      <c r="G39" s="1" t="str">
        <f aca="false">IF(AND(Scores!$B39=1,Scores!$C39="Tool condition",ISNUMBER(Scores!F39)),COUNTIFS(Scores!$B$5:$B$44,1,Scores!$C$5:$C$44,"Paper condition",Scores!F$5:F$44,"&lt;"&amp;Scores!F39)+0.5*COUNTIFS(Scores!$B$5:$B$44,1,Scores!$C$5:$C$44,"Paper condition",Scores!F$5:F$44,Scores!F39),"")</f>
        <v/>
      </c>
      <c r="H39" s="1" t="str">
        <f aca="false">IF(AND(Scores!$B39=1,OR(Scores!$C39="Tool condition",Scores!$C39="Paper condition"),ISNUMBER(Scores!F39)),(COUNTIFS(Scores!$B$5:$B$44,1,Scores!$C$5:$C$44,"Tool condition",Scores!F$5:F$44,Scores!F39)+COUNTIFS(Scores!$B$5:$B$44,1,Scores!$C$5:$C$44,"Paper condition",Scores!F$5:F$44,Scores!F39))^2-1,"")</f>
        <v/>
      </c>
      <c r="I39" s="1" t="str">
        <f aca="false">IF(AND(Scores!$B39=2,Scores!$C39="Tool condition",ISNUMBER(Scores!F39)),COUNTIFS(Scores!$B$5:$B$44,2,Scores!$C$5:$C$44,"Paper condition",Scores!F$5:F$44,"&lt;"&amp;Scores!F39)+0.5*COUNTIFS(Scores!$B$5:$B$44,2,Scores!$C$5:$C$44,"Paper condition",Scores!F$5:F$44,Scores!F39),"")</f>
        <v/>
      </c>
      <c r="J39" s="1" t="n">
        <f aca="false">IF(AND(Scores!$B39=2,OR(Scores!$C39="Tool condition",Scores!$C39="Paper condition"),ISNUMBER(Scores!F39)),(COUNTIFS(Scores!$B$5:$B$44,2,Scores!$C$5:$C$44,"Tool condition",Scores!F$5:F$44,Scores!F39)+COUNTIFS(Scores!$B$5:$B$44,2,Scores!$C$5:$C$44,"Paper condition",Scores!F$5:F$44,Scores!F39))^2-1,"")</f>
        <v>0</v>
      </c>
      <c r="K39" s="1" t="n">
        <f aca="false">IF(ISNUMBER(Scores!F39),Scores!F39^2,"")</f>
        <v>0</v>
      </c>
      <c r="L39" s="1" t="str">
        <f aca="false">IF(AND(Scores!$B39=1,Scores!$C39="Tool condition",ISNUMBER(Scores!G39)),COUNTIFS(Scores!$B$5:$B$44,1,Scores!$C$5:$C$44,"Paper condition",Scores!G$5:G$44,"&lt;"&amp;Scores!G39)+0.5*COUNTIFS(Scores!$B$5:$B$44,1,Scores!$C$5:$C$44,"Paper condition",Scores!G$5:G$44,Scores!G39),"")</f>
        <v/>
      </c>
      <c r="M39" s="1" t="str">
        <f aca="false">IF(AND(Scores!$B39=1,OR(Scores!$C39="Tool condition",Scores!$C39="Paper condition"),ISNUMBER(Scores!G39)),(COUNTIFS(Scores!$B$5:$B$44,1,Scores!$C$5:$C$44,"Tool condition",Scores!G$5:G$44,Scores!G39)+COUNTIFS(Scores!$B$5:$B$44,1,Scores!$C$5:$C$44,"Paper condition",Scores!G$5:G$44,Scores!G39))^2-1,"")</f>
        <v/>
      </c>
      <c r="N39" s="1" t="str">
        <f aca="false">IF(AND(Scores!$B39=2,Scores!$C39="Tool condition",ISNUMBER(Scores!G39)),COUNTIFS(Scores!$B$5:$B$44,2,Scores!$C$5:$C$44,"Paper condition",Scores!G$5:G$44,"&lt;"&amp;Scores!G39)+0.5*COUNTIFS(Scores!$B$5:$B$44,2,Scores!$C$5:$C$44,"Paper condition",Scores!G$5:G$44,Scores!G39),"")</f>
        <v/>
      </c>
      <c r="O39" s="1" t="n">
        <f aca="false">IF(AND(Scores!$B39=2,OR(Scores!$C39="Tool condition",Scores!$C39="Paper condition"),ISNUMBER(Scores!G39)),(COUNTIFS(Scores!$B$5:$B$44,2,Scores!$C$5:$C$44,"Tool condition",Scores!G$5:G$44,Scores!G39)+COUNTIFS(Scores!$B$5:$B$44,2,Scores!$C$5:$C$44,"Paper condition",Scores!G$5:G$44,Scores!G39))^2-1,"")</f>
        <v>195</v>
      </c>
      <c r="P39" s="1" t="n">
        <f aca="false">IF(ISNUMBER(Scores!G39),Scores!G39^2,"")</f>
        <v>4</v>
      </c>
      <c r="Q39" s="1" t="str">
        <f aca="false">IF(AND(Scores!$B39=1,Scores!$C39="Tool condition",ISNUMBER(Scores!H39)),COUNTIFS(Scores!$B$5:$B$44,1,Scores!$C$5:$C$44,"Paper condition",Scores!H$5:H$44,"&lt;"&amp;Scores!H39)+0.5*COUNTIFS(Scores!$B$5:$B$44,1,Scores!$C$5:$C$44,"Paper condition",Scores!H$5:H$44,Scores!H39),"")</f>
        <v/>
      </c>
      <c r="R39" s="1" t="str">
        <f aca="false">IF(AND(Scores!$B39=1,OR(Scores!$C39="Tool condition",Scores!$C39="Paper condition"),ISNUMBER(Scores!H39)),(COUNTIFS(Scores!$B$5:$B$44,1,Scores!$C$5:$C$44,"Tool condition",Scores!H$5:H$44,Scores!H39)+COUNTIFS(Scores!$B$5:$B$44,1,Scores!$C$5:$C$44,"Paper condition",Scores!H$5:H$44,Scores!H39))^2-1,"")</f>
        <v/>
      </c>
      <c r="S39" s="1" t="str">
        <f aca="false">IF(AND(Scores!$B39=2,Scores!$C39="Tool condition",ISNUMBER(Scores!H39)),COUNTIFS(Scores!$B$5:$B$44,2,Scores!$C$5:$C$44,"Paper condition",Scores!H$5:H$44,"&lt;"&amp;Scores!H39)+0.5*COUNTIFS(Scores!$B$5:$B$44,2,Scores!$C$5:$C$44,"Paper condition",Scores!H$5:H$44,Scores!H39),"")</f>
        <v/>
      </c>
      <c r="T39" s="1" t="n">
        <f aca="false">IF(AND(Scores!$B39=2,OR(Scores!$C39="Tool condition",Scores!$C39="Paper condition"),ISNUMBER(Scores!H39)),(COUNTIFS(Scores!$B$5:$B$44,2,Scores!$C$5:$C$44,"Tool condition",Scores!H$5:H$44,Scores!H39)+COUNTIFS(Scores!$B$5:$B$44,2,Scores!$C$5:$C$44,"Paper condition",Scores!H$5:H$44,Scores!H39))^2-1,"")</f>
        <v>99</v>
      </c>
      <c r="U39" s="1" t="n">
        <f aca="false">IF(ISNUMBER(Scores!H39),Scores!H39^2,"")</f>
        <v>1</v>
      </c>
      <c r="V39" s="1" t="str">
        <f aca="false">IF(AND(Scores!$B39=1,Scores!$C39="Tool condition",ISNUMBER(Scores!I39)),COUNTIFS(Scores!$B$5:$B$44,1,Scores!$C$5:$C$44,"Paper condition",Scores!I$5:I$44,"&lt;"&amp;Scores!I39)+0.5*COUNTIFS(Scores!$B$5:$B$44,1,Scores!$C$5:$C$44,"Paper condition",Scores!I$5:I$44,Scores!I39),"")</f>
        <v/>
      </c>
      <c r="W39" s="1" t="str">
        <f aca="false">IF(AND(Scores!$B39=1,OR(Scores!$C39="Tool condition",Scores!$C39="Paper condition"),ISNUMBER(Scores!I39)),(COUNTIFS(Scores!$B$5:$B$44,1,Scores!$C$5:$C$44,"Tool condition",Scores!I$5:I$44,Scores!I39)+COUNTIFS(Scores!$B$5:$B$44,1,Scores!$C$5:$C$44,"Paper condition",Scores!I$5:I$44,Scores!I39))^2-1,"")</f>
        <v/>
      </c>
      <c r="X39" s="1" t="str">
        <f aca="false">IF(AND(Scores!$B39=2,Scores!$C39="Tool condition",ISNUMBER(Scores!I39)),COUNTIFS(Scores!$B$5:$B$44,2,Scores!$C$5:$C$44,"Paper condition",Scores!I$5:I$44,"&lt;"&amp;Scores!I39)+0.5*COUNTIFS(Scores!$B$5:$B$44,2,Scores!$C$5:$C$44,"Paper condition",Scores!I$5:I$44,Scores!I39),"")</f>
        <v/>
      </c>
      <c r="Y39" s="1" t="n">
        <f aca="false">IF(AND(Scores!$B39=2,OR(Scores!$C39="Tool condition",Scores!$C39="Paper condition"),ISNUMBER(Scores!I39)),(COUNTIFS(Scores!$B$5:$B$44,2,Scores!$C$5:$C$44,"Tool condition",Scores!I$5:I$44,Scores!I39)+COUNTIFS(Scores!$B$5:$B$44,2,Scores!$C$5:$C$44,"Paper condition",Scores!I$5:I$44,Scores!I39))^2-1,"")</f>
        <v>80</v>
      </c>
      <c r="Z39" s="1" t="n">
        <f aca="false">IF(ISNUMBER(Scores!I39),Scores!I39^2,"")</f>
        <v>1</v>
      </c>
      <c r="AA39" s="1" t="str">
        <f aca="false">IF(AND(Scores!$B39=1,Scores!$C39="Tool condition",ISNUMBER(Scores!J39)),COUNTIFS(Scores!$B$5:$B$44,1,Scores!$C$5:$C$44,"Paper condition",Scores!J$5:J$44,"&lt;"&amp;Scores!J39)+0.5*COUNTIFS(Scores!$B$5:$B$44,1,Scores!$C$5:$C$44,"Paper condition",Scores!J$5:J$44,Scores!J39),"")</f>
        <v/>
      </c>
      <c r="AB39" s="1" t="str">
        <f aca="false">IF(AND(Scores!$B39=1,OR(Scores!$C39="Tool condition",Scores!$C39="Paper condition"),ISNUMBER(Scores!J39)),(COUNTIFS(Scores!$B$5:$B$44,1,Scores!$C$5:$C$44,"Tool condition",Scores!J$5:J$44,Scores!J39)+COUNTIFS(Scores!$B$5:$B$44,1,Scores!$C$5:$C$44,"Paper condition",Scores!J$5:J$44,Scores!J39))^2-1,"")</f>
        <v/>
      </c>
      <c r="AC39" s="1" t="str">
        <f aca="false">IF(AND(Scores!$B39=2,Scores!$C39="Tool condition",ISNUMBER(Scores!J39)),COUNTIFS(Scores!$B$5:$B$44,2,Scores!$C$5:$C$44,"Paper condition",Scores!J$5:J$44,"&lt;"&amp;Scores!J39)+0.5*COUNTIFS(Scores!$B$5:$B$44,2,Scores!$C$5:$C$44,"Paper condition",Scores!J$5:J$44,Scores!J39),"")</f>
        <v/>
      </c>
      <c r="AD39" s="1" t="n">
        <f aca="false">IF(AND(Scores!$B39=2,OR(Scores!$C39="Tool condition",Scores!$C39="Paper condition"),ISNUMBER(Scores!J39)),(COUNTIFS(Scores!$B$5:$B$44,2,Scores!$C$5:$C$44,"Tool condition",Scores!J$5:J$44,Scores!J39)+COUNTIFS(Scores!$B$5:$B$44,2,Scores!$C$5:$C$44,"Paper condition",Scores!J$5:J$44,Scores!J39))^2-1,"")</f>
        <v>120</v>
      </c>
      <c r="AE39" s="1" t="n">
        <f aca="false">IF(ISNUMBER(Scores!J39),Scores!J39^2,"")</f>
        <v>4</v>
      </c>
      <c r="AF39" s="1" t="str">
        <f aca="false">IF(AND(Scores!$B39=1,Scores!$C39="Tool condition",ISNUMBER(Scores!K39)),COUNTIFS(Scores!$B$5:$B$44,1,Scores!$C$5:$C$44,"Paper condition",Scores!K$5:K$44,"&lt;"&amp;Scores!K39)+0.5*COUNTIFS(Scores!$B$5:$B$44,1,Scores!$C$5:$C$44,"Paper condition",Scores!K$5:K$44,Scores!K39),"")</f>
        <v/>
      </c>
      <c r="AG39" s="1" t="str">
        <f aca="false">IF(AND(Scores!$B39=1,OR(Scores!$C39="Tool condition",Scores!$C39="Paper condition"),ISNUMBER(Scores!K39)),(COUNTIFS(Scores!$B$5:$B$44,1,Scores!$C$5:$C$44,"Tool condition",Scores!K$5:K$44,Scores!K39)+COUNTIFS(Scores!$B$5:$B$44,1,Scores!$C$5:$C$44,"Paper condition",Scores!K$5:K$44,Scores!K39))^2-1,"")</f>
        <v/>
      </c>
      <c r="AH39" s="1" t="str">
        <f aca="false">IF(AND(Scores!$B39=2,Scores!$C39="Tool condition",ISNUMBER(Scores!K39)),COUNTIFS(Scores!$B$5:$B$44,2,Scores!$C$5:$C$44,"Paper condition",Scores!K$5:K$44,"&lt;"&amp;Scores!K39)+0.5*COUNTIFS(Scores!$B$5:$B$44,2,Scores!$C$5:$C$44,"Paper condition",Scores!K$5:K$44,Scores!K39),"")</f>
        <v/>
      </c>
      <c r="AI39" s="1" t="n">
        <f aca="false">IF(AND(Scores!$B39=2,OR(Scores!$C39="Tool condition",Scores!$C39="Paper condition"),ISNUMBER(Scores!K39)),(COUNTIFS(Scores!$B$5:$B$44,2,Scores!$C$5:$C$44,"Tool condition",Scores!K$5:K$44,Scores!K39)+COUNTIFS(Scores!$B$5:$B$44,2,Scores!$C$5:$C$44,"Paper condition",Scores!K$5:K$44,Scores!K39))^2-1,"")</f>
        <v>120</v>
      </c>
      <c r="AJ39" s="1" t="n">
        <f aca="false">IF(ISNUMBER(Scores!K39),Scores!K39^2,"")</f>
        <v>1</v>
      </c>
      <c r="AK39" s="1" t="str">
        <f aca="false">IF(AND(Scores!$B39=1,Scores!$C39="Tool condition",ISNUMBER(Scores!L39)),COUNTIFS(Scores!$B$5:$B$44,1,Scores!$C$5:$C$44,"Paper condition",Scores!L$5:L$44,"&lt;"&amp;Scores!L39)+0.5*COUNTIFS(Scores!$B$5:$B$44,1,Scores!$C$5:$C$44,"Paper condition",Scores!L$5:L$44,Scores!L39),"")</f>
        <v/>
      </c>
      <c r="AL39" s="1" t="str">
        <f aca="false">IF(AND(Scores!$B39=1,OR(Scores!$C39="Tool condition",Scores!$C39="Paper condition"),ISNUMBER(Scores!L39)),(COUNTIFS(Scores!$B$5:$B$44,1,Scores!$C$5:$C$44,"Tool condition",Scores!L$5:L$44,Scores!L39)+COUNTIFS(Scores!$B$5:$B$44,1,Scores!$C$5:$C$44,"Paper condition",Scores!L$5:L$44,Scores!L39))^2-1,"")</f>
        <v/>
      </c>
      <c r="AM39" s="1" t="str">
        <f aca="false">IF(AND(Scores!$B39=2,Scores!$C39="Tool condition",ISNUMBER(Scores!L39)),COUNTIFS(Scores!$B$5:$B$44,2,Scores!$C$5:$C$44,"Paper condition",Scores!L$5:L$44,"&lt;"&amp;Scores!L39)+0.5*COUNTIFS(Scores!$B$5:$B$44,2,Scores!$C$5:$C$44,"Paper condition",Scores!L$5:L$44,Scores!L39),"")</f>
        <v/>
      </c>
      <c r="AN39" s="1" t="n">
        <f aca="false">IF(AND(Scores!$B39=2,OR(Scores!$C39="Tool condition",Scores!$C39="Paper condition"),ISNUMBER(Scores!L39)),(COUNTIFS(Scores!$B$5:$B$44,2,Scores!$C$5:$C$44,"Tool condition",Scores!L$5:L$44,Scores!L39)+COUNTIFS(Scores!$B$5:$B$44,2,Scores!$C$5:$C$44,"Paper condition",Scores!L$5:L$44,Scores!L39))^2-1,"")</f>
        <v>99</v>
      </c>
      <c r="AO39" s="1" t="n">
        <f aca="false">IF(ISNUMBER(Scores!L39),Scores!L39^2,"")</f>
        <v>4</v>
      </c>
      <c r="AP39" s="1" t="str">
        <f aca="false">IF(AND(Scores!$B39=1,Scores!$C39="Tool condition",ISNUMBER(Scores!M39)),COUNTIFS(Scores!$B$5:$B$44,1,Scores!$C$5:$C$44,"Paper condition",Scores!M$5:M$44,"&lt;"&amp;Scores!M39)+0.5*COUNTIFS(Scores!$B$5:$B$44,1,Scores!$C$5:$C$44,"Paper condition",Scores!M$5:M$44,Scores!M39),"")</f>
        <v/>
      </c>
      <c r="AQ39" s="1" t="str">
        <f aca="false">IF(AND(Scores!$B39=1,OR(Scores!$C39="Tool condition",Scores!$C39="Paper condition"),ISNUMBER(Scores!M39)),(COUNTIFS(Scores!$B$5:$B$44,1,Scores!$C$5:$C$44,"Tool condition",Scores!M$5:M$44,Scores!M39)+COUNTIFS(Scores!$B$5:$B$44,1,Scores!$C$5:$C$44,"Paper condition",Scores!M$5:M$44,Scores!M39))^2-1,"")</f>
        <v/>
      </c>
      <c r="AR39" s="1" t="str">
        <f aca="false">IF(AND(Scores!$B39=2,Scores!$C39="Tool condition",ISNUMBER(Scores!M39)),COUNTIFS(Scores!$B$5:$B$44,2,Scores!$C$5:$C$44,"Paper condition",Scores!M$5:M$44,"&lt;"&amp;Scores!M39)+0.5*COUNTIFS(Scores!$B$5:$B$44,2,Scores!$C$5:$C$44,"Paper condition",Scores!M$5:M$44,Scores!M39),"")</f>
        <v/>
      </c>
      <c r="AS39" s="1" t="n">
        <f aca="false">IF(AND(Scores!$B39=2,OR(Scores!$C39="Tool condition",Scores!$C39="Paper condition"),ISNUMBER(Scores!M39)),(COUNTIFS(Scores!$B$5:$B$44,2,Scores!$C$5:$C$44,"Tool condition",Scores!M$5:M$44,Scores!M39)+COUNTIFS(Scores!$B$5:$B$44,2,Scores!$C$5:$C$44,"Paper condition",Scores!M$5:M$44,Scores!M39))^2-1,"")</f>
        <v>63</v>
      </c>
      <c r="AT39" s="1" t="n">
        <f aca="false">IF(ISNUMBER(Scores!M39),Scores!M39^2,"")</f>
        <v>4</v>
      </c>
      <c r="AU39" s="1" t="str">
        <f aca="false">IF(AND(Scores!$B39=1,Scores!$C39="Tool condition",ISNUMBER(Scores!N39)),COUNTIFS(Scores!$B$5:$B$44,1,Scores!$C$5:$C$44,"Paper condition",Scores!N$5:N$44,"&lt;"&amp;Scores!N39)+0.5*COUNTIFS(Scores!$B$5:$B$44,1,Scores!$C$5:$C$44,"Paper condition",Scores!N$5:N$44,Scores!N39),"")</f>
        <v/>
      </c>
      <c r="AV39" s="1" t="str">
        <f aca="false">IF(AND(Scores!$B39=1,OR(Scores!$C39="Tool condition",Scores!$C39="Paper condition"),ISNUMBER(Scores!N39)),(COUNTIFS(Scores!$B$5:$B$44,1,Scores!$C$5:$C$44,"Tool condition",Scores!N$5:N$44,Scores!N39)+COUNTIFS(Scores!$B$5:$B$44,1,Scores!$C$5:$C$44,"Paper condition",Scores!N$5:N$44,Scores!N39))^2-1,"")</f>
        <v/>
      </c>
      <c r="AW39" s="1" t="str">
        <f aca="false">IF(AND(Scores!$B39=2,Scores!$C39="Tool condition",ISNUMBER(Scores!N39)),COUNTIFS(Scores!$B$5:$B$44,2,Scores!$C$5:$C$44,"Paper condition",Scores!N$5:N$44,"&lt;"&amp;Scores!N39)+0.5*COUNTIFS(Scores!$B$5:$B$44,2,Scores!$C$5:$C$44,"Paper condition",Scores!N$5:N$44,Scores!N39),"")</f>
        <v/>
      </c>
      <c r="AX39" s="1" t="n">
        <f aca="false">IF(AND(Scores!$B39=2,OR(Scores!$C39="Tool condition",Scores!$C39="Paper condition"),ISNUMBER(Scores!N39)),(COUNTIFS(Scores!$B$5:$B$44,2,Scores!$C$5:$C$44,"Tool condition",Scores!N$5:N$44,Scores!N39)+COUNTIFS(Scores!$B$5:$B$44,2,Scores!$C$5:$C$44,"Paper condition",Scores!N$5:N$44,Scores!N39))^2-1,"")</f>
        <v>80</v>
      </c>
      <c r="AY39" s="1" t="n">
        <f aca="false">IF(ISNUMBER(Scores!N39),Scores!N39^2,"")</f>
        <v>1</v>
      </c>
      <c r="AZ39" s="1" t="str">
        <f aca="false">IF(AND(Scores!$B39=1,Scores!$C39="Tool condition",ISNUMBER(Scores!O39)),COUNTIFS(Scores!$B$5:$B$44,1,Scores!$C$5:$C$44,"Paper condition",Scores!O$5:O$44,"&lt;"&amp;Scores!O39)+0.5*COUNTIFS(Scores!$B$5:$B$44,1,Scores!$C$5:$C$44,"Paper condition",Scores!O$5:O$44,Scores!O39),"")</f>
        <v/>
      </c>
      <c r="BA39" s="1" t="str">
        <f aca="false">IF(AND(Scores!$B39=1,OR(Scores!$C39="Tool condition",Scores!$C39="Paper condition"),ISNUMBER(Scores!O39)),(COUNTIFS(Scores!$B$5:$B$44,1,Scores!$C$5:$C$44,"Tool condition",Scores!O$5:O$44,Scores!O39)+COUNTIFS(Scores!$B$5:$B$44,1,Scores!$C$5:$C$44,"Paper condition",Scores!O$5:O$44,Scores!O39))^2-1,"")</f>
        <v/>
      </c>
      <c r="BB39" s="1" t="str">
        <f aca="false">IF(AND(Scores!$B39=2,Scores!$C39="Tool condition",ISNUMBER(Scores!O39)),COUNTIFS(Scores!$B$5:$B$44,2,Scores!$C$5:$C$44,"Paper condition",Scores!O$5:O$44,"&lt;"&amp;Scores!O39)+0.5*COUNTIFS(Scores!$B$5:$B$44,2,Scores!$C$5:$C$44,"Paper condition",Scores!O$5:O$44,Scores!O39),"")</f>
        <v/>
      </c>
      <c r="BC39" s="1" t="n">
        <f aca="false">IF(AND(Scores!$B39=2,OR(Scores!$C39="Tool condition",Scores!$C39="Paper condition"),ISNUMBER(Scores!O39)),(COUNTIFS(Scores!$B$5:$B$44,2,Scores!$C$5:$C$44,"Tool condition",Scores!O$5:O$44,Scores!O39)+COUNTIFS(Scores!$B$5:$B$44,2,Scores!$C$5:$C$44,"Paper condition",Scores!O$5:O$44,Scores!O39))^2-1,"")</f>
        <v>24</v>
      </c>
      <c r="BD39" s="1" t="n">
        <f aca="false">IF(ISNUMBER(Scores!O39),Scores!O39^2,"")</f>
        <v>0</v>
      </c>
      <c r="BE39" s="1" t="str">
        <f aca="false">IF(AND(Scores!$B39=1,Scores!$C39="Tool condition",ISNUMBER(Scores!P39)),COUNTIFS(Scores!$B$5:$B$44,1,Scores!$C$5:$C$44,"Paper condition",Scores!P$5:P$44,"&lt;"&amp;Scores!P39)+0.5*COUNTIFS(Scores!$B$5:$B$44,1,Scores!$C$5:$C$44,"Paper condition",Scores!P$5:P$44,Scores!P39),"")</f>
        <v/>
      </c>
      <c r="BF39" s="1" t="str">
        <f aca="false">IF(AND(Scores!$B39=1,OR(Scores!$C39="Tool condition",Scores!$C39="Paper condition"),ISNUMBER(Scores!P39)),(COUNTIFS(Scores!$B$5:$B$44,1,Scores!$C$5:$C$44,"Tool condition",Scores!P$5:P$44,Scores!P39)+COUNTIFS(Scores!$B$5:$B$44,1,Scores!$C$5:$C$44,"Paper condition",Scores!P$5:P$44,Scores!P39))^2-1,"")</f>
        <v/>
      </c>
      <c r="BG39" s="1" t="str">
        <f aca="false">IF(AND(Scores!$B39=2,Scores!$C39="Tool condition",ISNUMBER(Scores!P39)),COUNTIFS(Scores!$B$5:$B$44,2,Scores!$C$5:$C$44,"Paper condition",Scores!P$5:P$44,"&lt;"&amp;Scores!P39)+0.5*COUNTIFS(Scores!$B$5:$B$44,2,Scores!$C$5:$C$44,"Paper condition",Scores!P$5:P$44,Scores!P39),"")</f>
        <v/>
      </c>
      <c r="BH39" s="1" t="n">
        <f aca="false">IF(AND(Scores!$B39=2,OR(Scores!$C39="Tool condition",Scores!$C39="Paper condition"),ISNUMBER(Scores!P39)),(COUNTIFS(Scores!$B$5:$B$44,2,Scores!$C$5:$C$44,"Tool condition",Scores!P$5:P$44,Scores!P39)+COUNTIFS(Scores!$B$5:$B$44,2,Scores!$C$5:$C$44,"Paper condition",Scores!P$5:P$44,Scores!P39))^2-1,"")</f>
        <v>143</v>
      </c>
      <c r="BI39" s="1" t="n">
        <f aca="false">IF(ISNUMBER(Scores!P39),Scores!P39^2,"")</f>
        <v>1</v>
      </c>
      <c r="BJ39" s="1" t="str">
        <f aca="false">IF(AND(R_Scores!$B39=1,R_Scores!$C39="Tool condition",ISNUMBER(R_Scores!E39)),COUNTIFS(R_Scores!$B$5:$B$44,1,R_Scores!$C$5:$C$44,"Paper condition",R_Scores!E$5:E$44,"&lt;"&amp;R_Scores!E39)+0.5*COUNTIFS(R_Scores!$B$5:$B$44,1,R_Scores!$C$5:$C$44,"Paper condition",R_Scores!E$5:E$44,R_Scores!E39),"")</f>
        <v/>
      </c>
      <c r="BK39" s="1" t="str">
        <f aca="false">IF(AND(R_Scores!$B39=1,OR(R_Scores!$C39="Tool condition",R_Scores!$C39="Paper condition"),ISNUMBER(R_Scores!E39)),(COUNTIFS(R_Scores!$B$5:$B$44,1,R_Scores!$C$5:$C$44,"Tool condition",R_Scores!E$5:E$44,R_Scores!E39)+COUNTIFS(R_Scores!$B$5:$B$44,1,R_Scores!$C$5:$C$44,"Paper condition",R_Scores!E$5:E$44,R_Scores!E39))^2-1,"")</f>
        <v/>
      </c>
      <c r="BL39" s="1" t="str">
        <f aca="false">IF(AND(R_Scores!$B39=2,R_Scores!$C39="Tool condition",ISNUMBER(R_Scores!E39)),COUNTIFS(R_Scores!$B$5:$B$44,2,R_Scores!$C$5:$C$44,"Paper condition",R_Scores!E$5:E$44,"&lt;"&amp;R_Scores!E39)+0.5*COUNTIFS(R_Scores!$B$5:$B$44,2,R_Scores!$C$5:$C$44,"Paper condition",R_Scores!E$5:E$44,R_Scores!E39),"")</f>
        <v/>
      </c>
      <c r="BM39" s="1" t="n">
        <f aca="false">IF(AND(R_Scores!$B39=2,OR(R_Scores!$C39="Tool condition",R_Scores!$C39="Paper condition"),ISNUMBER(R_Scores!E39)),(COUNTIFS(R_Scores!$B$5:$B$44,2,R_Scores!$C$5:$C$44,"Tool condition",R_Scores!E$5:E$44,R_Scores!E39)+COUNTIFS(R_Scores!$B$5:$B$44,2,R_Scores!$C$5:$C$44,"Paper condition",R_Scores!E$5:E$44,R_Scores!E39))^2-1,"")</f>
        <v>224</v>
      </c>
      <c r="BN39" s="1" t="n">
        <f aca="false">IF(ISNUMBER(R_Scores!E39),R_Scores!E39^2,"")</f>
        <v>1</v>
      </c>
      <c r="BO39" s="1" t="str">
        <f aca="false">IF(AND(R_Scores!$B39=1,R_Scores!$C39="Tool condition",ISNUMBER(R_Scores!F39)),COUNTIFS(R_Scores!$B$5:$B$44,1,R_Scores!$C$5:$C$44,"Paper condition",R_Scores!F$5:F$44,"&lt;"&amp;R_Scores!F39)+0.5*COUNTIFS(R_Scores!$B$5:$B$44,1,R_Scores!$C$5:$C$44,"Paper condition",R_Scores!F$5:F$44,R_Scores!F39),"")</f>
        <v/>
      </c>
      <c r="BP39" s="1" t="str">
        <f aca="false">IF(AND(R_Scores!$B39=1,OR(R_Scores!$C39="Tool condition",R_Scores!$C39="Paper condition"),ISNUMBER(R_Scores!F39)),(COUNTIFS(R_Scores!$B$5:$B$44,1,R_Scores!$C$5:$C$44,"Tool condition",R_Scores!F$5:F$44,R_Scores!F39)+COUNTIFS(R_Scores!$B$5:$B$44,1,R_Scores!$C$5:$C$44,"Paper condition",R_Scores!F$5:F$44,R_Scores!F39))^2-1,"")</f>
        <v/>
      </c>
      <c r="BQ39" s="1" t="str">
        <f aca="false">IF(AND(R_Scores!$B39=2,R_Scores!$C39="Tool condition",ISNUMBER(R_Scores!F39)),COUNTIFS(R_Scores!$B$5:$B$44,2,R_Scores!$C$5:$C$44,"Paper condition",R_Scores!F$5:F$44,"&lt;"&amp;R_Scores!F39)+0.5*COUNTIFS(R_Scores!$B$5:$B$44,2,R_Scores!$C$5:$C$44,"Paper condition",R_Scores!F$5:F$44,R_Scores!F39),"")</f>
        <v/>
      </c>
      <c r="BR39" s="1" t="n">
        <f aca="false">IF(AND(R_Scores!$B39=2,OR(R_Scores!$C39="Tool condition",R_Scores!$C39="Paper condition"),ISNUMBER(R_Scores!F39)),(COUNTIFS(R_Scores!$B$5:$B$44,2,R_Scores!$C$5:$C$44,"Tool condition",R_Scores!F$5:F$44,R_Scores!F39)+COUNTIFS(R_Scores!$B$5:$B$44,2,R_Scores!$C$5:$C$44,"Paper condition",R_Scores!F$5:F$44,R_Scores!F39))^2-1,"")</f>
        <v>35</v>
      </c>
      <c r="BS39" s="1" t="n">
        <f aca="false">IF(ISNUMBER(R_Scores!F39),R_Scores!F39^2,"")</f>
        <v>0</v>
      </c>
      <c r="BT39" s="1" t="str">
        <f aca="false">IF(AND(R_Scores!$B39=1,R_Scores!$C39="Tool condition",ISNUMBER(R_Scores!G39)),COUNTIFS(R_Scores!$B$5:$B$44,1,R_Scores!$C$5:$C$44,"Paper condition",R_Scores!G$5:G$44,"&lt;"&amp;R_Scores!G39)+0.5*COUNTIFS(R_Scores!$B$5:$B$44,1,R_Scores!$C$5:$C$44,"Paper condition",R_Scores!G$5:G$44,R_Scores!G39),"")</f>
        <v/>
      </c>
      <c r="BU39" s="1" t="str">
        <f aca="false">IF(AND(R_Scores!$B39=1,OR(R_Scores!$C39="Tool condition",R_Scores!$C39="Paper condition"),ISNUMBER(R_Scores!G39)),(COUNTIFS(R_Scores!$B$5:$B$44,1,R_Scores!$C$5:$C$44,"Tool condition",R_Scores!G$5:G$44,R_Scores!G39)+COUNTIFS(R_Scores!$B$5:$B$44,1,R_Scores!$C$5:$C$44,"Paper condition",R_Scores!G$5:G$44,R_Scores!G39))^2-1,"")</f>
        <v/>
      </c>
      <c r="BV39" s="1" t="str">
        <f aca="false">IF(AND(R_Scores!$B39=2,R_Scores!$C39="Tool condition",ISNUMBER(R_Scores!G39)),COUNTIFS(R_Scores!$B$5:$B$44,2,R_Scores!$C$5:$C$44,"Paper condition",R_Scores!G$5:G$44,"&lt;"&amp;R_Scores!G39)+0.5*COUNTIFS(R_Scores!$B$5:$B$44,2,R_Scores!$C$5:$C$44,"Paper condition",R_Scores!G$5:G$44,R_Scores!G39),"")</f>
        <v/>
      </c>
      <c r="BW39" s="1" t="str">
        <f aca="false">IF(AND(R_Scores!$B39=2,OR(R_Scores!$C39="Tool condition",R_Scores!$C39="Paper condition"),ISNUMBER(R_Scores!G39)),(COUNTIFS(R_Scores!$B$5:$B$44,2,R_Scores!$C$5:$C$44,"Tool condition",R_Scores!G$5:G$44,R_Scores!G39)+COUNTIFS(R_Scores!$B$5:$B$44,2,R_Scores!$C$5:$C$44,"Paper condition",R_Scores!G$5:G$44,R_Scores!G39))^2-1,"")</f>
        <v/>
      </c>
      <c r="BX39" s="1" t="str">
        <f aca="false">IF(ISNUMBER(R_Scores!G39),R_Scores!G39^2,"")</f>
        <v/>
      </c>
      <c r="BY39" s="1" t="str">
        <f aca="false">IF(AND(R_Scores!$B39=1,R_Scores!$C39="Tool condition",ISNUMBER(R_Scores!H39)),COUNTIFS(R_Scores!$B$5:$B$44,1,R_Scores!$C$5:$C$44,"Paper condition",R_Scores!H$5:H$44,"&lt;"&amp;R_Scores!H39)+0.5*COUNTIFS(R_Scores!$B$5:$B$44,1,R_Scores!$C$5:$C$44,"Paper condition",R_Scores!H$5:H$44,R_Scores!H39),"")</f>
        <v/>
      </c>
      <c r="BZ39" s="1" t="str">
        <f aca="false">IF(AND(R_Scores!$B39=1,OR(R_Scores!$C39="Tool condition",R_Scores!$C39="Paper condition"),ISNUMBER(R_Scores!H39)),(COUNTIFS(R_Scores!$B$5:$B$44,1,R_Scores!$C$5:$C$44,"Tool condition",R_Scores!H$5:H$44,R_Scores!H39)+COUNTIFS(R_Scores!$B$5:$B$44,1,R_Scores!$C$5:$C$44,"Paper condition",R_Scores!H$5:H$44,R_Scores!H39))^2-1,"")</f>
        <v/>
      </c>
      <c r="CA39" s="1" t="str">
        <f aca="false">IF(AND(R_Scores!$B39=2,R_Scores!$C39="Tool condition",ISNUMBER(R_Scores!H39)),COUNTIFS(R_Scores!$B$5:$B$44,2,R_Scores!$C$5:$C$44,"Paper condition",R_Scores!H$5:H$44,"&lt;"&amp;R_Scores!H39)+0.5*COUNTIFS(R_Scores!$B$5:$B$44,2,R_Scores!$C$5:$C$44,"Paper condition",R_Scores!H$5:H$44,R_Scores!H39),"")</f>
        <v/>
      </c>
      <c r="CB39" s="1" t="str">
        <f aca="false">IF(AND(R_Scores!$B39=2,OR(R_Scores!$C39="Tool condition",R_Scores!$C39="Paper condition"),ISNUMBER(R_Scores!H39)),(COUNTIFS(R_Scores!$B$5:$B$44,2,R_Scores!$C$5:$C$44,"Tool condition",R_Scores!H$5:H$44,R_Scores!H39)+COUNTIFS(R_Scores!$B$5:$B$44,2,R_Scores!$C$5:$C$44,"Paper condition",R_Scores!H$5:H$44,R_Scores!H39))^2-1,"")</f>
        <v/>
      </c>
      <c r="CC39" s="1" t="str">
        <f aca="false">IF(ISNUMBER(R_Scores!H39),R_Scores!H39^2,"")</f>
        <v/>
      </c>
      <c r="CD39" s="1" t="str">
        <f aca="false">IF(AND(R_Scores!$B39=1,R_Scores!$C39="Tool condition",ISNUMBER(R_Scores!I39)),COUNTIFS(R_Scores!$B$5:$B$44,1,R_Scores!$C$5:$C$44,"Paper condition",R_Scores!I$5:I$44,"&lt;"&amp;R_Scores!I39)+0.5*COUNTIFS(R_Scores!$B$5:$B$44,1,R_Scores!$C$5:$C$44,"Paper condition",R_Scores!I$5:I$44,R_Scores!I39),"")</f>
        <v/>
      </c>
      <c r="CE39" s="1" t="str">
        <f aca="false">IF(AND(R_Scores!$B39=1,OR(R_Scores!$C39="Tool condition",R_Scores!$C39="Paper condition"),ISNUMBER(R_Scores!I39)),(COUNTIFS(R_Scores!$B$5:$B$44,1,R_Scores!$C$5:$C$44,"Tool condition",R_Scores!I$5:I$44,R_Scores!I39)+COUNTIFS(R_Scores!$B$5:$B$44,1,R_Scores!$C$5:$C$44,"Paper condition",R_Scores!I$5:I$44,R_Scores!I39))^2-1,"")</f>
        <v/>
      </c>
      <c r="CF39" s="1" t="str">
        <f aca="false">IF(AND(R_Scores!$B39=2,R_Scores!$C39="Tool condition",ISNUMBER(R_Scores!I39)),COUNTIFS(R_Scores!$B$5:$B$44,2,R_Scores!$C$5:$C$44,"Paper condition",R_Scores!I$5:I$44,"&lt;"&amp;R_Scores!I39)+0.5*COUNTIFS(R_Scores!$B$5:$B$44,2,R_Scores!$C$5:$C$44,"Paper condition",R_Scores!I$5:I$44,R_Scores!I39),"")</f>
        <v/>
      </c>
      <c r="CG39" s="1" t="n">
        <f aca="false">IF(AND(R_Scores!$B39=2,OR(R_Scores!$C39="Tool condition",R_Scores!$C39="Paper condition"),ISNUMBER(R_Scores!I39)),(COUNTIFS(R_Scores!$B$5:$B$44,2,R_Scores!$C$5:$C$44,"Tool condition",R_Scores!I$5:I$44,R_Scores!I39)+COUNTIFS(R_Scores!$B$5:$B$44,2,R_Scores!$C$5:$C$44,"Paper condition",R_Scores!I$5:I$44,R_Scores!I39))^2-1,"")</f>
        <v>255</v>
      </c>
      <c r="CH39" s="1" t="n">
        <f aca="false">IF(ISNUMBER(R_Scores!I39),R_Scores!I39^2,"")</f>
        <v>1</v>
      </c>
      <c r="CI39" s="1" t="str">
        <f aca="false">IF(AND(R_Scores!$B39=1,R_Scores!$C39="Tool condition",ISNUMBER(R_Scores!J39)),COUNTIFS(R_Scores!$B$5:$B$44,1,R_Scores!$C$5:$C$44,"Paper condition",R_Scores!J$5:J$44,"&lt;"&amp;R_Scores!J39)+0.5*COUNTIFS(R_Scores!$B$5:$B$44,1,R_Scores!$C$5:$C$44,"Paper condition",R_Scores!J$5:J$44,R_Scores!J39),"")</f>
        <v/>
      </c>
      <c r="CJ39" s="1" t="str">
        <f aca="false">IF(AND(R_Scores!$B39=1,OR(R_Scores!$C39="Tool condition",R_Scores!$C39="Paper condition"),ISNUMBER(R_Scores!J39)),(COUNTIFS(R_Scores!$B$5:$B$44,1,R_Scores!$C$5:$C$44,"Tool condition",R_Scores!J$5:J$44,R_Scores!J39)+COUNTIFS(R_Scores!$B$5:$B$44,1,R_Scores!$C$5:$C$44,"Paper condition",R_Scores!J$5:J$44,R_Scores!J39))^2-1,"")</f>
        <v/>
      </c>
      <c r="CK39" s="1" t="str">
        <f aca="false">IF(AND(R_Scores!$B39=2,R_Scores!$C39="Tool condition",ISNUMBER(R_Scores!J39)),COUNTIFS(R_Scores!$B$5:$B$44,2,R_Scores!$C$5:$C$44,"Paper condition",R_Scores!J$5:J$44,"&lt;"&amp;R_Scores!J39)+0.5*COUNTIFS(R_Scores!$B$5:$B$44,2,R_Scores!$C$5:$C$44,"Paper condition",R_Scores!J$5:J$44,R_Scores!J39),"")</f>
        <v/>
      </c>
      <c r="CL39" s="1" t="n">
        <f aca="false">IF(AND(R_Scores!$B39=2,OR(R_Scores!$C39="Tool condition",R_Scores!$C39="Paper condition"),ISNUMBER(R_Scores!J39)),(COUNTIFS(R_Scores!$B$5:$B$44,2,R_Scores!$C$5:$C$44,"Tool condition",R_Scores!J$5:J$44,R_Scores!J39)+COUNTIFS(R_Scores!$B$5:$B$44,2,R_Scores!$C$5:$C$44,"Paper condition",R_Scores!J$5:J$44,R_Scores!J39))^2-1,"")</f>
        <v>35</v>
      </c>
      <c r="CM39" s="1" t="n">
        <f aca="false">IF(ISNUMBER(R_Scores!J39),R_Scores!J39^2,"")</f>
        <v>0</v>
      </c>
      <c r="CN39" s="1" t="str">
        <f aca="false">IF(AND(R_Scores!$B39=1,R_Scores!$C39="Tool condition",ISNUMBER(R_Scores!K39)),COUNTIFS(R_Scores!$B$5:$B$44,1,R_Scores!$C$5:$C$44,"Paper condition",R_Scores!K$5:K$44,"&lt;"&amp;R_Scores!K39)+0.5*COUNTIFS(R_Scores!$B$5:$B$44,1,R_Scores!$C$5:$C$44,"Paper condition",R_Scores!K$5:K$44,R_Scores!K39),"")</f>
        <v/>
      </c>
      <c r="CO39" s="1" t="str">
        <f aca="false">IF(AND(R_Scores!$B39=1,OR(R_Scores!$C39="Tool condition",R_Scores!$C39="Paper condition"),ISNUMBER(R_Scores!K39)),(COUNTIFS(R_Scores!$B$5:$B$44,1,R_Scores!$C$5:$C$44,"Tool condition",R_Scores!K$5:K$44,R_Scores!K39)+COUNTIFS(R_Scores!$B$5:$B$44,1,R_Scores!$C$5:$C$44,"Paper condition",R_Scores!K$5:K$44,R_Scores!K39))^2-1,"")</f>
        <v/>
      </c>
      <c r="CP39" s="1" t="str">
        <f aca="false">IF(AND(R_Scores!$B39=2,R_Scores!$C39="Tool condition",ISNUMBER(R_Scores!K39)),COUNTIFS(R_Scores!$B$5:$B$44,2,R_Scores!$C$5:$C$44,"Paper condition",R_Scores!K$5:K$44,"&lt;"&amp;R_Scores!K39)+0.5*COUNTIFS(R_Scores!$B$5:$B$44,2,R_Scores!$C$5:$C$44,"Paper condition",R_Scores!K$5:K$44,R_Scores!K39),"")</f>
        <v/>
      </c>
      <c r="CQ39" s="1" t="str">
        <f aca="false">IF(AND(R_Scores!$B39=2,OR(R_Scores!$C39="Tool condition",R_Scores!$C39="Paper condition"),ISNUMBER(R_Scores!K39)),(COUNTIFS(R_Scores!$B$5:$B$44,2,R_Scores!$C$5:$C$44,"Tool condition",R_Scores!K$5:K$44,R_Scores!K39)+COUNTIFS(R_Scores!$B$5:$B$44,2,R_Scores!$C$5:$C$44,"Paper condition",R_Scores!K$5:K$44,R_Scores!K39))^2-1,"")</f>
        <v/>
      </c>
      <c r="CR39" s="1" t="str">
        <f aca="false">IF(ISNUMBER(R_Scores!K39),R_Scores!K39^2,"")</f>
        <v/>
      </c>
      <c r="CS39" s="1" t="str">
        <f aca="false">IF(AND(R_Scores!$B39=1,R_Scores!$C39="Tool condition",ISNUMBER(R_Scores!L39)),COUNTIFS(R_Scores!$B$5:$B$44,1,R_Scores!$C$5:$C$44,"Paper condition",R_Scores!L$5:L$44,"&lt;"&amp;R_Scores!L39)+0.5*COUNTIFS(R_Scores!$B$5:$B$44,1,R_Scores!$C$5:$C$44,"Paper condition",R_Scores!L$5:L$44,R_Scores!L39),"")</f>
        <v/>
      </c>
      <c r="CT39" s="1" t="str">
        <f aca="false">IF(AND(R_Scores!$B39=1,OR(R_Scores!$C39="Tool condition",R_Scores!$C39="Paper condition"),ISNUMBER(R_Scores!L39)),(COUNTIFS(R_Scores!$B$5:$B$44,1,R_Scores!$C$5:$C$44,"Tool condition",R_Scores!L$5:L$44,R_Scores!L39)+COUNTIFS(R_Scores!$B$5:$B$44,1,R_Scores!$C$5:$C$44,"Paper condition",R_Scores!L$5:L$44,R_Scores!L39))^2-1,"")</f>
        <v/>
      </c>
      <c r="CU39" s="1" t="str">
        <f aca="false">IF(AND(R_Scores!$B39=2,R_Scores!$C39="Tool condition",ISNUMBER(R_Scores!L39)),COUNTIFS(R_Scores!$B$5:$B$44,2,R_Scores!$C$5:$C$44,"Paper condition",R_Scores!L$5:L$44,"&lt;"&amp;R_Scores!L39)+0.5*COUNTIFS(R_Scores!$B$5:$B$44,2,R_Scores!$C$5:$C$44,"Paper condition",R_Scores!L$5:L$44,R_Scores!L39),"")</f>
        <v/>
      </c>
      <c r="CV39" s="1" t="str">
        <f aca="false">IF(AND(R_Scores!$B39=2,OR(R_Scores!$C39="Tool condition",R_Scores!$C39="Paper condition"),ISNUMBER(R_Scores!L39)),(COUNTIFS(R_Scores!$B$5:$B$44,2,R_Scores!$C$5:$C$44,"Tool condition",R_Scores!L$5:L$44,R_Scores!L39)+COUNTIFS(R_Scores!$B$5:$B$44,2,R_Scores!$C$5:$C$44,"Paper condition",R_Scores!L$5:L$44,R_Scores!L39))^2-1,"")</f>
        <v/>
      </c>
      <c r="CW39" s="1" t="str">
        <f aca="false">IF(ISNUMBER(R_Scores!L39),R_Scores!L39^2,"")</f>
        <v/>
      </c>
      <c r="CX39" s="1" t="str">
        <f aca="false">IF(AND(R_Scores!$B39=1,R_Scores!$C39="Tool condition",ISNUMBER(R_Scores!M39)),COUNTIFS(R_Scores!$B$5:$B$44,1,R_Scores!$C$5:$C$44,"Paper condition",R_Scores!M$5:M$44,"&lt;"&amp;R_Scores!M39)+0.5*COUNTIFS(R_Scores!$B$5:$B$44,1,R_Scores!$C$5:$C$44,"Paper condition",R_Scores!M$5:M$44,R_Scores!M39),"")</f>
        <v/>
      </c>
      <c r="CY39" s="1" t="str">
        <f aca="false">IF(AND(R_Scores!$B39=1,OR(R_Scores!$C39="Tool condition",R_Scores!$C39="Paper condition"),ISNUMBER(R_Scores!M39)),(COUNTIFS(R_Scores!$B$5:$B$44,1,R_Scores!$C$5:$C$44,"Tool condition",R_Scores!M$5:M$44,R_Scores!M39)+COUNTIFS(R_Scores!$B$5:$B$44,1,R_Scores!$C$5:$C$44,"Paper condition",R_Scores!M$5:M$44,R_Scores!M39))^2-1,"")</f>
        <v/>
      </c>
      <c r="CZ39" s="1" t="str">
        <f aca="false">IF(AND(R_Scores!$B39=2,R_Scores!$C39="Tool condition",ISNUMBER(R_Scores!M39)),COUNTIFS(R_Scores!$B$5:$B$44,2,R_Scores!$C$5:$C$44,"Paper condition",R_Scores!M$5:M$44,"&lt;"&amp;R_Scores!M39)+0.5*COUNTIFS(R_Scores!$B$5:$B$44,2,R_Scores!$C$5:$C$44,"Paper condition",R_Scores!M$5:M$44,R_Scores!M39),"")</f>
        <v/>
      </c>
      <c r="DA39" s="1" t="str">
        <f aca="false">IF(AND(R_Scores!$B39=2,OR(R_Scores!$C39="Tool condition",R_Scores!$C39="Paper condition"),ISNUMBER(R_Scores!M39)),(COUNTIFS(R_Scores!$B$5:$B$44,2,R_Scores!$C$5:$C$44,"Tool condition",R_Scores!M$5:M$44,R_Scores!M39)+COUNTIFS(R_Scores!$B$5:$B$44,2,R_Scores!$C$5:$C$44,"Paper condition",R_Scores!M$5:M$44,R_Scores!M39))^2-1,"")</f>
        <v/>
      </c>
      <c r="DB39" s="1" t="str">
        <f aca="false">IF(ISNUMBER(R_Scores!M39),R_Scores!M39^2,"")</f>
        <v/>
      </c>
      <c r="DC39" s="1" t="str">
        <f aca="false">IF(AND(R_Scores!$B39=1,R_Scores!$C39="Tool condition",ISNUMBER(R_Scores!N39)),COUNTIFS(R_Scores!$B$5:$B$44,1,R_Scores!$C$5:$C$44,"Paper condition",R_Scores!N$5:N$44,"&lt;"&amp;R_Scores!N39)+0.5*COUNTIFS(R_Scores!$B$5:$B$44,1,R_Scores!$C$5:$C$44,"Paper condition",R_Scores!N$5:N$44,R_Scores!N39),"")</f>
        <v/>
      </c>
      <c r="DD39" s="1" t="str">
        <f aca="false">IF(AND(R_Scores!$B39=1,OR(R_Scores!$C39="Tool condition",R_Scores!$C39="Paper condition"),ISNUMBER(R_Scores!N39)),(COUNTIFS(R_Scores!$B$5:$B$44,1,R_Scores!$C$5:$C$44,"Tool condition",R_Scores!N$5:N$44,R_Scores!N39)+COUNTIFS(R_Scores!$B$5:$B$44,1,R_Scores!$C$5:$C$44,"Paper condition",R_Scores!N$5:N$44,R_Scores!N39))^2-1,"")</f>
        <v/>
      </c>
      <c r="DE39" s="1" t="str">
        <f aca="false">IF(AND(R_Scores!$B39=2,R_Scores!$C39="Tool condition",ISNUMBER(R_Scores!N39)),COUNTIFS(R_Scores!$B$5:$B$44,2,R_Scores!$C$5:$C$44,"Paper condition",R_Scores!N$5:N$44,"&lt;"&amp;R_Scores!N39)+0.5*COUNTIFS(R_Scores!$B$5:$B$44,2,R_Scores!$C$5:$C$44,"Paper condition",R_Scores!N$5:N$44,R_Scores!N39),"")</f>
        <v/>
      </c>
      <c r="DF39" s="1" t="n">
        <f aca="false">IF(AND(R_Scores!$B39=2,OR(R_Scores!$C39="Tool condition",R_Scores!$C39="Paper condition"),ISNUMBER(R_Scores!N39)),(COUNTIFS(R_Scores!$B$5:$B$44,2,R_Scores!$C$5:$C$44,"Tool condition",R_Scores!N$5:N$44,R_Scores!N39)+COUNTIFS(R_Scores!$B$5:$B$44,2,R_Scores!$C$5:$C$44,"Paper condition",R_Scores!N$5:N$44,R_Scores!N39))^2-1,"")</f>
        <v>63</v>
      </c>
      <c r="DG39" s="1" t="n">
        <f aca="false">IF(ISNUMBER(R_Scores!N39),R_Scores!N39^2,"")</f>
        <v>0</v>
      </c>
      <c r="DH39" s="1" t="str">
        <f aca="false">IF(AND(R_Scores!$B39=1,R_Scores!$C39="Tool condition",ISNUMBER(R_Scores!O39)),COUNTIFS(R_Scores!$B$5:$B$44,1,R_Scores!$C$5:$C$44,"Paper condition",R_Scores!O$5:O$44,"&lt;"&amp;R_Scores!O39)+0.5*COUNTIFS(R_Scores!$B$5:$B$44,1,R_Scores!$C$5:$C$44,"Paper condition",R_Scores!O$5:O$44,R_Scores!O39),"")</f>
        <v/>
      </c>
      <c r="DI39" s="1" t="str">
        <f aca="false">IF(AND(R_Scores!$B39=1,OR(R_Scores!$C39="Tool condition",R_Scores!$C39="Paper condition"),ISNUMBER(R_Scores!O39)),(COUNTIFS(R_Scores!$B$5:$B$44,1,R_Scores!$C$5:$C$44,"Tool condition",R_Scores!O$5:O$44,R_Scores!O39)+COUNTIFS(R_Scores!$B$5:$B$44,1,R_Scores!$C$5:$C$44,"Paper condition",R_Scores!O$5:O$44,R_Scores!O39))^2-1,"")</f>
        <v/>
      </c>
      <c r="DJ39" s="1" t="str">
        <f aca="false">IF(AND(R_Scores!$B39=2,R_Scores!$C39="Tool condition",ISNUMBER(R_Scores!O39)),COUNTIFS(R_Scores!$B$5:$B$44,2,R_Scores!$C$5:$C$44,"Paper condition",R_Scores!O$5:O$44,"&lt;"&amp;R_Scores!O39)+0.5*COUNTIFS(R_Scores!$B$5:$B$44,2,R_Scores!$C$5:$C$44,"Paper condition",R_Scores!O$5:O$44,R_Scores!O39),"")</f>
        <v/>
      </c>
      <c r="DK39" s="1" t="n">
        <f aca="false">IF(AND(R_Scores!$B39=2,OR(R_Scores!$C39="Tool condition",R_Scores!$C39="Paper condition"),ISNUMBER(R_Scores!O39)),(COUNTIFS(R_Scores!$B$5:$B$44,2,R_Scores!$C$5:$C$44,"Tool condition",R_Scores!O$5:O$44,R_Scores!O39)+COUNTIFS(R_Scores!$B$5:$B$44,2,R_Scores!$C$5:$C$44,"Paper condition",R_Scores!O$5:O$44,R_Scores!O39))^2-1,"")</f>
        <v>168</v>
      </c>
      <c r="DL39" s="1" t="n">
        <f aca="false">IF(ISNUMBER(R_Scores!O39),R_Scores!O39^2,"")</f>
        <v>1</v>
      </c>
      <c r="DM39" s="1" t="str">
        <f aca="false">IF(AND(R_Scores!$B39=1,R_Scores!$C39="Tool condition",ISNUMBER(R_Scores!P39)),COUNTIFS(R_Scores!$B$5:$B$44,1,R_Scores!$C$5:$C$44,"Paper condition",R_Scores!P$5:P$44,"&lt;"&amp;R_Scores!P39)+0.5*COUNTIFS(R_Scores!$B$5:$B$44,1,R_Scores!$C$5:$C$44,"Paper condition",R_Scores!P$5:P$44,R_Scores!P39),"")</f>
        <v/>
      </c>
      <c r="DN39" s="1" t="str">
        <f aca="false">IF(AND(R_Scores!$B39=1,OR(R_Scores!$C39="Tool condition",R_Scores!$C39="Paper condition"),ISNUMBER(R_Scores!P39)),(COUNTIFS(R_Scores!$B$5:$B$44,1,R_Scores!$C$5:$C$44,"Tool condition",R_Scores!P$5:P$44,R_Scores!P39)+COUNTIFS(R_Scores!$B$5:$B$44,1,R_Scores!$C$5:$C$44,"Paper condition",R_Scores!P$5:P$44,R_Scores!P39))^2-1,"")</f>
        <v/>
      </c>
      <c r="DO39" s="1" t="str">
        <f aca="false">IF(AND(R_Scores!$B39=2,R_Scores!$C39="Tool condition",ISNUMBER(R_Scores!P39)),COUNTIFS(R_Scores!$B$5:$B$44,2,R_Scores!$C$5:$C$44,"Paper condition",R_Scores!P$5:P$44,"&lt;"&amp;R_Scores!P39)+0.5*COUNTIFS(R_Scores!$B$5:$B$44,2,R_Scores!$C$5:$C$44,"Paper condition",R_Scores!P$5:P$44,R_Scores!P39),"")</f>
        <v/>
      </c>
      <c r="DP39" s="1" t="n">
        <f aca="false">IF(AND(R_Scores!$B39=2,OR(R_Scores!$C39="Tool condition",R_Scores!$C39="Paper condition"),ISNUMBER(R_Scores!P39)),(COUNTIFS(R_Scores!$B$5:$B$44,2,R_Scores!$C$5:$C$44,"Tool condition",R_Scores!P$5:P$44,R_Scores!P39)+COUNTIFS(R_Scores!$B$5:$B$44,2,R_Scores!$C$5:$C$44,"Paper condition",R_Scores!P$5:P$44,R_Scores!P39))^2-1,"")</f>
        <v>168</v>
      </c>
      <c r="DQ39" s="1" t="n">
        <f aca="false">IF(ISNUMBER(R_Scores!P39),R_Scores!P39^2,"")</f>
        <v>0</v>
      </c>
      <c r="DR39" s="1" t="str">
        <f aca="false">IF(AND(Scores!$B39=1,Scores!$C39="Tool condition",ISNUMBER(Scores!Q39)),COUNTIFS(Scores!$B$5:$B$44,1,Scores!$C$5:$C$44,"Paper condition",Scores!Q$5:Q$44,"&lt;"&amp;Scores!Q39)+0.5*COUNTIFS(Scores!$B$5:$B$44,1,Scores!$C$5:$C$44,"Paper condition",Scores!Q$5:Q$44,Scores!Q39),"")</f>
        <v/>
      </c>
      <c r="DS39" s="1" t="str">
        <f aca="false">IF(AND(Scores!$B39=1,OR(Scores!$C39="Tool condition",Scores!$C39="Paper condition"),ISNUMBER(Scores!Q39)),(COUNTIFS(Scores!$B$5:$B$44,1,Scores!$C$5:$C$44,"Tool condition",Scores!Q$5:Q$44,Scores!Q39)+COUNTIFS(Scores!$B$5:$B$44,1,Scores!$C$5:$C$44,"Paper condition",Scores!Q$5:Q$44,Scores!Q39))^2-1,"")</f>
        <v/>
      </c>
      <c r="DT39" s="1" t="str">
        <f aca="false">IF(AND(Scores!$B39=2,Scores!$C39="Tool condition",ISNUMBER(Scores!Q39)),COUNTIFS(Scores!$B$5:$B$44,2,Scores!$C$5:$C$44,"Paper condition",Scores!Q$5:Q$44,"&lt;"&amp;Scores!Q39)+0.5*COUNTIFS(Scores!$B$5:$B$44,2,Scores!$C$5:$C$44,"Paper condition",Scores!Q$5:Q$44,Scores!Q39),"")</f>
        <v/>
      </c>
      <c r="DU39" s="1" t="n">
        <f aca="false">IF(AND(Scores!$B39=2,OR(Scores!$C39="Tool condition",Scores!$C39="Paper condition"),ISNUMBER(Scores!Q39)),(COUNTIFS(Scores!$B$5:$B$44,2,Scores!$C$5:$C$44,"Tool condition",Scores!Q$5:Q$44,Scores!Q39)+COUNTIFS(Scores!$B$5:$B$44,2,Scores!$C$5:$C$44,"Paper condition",Scores!Q$5:Q$44,Scores!Q39))^2-1,"")</f>
        <v>0</v>
      </c>
      <c r="DV39" s="1" t="n">
        <f aca="false">IF(ISNUMBER(Scores!Q39),Scores!Q39^2,"")</f>
        <v>196</v>
      </c>
      <c r="DW39" s="1" t="str">
        <f aca="false">IF(AND(Scores!$B39=1,Scores!$C39="Tool condition",ISNUMBER(Scores!R39)),COUNTIFS(Scores!$B$5:$B$44,1,Scores!$C$5:$C$44,"Paper condition",Scores!R$5:R$44,"&lt;"&amp;Scores!R39)+0.5*COUNTIFS(Scores!$B$5:$B$44,1,Scores!$C$5:$C$44,"Paper condition",Scores!R$5:R$44,Scores!R39),"")</f>
        <v/>
      </c>
      <c r="DX39" s="1" t="str">
        <f aca="false">IF(AND(Scores!$B39=1,OR(Scores!$C39="Tool condition",Scores!$C39="Paper condition"),ISNUMBER(Scores!R39)),(COUNTIFS(Scores!$B$5:$B$44,1,Scores!$C$5:$C$44,"Tool condition",Scores!R$5:R$44,Scores!R39)+COUNTIFS(Scores!$B$5:$B$44,1,Scores!$C$5:$C$44,"Paper condition",Scores!R$5:R$44,Scores!R39))^2-1,"")</f>
        <v/>
      </c>
      <c r="DY39" s="1" t="str">
        <f aca="false">IF(AND(Scores!$B39=2,Scores!$C39="Tool condition",ISNUMBER(Scores!R39)),COUNTIFS(Scores!$B$5:$B$44,2,Scores!$C$5:$C$44,"Paper condition",Scores!R$5:R$44,"&lt;"&amp;Scores!R39)+0.5*COUNTIFS(Scores!$B$5:$B$44,2,Scores!$C$5:$C$44,"Paper condition",Scores!R$5:R$44,Scores!R39),"")</f>
        <v/>
      </c>
      <c r="DZ39" s="1" t="n">
        <f aca="false">IF(AND(Scores!$B39=2,OR(Scores!$C39="Tool condition",Scores!$C39="Paper condition"),ISNUMBER(Scores!R39)),(COUNTIFS(Scores!$B$5:$B$44,2,Scores!$C$5:$C$44,"Tool condition",Scores!R$5:R$44,Scores!R39)+COUNTIFS(Scores!$B$5:$B$44,2,Scores!$C$5:$C$44,"Paper condition",Scores!R$5:R$44,Scores!R39))^2-1,"")</f>
        <v>3</v>
      </c>
      <c r="EA39" s="1" t="n">
        <f aca="false">IF(ISNUMBER(Scores!R39),Scores!R39^2,"")</f>
        <v>36</v>
      </c>
      <c r="EB39" s="1" t="str">
        <f aca="false">IF(AND(Scores!$B39=1,Scores!$C39="Tool condition",ISNUMBER(Scores!S39)),COUNTIFS(Scores!$B$5:$B$44,1,Scores!$C$5:$C$44,"Paper condition",Scores!S$5:S$44,"&lt;"&amp;Scores!S39)+0.5*COUNTIFS(Scores!$B$5:$B$44,1,Scores!$C$5:$C$44,"Paper condition",Scores!S$5:S$44,Scores!S39),"")</f>
        <v/>
      </c>
      <c r="EC39" s="1" t="str">
        <f aca="false">IF(AND(Scores!$B39=1,OR(Scores!$C39="Tool condition",Scores!$C39="Paper condition"),ISNUMBER(Scores!S39)),(COUNTIFS(Scores!$B$5:$B$44,1,Scores!$C$5:$C$44,"Tool condition",Scores!S$5:S$44,Scores!S39)+COUNTIFS(Scores!$B$5:$B$44,1,Scores!$C$5:$C$44,"Paper condition",Scores!S$5:S$44,Scores!S39))^2-1,"")</f>
        <v/>
      </c>
      <c r="ED39" s="1" t="str">
        <f aca="false">IF(AND(Scores!$B39=2,Scores!$C39="Tool condition",ISNUMBER(Scores!S39)),COUNTIFS(Scores!$B$5:$B$44,2,Scores!$C$5:$C$44,"Paper condition",Scores!S$5:S$44,"&lt;"&amp;Scores!S39)+0.5*COUNTIFS(Scores!$B$5:$B$44,2,Scores!$C$5:$C$44,"Paper condition",Scores!S$5:S$44,Scores!S39),"")</f>
        <v/>
      </c>
      <c r="EE39" s="1" t="n">
        <f aca="false">IF(AND(Scores!$B39=2,OR(Scores!$C39="Tool condition",Scores!$C39="Paper condition"),ISNUMBER(Scores!S39)),(COUNTIFS(Scores!$B$5:$B$44,2,Scores!$C$5:$C$44,"Tool condition",Scores!S$5:S$44,Scores!S39)+COUNTIFS(Scores!$B$5:$B$44,2,Scores!$C$5:$C$44,"Paper condition",Scores!S$5:S$44,Scores!S39))^2-1,"")</f>
        <v>63</v>
      </c>
      <c r="EF39" s="1" t="n">
        <f aca="false">IF(ISNUMBER(Scores!S39),Scores!S39^2,"")</f>
        <v>64</v>
      </c>
      <c r="EG39" s="1" t="str">
        <f aca="false">IF(AND(Scores!$B39=1,Scores!$C39="Tool condition",ISNUMBER(Scores!T39)),COUNTIFS(Scores!$B$5:$B$44,1,Scores!$C$5:$C$44,"Paper condition",Scores!T$5:T$44,"&lt;"&amp;Scores!T39)+0.5*COUNTIFS(Scores!$B$5:$B$44,1,Scores!$C$5:$C$44,"Paper condition",Scores!T$5:T$44,Scores!T39),"")</f>
        <v/>
      </c>
      <c r="EH39" s="1" t="str">
        <f aca="false">IF(AND(Scores!$B39=1,OR(Scores!$C39="Tool condition",Scores!$C39="Paper condition"),ISNUMBER(Scores!T39)),(COUNTIFS(Scores!$B$5:$B$44,1,Scores!$C$5:$C$44,"Tool condition",Scores!T$5:T$44,Scores!T39)+COUNTIFS(Scores!$B$5:$B$44,1,Scores!$C$5:$C$44,"Paper condition",Scores!T$5:T$44,Scores!T39))^2-1,"")</f>
        <v/>
      </c>
      <c r="EI39" s="1" t="str">
        <f aca="false">IF(AND(Scores!$B39=2,Scores!$C39="Tool condition",ISNUMBER(Scores!T39)),COUNTIFS(Scores!$B$5:$B$44,2,Scores!$C$5:$C$44,"Paper condition",Scores!T$5:T$44,"&lt;"&amp;Scores!T39)+0.5*COUNTIFS(Scores!$B$5:$B$44,2,Scores!$C$5:$C$44,"Paper condition",Scores!T$5:T$44,Scores!T39),"")</f>
        <v/>
      </c>
      <c r="EJ39" s="1" t="n">
        <f aca="false">IF(AND(Scores!$B39=2,OR(Scores!$C39="Tool condition",Scores!$C39="Paper condition"),ISNUMBER(Scores!T39)),(COUNTIFS(Scores!$B$5:$B$44,2,Scores!$C$5:$C$44,"Tool condition",Scores!T$5:T$44,Scores!T39)+COUNTIFS(Scores!$B$5:$B$44,2,Scores!$C$5:$C$44,"Paper condition",Scores!T$5:T$44,Scores!T39))^2-1,"")</f>
        <v>8</v>
      </c>
      <c r="EK39" s="1" t="n">
        <f aca="false">IF(ISNUMBER(Scores!T39),Scores!T39^2,"")</f>
        <v>25</v>
      </c>
      <c r="EL39" s="1" t="str">
        <f aca="false">IF(AND(Scores!$B39=1,Scores!$C39="Tool condition",ISNUMBER(Scores!U39)),COUNTIFS(Scores!$B$5:$B$44,1,Scores!$C$5:$C$44,"Paper condition",Scores!U$5:U$44,"&lt;"&amp;Scores!U39)+0.5*COUNTIFS(Scores!$B$5:$B$44,1,Scores!$C$5:$C$44,"Paper condition",Scores!U$5:U$44,Scores!U39),"")</f>
        <v/>
      </c>
      <c r="EM39" s="1" t="str">
        <f aca="false">IF(AND(Scores!$B39=1,OR(Scores!$C39="Tool condition",Scores!$C39="Paper condition"),ISNUMBER(Scores!U39)),(COUNTIFS(Scores!$B$5:$B$44,1,Scores!$C$5:$C$44,"Tool condition",Scores!U$5:U$44,Scores!U39)+COUNTIFS(Scores!$B$5:$B$44,1,Scores!$C$5:$C$44,"Paper condition",Scores!U$5:U$44,Scores!U39))^2-1,"")</f>
        <v/>
      </c>
      <c r="EN39" s="1" t="str">
        <f aca="false">IF(AND(Scores!$B39=2,Scores!$C39="Tool condition",ISNUMBER(Scores!U39)),COUNTIFS(Scores!$B$5:$B$44,2,Scores!$C$5:$C$44,"Paper condition",Scores!U$5:U$44,"&lt;"&amp;Scores!U39)+0.5*COUNTIFS(Scores!$B$5:$B$44,2,Scores!$C$5:$C$44,"Paper condition",Scores!U$5:U$44,Scores!U39),"")</f>
        <v/>
      </c>
      <c r="EO39" s="1" t="n">
        <f aca="false">IF(AND(Scores!$B39=2,OR(Scores!$C39="Tool condition",Scores!$C39="Paper condition"),ISNUMBER(Scores!U39)),(COUNTIFS(Scores!$B$5:$B$44,2,Scores!$C$5:$C$44,"Tool condition",Scores!U$5:U$44,Scores!U39)+COUNTIFS(Scores!$B$5:$B$44,2,Scores!$C$5:$C$44,"Paper condition",Scores!U$5:U$44,Scores!U39))^2-1,"")</f>
        <v>35</v>
      </c>
      <c r="EP39" s="1" t="n">
        <f aca="false">IF(ISNUMBER(Scores!U39),Scores!U39^2,"")</f>
        <v>9</v>
      </c>
      <c r="EQ39" s="1" t="str">
        <f aca="false">IF(AND(Scores!$B39=1,Scores!$C39="Tool condition",ISNUMBER(Scores!V39)),COUNTIFS(Scores!$B$5:$B$44,1,Scores!$C$5:$C$44,"Paper condition",Scores!V$5:V$44,"&lt;"&amp;Scores!V39)+0.5*COUNTIFS(Scores!$B$5:$B$44,1,Scores!$C$5:$C$44,"Paper condition",Scores!V$5:V$44,Scores!V39),"")</f>
        <v/>
      </c>
      <c r="ER39" s="1" t="str">
        <f aca="false">IF(AND(Scores!$B39=1,OR(Scores!$C39="Tool condition",Scores!$C39="Paper condition"),ISNUMBER(Scores!V39)),(COUNTIFS(Scores!$B$5:$B$44,1,Scores!$C$5:$C$44,"Tool condition",Scores!V$5:V$44,Scores!V39)+COUNTIFS(Scores!$B$5:$B$44,1,Scores!$C$5:$C$44,"Paper condition",Scores!V$5:V$44,Scores!V39))^2-1,"")</f>
        <v/>
      </c>
      <c r="ES39" s="1" t="str">
        <f aca="false">IF(AND(Scores!$B39=2,Scores!$C39="Tool condition",ISNUMBER(Scores!V39)),COUNTIFS(Scores!$B$5:$B$44,2,Scores!$C$5:$C$44,"Paper condition",Scores!V$5:V$44,"&lt;"&amp;Scores!V39)+0.5*COUNTIFS(Scores!$B$5:$B$44,2,Scores!$C$5:$C$44,"Paper condition",Scores!V$5:V$44,Scores!V39),"")</f>
        <v/>
      </c>
      <c r="ET39" s="1" t="n">
        <f aca="false">IF(AND(Scores!$B39=2,OR(Scores!$C39="Tool condition",Scores!$C39="Paper condition"),ISNUMBER(Scores!V39)),(COUNTIFS(Scores!$B$5:$B$44,2,Scores!$C$5:$C$44,"Tool condition",Scores!V$5:V$44,Scores!V39)+COUNTIFS(Scores!$B$5:$B$44,2,Scores!$C$5:$C$44,"Paper condition",Scores!V$5:V$44,Scores!V39))^2-1,"")</f>
        <v>15</v>
      </c>
      <c r="EU39" s="1" t="n">
        <f aca="false">IF(ISNUMBER(Scores!V39),Scores!V39^2,"")</f>
        <v>36</v>
      </c>
      <c r="EV39" s="1" t="str">
        <f aca="false">IF(AND(R_Scores!$B39=1,R_Scores!$C39="Tool condition",ISNUMBER(R_Scores!Q39)),COUNTIFS(R_Scores!$B$5:$B$44,1,R_Scores!$C$5:$C$44,"Paper condition",R_Scores!Q$5:Q$44,"&lt;"&amp;R_Scores!Q39)+0.5*COUNTIFS(R_Scores!$B$5:$B$44,1,R_Scores!$C$5:$C$44,"Paper condition",R_Scores!Q$5:Q$44,R_Scores!Q39),"")</f>
        <v/>
      </c>
      <c r="EW39" s="1" t="str">
        <f aca="false">IF(AND(R_Scores!$B39=1,OR(R_Scores!$C39="Tool condition",R_Scores!$C39="Paper condition"),ISNUMBER(R_Scores!Q39)),(COUNTIFS(R_Scores!$B$5:$B$44,1,R_Scores!$C$5:$C$44,"Tool condition",R_Scores!Q$5:Q$44,R_Scores!Q39)+COUNTIFS(R_Scores!$B$5:$B$44,1,R_Scores!$C$5:$C$44,"Paper condition",R_Scores!Q$5:Q$44,R_Scores!Q39))^2-1,"")</f>
        <v/>
      </c>
      <c r="EX39" s="1" t="str">
        <f aca="false">IF(AND(R_Scores!$B39=2,R_Scores!$C39="Tool condition",ISNUMBER(R_Scores!Q39)),COUNTIFS(R_Scores!$B$5:$B$44,2,R_Scores!$C$5:$C$44,"Paper condition",R_Scores!Q$5:Q$44,"&lt;"&amp;R_Scores!Q39)+0.5*COUNTIFS(R_Scores!$B$5:$B$44,2,R_Scores!$C$5:$C$44,"Paper condition",R_Scores!Q$5:Q$44,R_Scores!Q39),"")</f>
        <v/>
      </c>
      <c r="EY39" s="1" t="n">
        <f aca="false">IF(AND(R_Scores!$B39=2,OR(R_Scores!$C39="Tool condition",R_Scores!$C39="Paper condition"),ISNUMBER(R_Scores!Q39)),(COUNTIFS(R_Scores!$B$5:$B$44,2,R_Scores!$C$5:$C$44,"Tool condition",R_Scores!Q$5:Q$44,R_Scores!Q39)+COUNTIFS(R_Scores!$B$5:$B$44,2,R_Scores!$C$5:$C$44,"Paper condition",R_Scores!Q$5:Q$44,R_Scores!Q39))^2-1,"")</f>
        <v>15</v>
      </c>
      <c r="EZ39" s="1" t="n">
        <f aca="false">IF(ISNUMBER(R_Scores!Q39),R_Scores!Q39^2,"")</f>
        <v>9</v>
      </c>
      <c r="FA39" s="1" t="str">
        <f aca="false">IF(AND(R_Scores!$B39=1,R_Scores!$C39="Tool condition",ISNUMBER(R_Scores!R39)),COUNTIFS(R_Scores!$B$5:$B$44,1,R_Scores!$C$5:$C$44,"Paper condition",R_Scores!R$5:R$44,"&lt;"&amp;R_Scores!R39)+0.5*COUNTIFS(R_Scores!$B$5:$B$44,1,R_Scores!$C$5:$C$44,"Paper condition",R_Scores!R$5:R$44,R_Scores!R39),"")</f>
        <v/>
      </c>
      <c r="FB39" s="1" t="str">
        <f aca="false">IF(AND(R_Scores!$B39=1,OR(R_Scores!$C39="Tool condition",R_Scores!$C39="Paper condition"),ISNUMBER(R_Scores!R39)),(COUNTIFS(R_Scores!$B$5:$B$44,1,R_Scores!$C$5:$C$44,"Tool condition",R_Scores!R$5:R$44,R_Scores!R39)+COUNTIFS(R_Scores!$B$5:$B$44,1,R_Scores!$C$5:$C$44,"Paper condition",R_Scores!R$5:R$44,R_Scores!R39))^2-1,"")</f>
        <v/>
      </c>
      <c r="FC39" s="1" t="str">
        <f aca="false">IF(AND(R_Scores!$B39=2,R_Scores!$C39="Tool condition",ISNUMBER(R_Scores!R39)),COUNTIFS(R_Scores!$B$5:$B$44,2,R_Scores!$C$5:$C$44,"Paper condition",R_Scores!R$5:R$44,"&lt;"&amp;R_Scores!R39)+0.5*COUNTIFS(R_Scores!$B$5:$B$44,2,R_Scores!$C$5:$C$44,"Paper condition",R_Scores!R$5:R$44,R_Scores!R39),"")</f>
        <v/>
      </c>
      <c r="FD39" s="1" t="n">
        <f aca="false">IF(AND(R_Scores!$B39=2,OR(R_Scores!$C39="Tool condition",R_Scores!$C39="Paper condition"),ISNUMBER(R_Scores!R39)),(COUNTIFS(R_Scores!$B$5:$B$44,2,R_Scores!$C$5:$C$44,"Tool condition",R_Scores!R$5:R$44,R_Scores!R39)+COUNTIFS(R_Scores!$B$5:$B$44,2,R_Scores!$C$5:$C$44,"Paper condition",R_Scores!R$5:R$44,R_Scores!R39))^2-1,"")</f>
        <v>0</v>
      </c>
      <c r="FE39" s="1" t="n">
        <f aca="false">IF(ISNUMBER(R_Scores!R39),R_Scores!R39^2,"")</f>
        <v>289</v>
      </c>
    </row>
    <row r="40" customFormat="false" ht="14.25" hidden="false" customHeight="true" outlineLevel="0" collapsed="false">
      <c r="B40" s="1" t="str">
        <f aca="false">IF(AND(Scores!$B40=1,Scores!$C40="Tool condition",ISNUMBER(Scores!E40)),COUNTIFS(Scores!$B$5:$B$44,1,Scores!$C$5:$C$44,"Paper condition",Scores!E$5:E$44,"&lt;"&amp;Scores!E40)+0.5*COUNTIFS(Scores!$B$5:$B$44,1,Scores!$C$5:$C$44,"Paper condition",Scores!E$5:E$44,Scores!E40),"")</f>
        <v/>
      </c>
      <c r="C40" s="1" t="str">
        <f aca="false">IF(AND(Scores!$B40=1,OR(Scores!$C40="Tool condition",Scores!$C40="Paper condition"),ISNUMBER(Scores!E40)),(COUNTIFS(Scores!$B$5:$B$44,1,Scores!$C$5:$C$44,"Tool condition",Scores!E$5:E$44,Scores!E40)+COUNTIFS(Scores!$B$5:$B$44,1,Scores!$C$5:$C$44,"Paper condition",Scores!E$5:E$44,Scores!E40))^2-1,"")</f>
        <v/>
      </c>
      <c r="D40" s="1" t="str">
        <f aca="false">IF(AND(Scores!$B40=2,Scores!$C40="Tool condition",ISNUMBER(Scores!E40)),COUNTIFS(Scores!$B$5:$B$44,2,Scores!$C$5:$C$44,"Paper condition",Scores!E$5:E$44,"&lt;"&amp;Scores!E40)+0.5*COUNTIFS(Scores!$B$5:$B$44,2,Scores!$C$5:$C$44,"Paper condition",Scores!E$5:E$44,Scores!E40),"")</f>
        <v/>
      </c>
      <c r="E40" s="1" t="n">
        <f aca="false">IF(AND(Scores!$B40=2,OR(Scores!$C40="Tool condition",Scores!$C40="Paper condition"),ISNUMBER(Scores!E40)),(COUNTIFS(Scores!$B$5:$B$44,2,Scores!$C$5:$C$44,"Tool condition",Scores!E$5:E$44,Scores!E40)+COUNTIFS(Scores!$B$5:$B$44,2,Scores!$C$5:$C$44,"Paper condition",Scores!E$5:E$44,Scores!E40))^2-1,"")</f>
        <v>143</v>
      </c>
      <c r="F40" s="1" t="n">
        <f aca="false">IF(ISNUMBER(Scores!E40),Scores!E40^2,"")</f>
        <v>4</v>
      </c>
      <c r="G40" s="1" t="str">
        <f aca="false">IF(AND(Scores!$B40=1,Scores!$C40="Tool condition",ISNUMBER(Scores!F40)),COUNTIFS(Scores!$B$5:$B$44,1,Scores!$C$5:$C$44,"Paper condition",Scores!F$5:F$44,"&lt;"&amp;Scores!F40)+0.5*COUNTIFS(Scores!$B$5:$B$44,1,Scores!$C$5:$C$44,"Paper condition",Scores!F$5:F$44,Scores!F40),"")</f>
        <v/>
      </c>
      <c r="H40" s="1" t="str">
        <f aca="false">IF(AND(Scores!$B40=1,OR(Scores!$C40="Tool condition",Scores!$C40="Paper condition"),ISNUMBER(Scores!F40)),(COUNTIFS(Scores!$B$5:$B$44,1,Scores!$C$5:$C$44,"Tool condition",Scores!F$5:F$44,Scores!F40)+COUNTIFS(Scores!$B$5:$B$44,1,Scores!$C$5:$C$44,"Paper condition",Scores!F$5:F$44,Scores!F40))^2-1,"")</f>
        <v/>
      </c>
      <c r="I40" s="1" t="str">
        <f aca="false">IF(AND(Scores!$B40=2,Scores!$C40="Tool condition",ISNUMBER(Scores!F40)),COUNTIFS(Scores!$B$5:$B$44,2,Scores!$C$5:$C$44,"Paper condition",Scores!F$5:F$44,"&lt;"&amp;Scores!F40)+0.5*COUNTIFS(Scores!$B$5:$B$44,2,Scores!$C$5:$C$44,"Paper condition",Scores!F$5:F$44,Scores!F40),"")</f>
        <v/>
      </c>
      <c r="J40" s="1" t="n">
        <f aca="false">IF(AND(Scores!$B40=2,OR(Scores!$C40="Tool condition",Scores!$C40="Paper condition"),ISNUMBER(Scores!F40)),(COUNTIFS(Scores!$B$5:$B$44,2,Scores!$C$5:$C$44,"Tool condition",Scores!F$5:F$44,Scores!F40)+COUNTIFS(Scores!$B$5:$B$44,2,Scores!$C$5:$C$44,"Paper condition",Scores!F$5:F$44,Scores!F40))^2-1,"")</f>
        <v>63</v>
      </c>
      <c r="K40" s="1" t="n">
        <f aca="false">IF(ISNUMBER(Scores!F40),Scores!F40^2,"")</f>
        <v>1</v>
      </c>
      <c r="L40" s="1" t="str">
        <f aca="false">IF(AND(Scores!$B40=1,Scores!$C40="Tool condition",ISNUMBER(Scores!G40)),COUNTIFS(Scores!$B$5:$B$44,1,Scores!$C$5:$C$44,"Paper condition",Scores!G$5:G$44,"&lt;"&amp;Scores!G40)+0.5*COUNTIFS(Scores!$B$5:$B$44,1,Scores!$C$5:$C$44,"Paper condition",Scores!G$5:G$44,Scores!G40),"")</f>
        <v/>
      </c>
      <c r="M40" s="1" t="str">
        <f aca="false">IF(AND(Scores!$B40=1,OR(Scores!$C40="Tool condition",Scores!$C40="Paper condition"),ISNUMBER(Scores!G40)),(COUNTIFS(Scores!$B$5:$B$44,1,Scores!$C$5:$C$44,"Tool condition",Scores!G$5:G$44,Scores!G40)+COUNTIFS(Scores!$B$5:$B$44,1,Scores!$C$5:$C$44,"Paper condition",Scores!G$5:G$44,Scores!G40))^2-1,"")</f>
        <v/>
      </c>
      <c r="N40" s="1" t="str">
        <f aca="false">IF(AND(Scores!$B40=2,Scores!$C40="Tool condition",ISNUMBER(Scores!G40)),COUNTIFS(Scores!$B$5:$B$44,2,Scores!$C$5:$C$44,"Paper condition",Scores!G$5:G$44,"&lt;"&amp;Scores!G40)+0.5*COUNTIFS(Scores!$B$5:$B$44,2,Scores!$C$5:$C$44,"Paper condition",Scores!G$5:G$44,Scores!G40),"")</f>
        <v/>
      </c>
      <c r="O40" s="1" t="n">
        <f aca="false">IF(AND(Scores!$B40=2,OR(Scores!$C40="Tool condition",Scores!$C40="Paper condition"),ISNUMBER(Scores!G40)),(COUNTIFS(Scores!$B$5:$B$44,2,Scores!$C$5:$C$44,"Tool condition",Scores!G$5:G$44,Scores!G40)+COUNTIFS(Scores!$B$5:$B$44,2,Scores!$C$5:$C$44,"Paper condition",Scores!G$5:G$44,Scores!G40))^2-1,"")</f>
        <v>195</v>
      </c>
      <c r="P40" s="1" t="n">
        <f aca="false">IF(ISNUMBER(Scores!G40),Scores!G40^2,"")</f>
        <v>4</v>
      </c>
      <c r="Q40" s="1" t="str">
        <f aca="false">IF(AND(Scores!$B40=1,Scores!$C40="Tool condition",ISNUMBER(Scores!H40)),COUNTIFS(Scores!$B$5:$B$44,1,Scores!$C$5:$C$44,"Paper condition",Scores!H$5:H$44,"&lt;"&amp;Scores!H40)+0.5*COUNTIFS(Scores!$B$5:$B$44,1,Scores!$C$5:$C$44,"Paper condition",Scores!H$5:H$44,Scores!H40),"")</f>
        <v/>
      </c>
      <c r="R40" s="1" t="str">
        <f aca="false">IF(AND(Scores!$B40=1,OR(Scores!$C40="Tool condition",Scores!$C40="Paper condition"),ISNUMBER(Scores!H40)),(COUNTIFS(Scores!$B$5:$B$44,1,Scores!$C$5:$C$44,"Tool condition",Scores!H$5:H$44,Scores!H40)+COUNTIFS(Scores!$B$5:$B$44,1,Scores!$C$5:$C$44,"Paper condition",Scores!H$5:H$44,Scores!H40))^2-1,"")</f>
        <v/>
      </c>
      <c r="S40" s="1" t="str">
        <f aca="false">IF(AND(Scores!$B40=2,Scores!$C40="Tool condition",ISNUMBER(Scores!H40)),COUNTIFS(Scores!$B$5:$B$44,2,Scores!$C$5:$C$44,"Paper condition",Scores!H$5:H$44,"&lt;"&amp;Scores!H40)+0.5*COUNTIFS(Scores!$B$5:$B$44,2,Scores!$C$5:$C$44,"Paper condition",Scores!H$5:H$44,Scores!H40),"")</f>
        <v/>
      </c>
      <c r="T40" s="1" t="n">
        <f aca="false">IF(AND(Scores!$B40=2,OR(Scores!$C40="Tool condition",Scores!$C40="Paper condition"),ISNUMBER(Scores!H40)),(COUNTIFS(Scores!$B$5:$B$44,2,Scores!$C$5:$C$44,"Tool condition",Scores!H$5:H$44,Scores!H40)+COUNTIFS(Scores!$B$5:$B$44,2,Scores!$C$5:$C$44,"Paper condition",Scores!H$5:H$44,Scores!H40))^2-1,"")</f>
        <v>99</v>
      </c>
      <c r="U40" s="1" t="n">
        <f aca="false">IF(ISNUMBER(Scores!H40),Scores!H40^2,"")</f>
        <v>4</v>
      </c>
      <c r="V40" s="1" t="str">
        <f aca="false">IF(AND(Scores!$B40=1,Scores!$C40="Tool condition",ISNUMBER(Scores!I40)),COUNTIFS(Scores!$B$5:$B$44,1,Scores!$C$5:$C$44,"Paper condition",Scores!I$5:I$44,"&lt;"&amp;Scores!I40)+0.5*COUNTIFS(Scores!$B$5:$B$44,1,Scores!$C$5:$C$44,"Paper condition",Scores!I$5:I$44,Scores!I40),"")</f>
        <v/>
      </c>
      <c r="W40" s="1" t="str">
        <f aca="false">IF(AND(Scores!$B40=1,OR(Scores!$C40="Tool condition",Scores!$C40="Paper condition"),ISNUMBER(Scores!I40)),(COUNTIFS(Scores!$B$5:$B$44,1,Scores!$C$5:$C$44,"Tool condition",Scores!I$5:I$44,Scores!I40)+COUNTIFS(Scores!$B$5:$B$44,1,Scores!$C$5:$C$44,"Paper condition",Scores!I$5:I$44,Scores!I40))^2-1,"")</f>
        <v/>
      </c>
      <c r="X40" s="1" t="str">
        <f aca="false">IF(AND(Scores!$B40=2,Scores!$C40="Tool condition",ISNUMBER(Scores!I40)),COUNTIFS(Scores!$B$5:$B$44,2,Scores!$C$5:$C$44,"Paper condition",Scores!I$5:I$44,"&lt;"&amp;Scores!I40)+0.5*COUNTIFS(Scores!$B$5:$B$44,2,Scores!$C$5:$C$44,"Paper condition",Scores!I$5:I$44,Scores!I40),"")</f>
        <v/>
      </c>
      <c r="Y40" s="1" t="n">
        <f aca="false">IF(AND(Scores!$B40=2,OR(Scores!$C40="Tool condition",Scores!$C40="Paper condition"),ISNUMBER(Scores!I40)),(COUNTIFS(Scores!$B$5:$B$44,2,Scores!$C$5:$C$44,"Tool condition",Scores!I$5:I$44,Scores!I40)+COUNTIFS(Scores!$B$5:$B$44,2,Scores!$C$5:$C$44,"Paper condition",Scores!I$5:I$44,Scores!I40))^2-1,"")</f>
        <v>80</v>
      </c>
      <c r="Z40" s="1" t="n">
        <f aca="false">IF(ISNUMBER(Scores!I40),Scores!I40^2,"")</f>
        <v>1</v>
      </c>
      <c r="AA40" s="1" t="str">
        <f aca="false">IF(AND(Scores!$B40=1,Scores!$C40="Tool condition",ISNUMBER(Scores!J40)),COUNTIFS(Scores!$B$5:$B$44,1,Scores!$C$5:$C$44,"Paper condition",Scores!J$5:J$44,"&lt;"&amp;Scores!J40)+0.5*COUNTIFS(Scores!$B$5:$B$44,1,Scores!$C$5:$C$44,"Paper condition",Scores!J$5:J$44,Scores!J40),"")</f>
        <v/>
      </c>
      <c r="AB40" s="1" t="str">
        <f aca="false">IF(AND(Scores!$B40=1,OR(Scores!$C40="Tool condition",Scores!$C40="Paper condition"),ISNUMBER(Scores!J40)),(COUNTIFS(Scores!$B$5:$B$44,1,Scores!$C$5:$C$44,"Tool condition",Scores!J$5:J$44,Scores!J40)+COUNTIFS(Scores!$B$5:$B$44,1,Scores!$C$5:$C$44,"Paper condition",Scores!J$5:J$44,Scores!J40))^2-1,"")</f>
        <v/>
      </c>
      <c r="AC40" s="1" t="str">
        <f aca="false">IF(AND(Scores!$B40=2,Scores!$C40="Tool condition",ISNUMBER(Scores!J40)),COUNTIFS(Scores!$B$5:$B$44,2,Scores!$C$5:$C$44,"Paper condition",Scores!J$5:J$44,"&lt;"&amp;Scores!J40)+0.5*COUNTIFS(Scores!$B$5:$B$44,2,Scores!$C$5:$C$44,"Paper condition",Scores!J$5:J$44,Scores!J40),"")</f>
        <v/>
      </c>
      <c r="AD40" s="1" t="n">
        <f aca="false">IF(AND(Scores!$B40=2,OR(Scores!$C40="Tool condition",Scores!$C40="Paper condition"),ISNUMBER(Scores!J40)),(COUNTIFS(Scores!$B$5:$B$44,2,Scores!$C$5:$C$44,"Tool condition",Scores!J$5:J$44,Scores!J40)+COUNTIFS(Scores!$B$5:$B$44,2,Scores!$C$5:$C$44,"Paper condition",Scores!J$5:J$44,Scores!J40))^2-1,"")</f>
        <v>80</v>
      </c>
      <c r="AE40" s="1" t="n">
        <f aca="false">IF(ISNUMBER(Scores!J40),Scores!J40^2,"")</f>
        <v>1</v>
      </c>
      <c r="AF40" s="1" t="str">
        <f aca="false">IF(AND(Scores!$B40=1,Scores!$C40="Tool condition",ISNUMBER(Scores!K40)),COUNTIFS(Scores!$B$5:$B$44,1,Scores!$C$5:$C$44,"Paper condition",Scores!K$5:K$44,"&lt;"&amp;Scores!K40)+0.5*COUNTIFS(Scores!$B$5:$B$44,1,Scores!$C$5:$C$44,"Paper condition",Scores!K$5:K$44,Scores!K40),"")</f>
        <v/>
      </c>
      <c r="AG40" s="1" t="str">
        <f aca="false">IF(AND(Scores!$B40=1,OR(Scores!$C40="Tool condition",Scores!$C40="Paper condition"),ISNUMBER(Scores!K40)),(COUNTIFS(Scores!$B$5:$B$44,1,Scores!$C$5:$C$44,"Tool condition",Scores!K$5:K$44,Scores!K40)+COUNTIFS(Scores!$B$5:$B$44,1,Scores!$C$5:$C$44,"Paper condition",Scores!K$5:K$44,Scores!K40))^2-1,"")</f>
        <v/>
      </c>
      <c r="AH40" s="1" t="str">
        <f aca="false">IF(AND(Scores!$B40=2,Scores!$C40="Tool condition",ISNUMBER(Scores!K40)),COUNTIFS(Scores!$B$5:$B$44,2,Scores!$C$5:$C$44,"Paper condition",Scores!K$5:K$44,"&lt;"&amp;Scores!K40)+0.5*COUNTIFS(Scores!$B$5:$B$44,2,Scores!$C$5:$C$44,"Paper condition",Scores!K$5:K$44,Scores!K40),"")</f>
        <v/>
      </c>
      <c r="AI40" s="1" t="n">
        <f aca="false">IF(AND(Scores!$B40=2,OR(Scores!$C40="Tool condition",Scores!$C40="Paper condition"),ISNUMBER(Scores!K40)),(COUNTIFS(Scores!$B$5:$B$44,2,Scores!$C$5:$C$44,"Tool condition",Scores!K$5:K$44,Scores!K40)+COUNTIFS(Scores!$B$5:$B$44,2,Scores!$C$5:$C$44,"Paper condition",Scores!K$5:K$44,Scores!K40))^2-1,"")</f>
        <v>80</v>
      </c>
      <c r="AJ40" s="1" t="n">
        <f aca="false">IF(ISNUMBER(Scores!K40),Scores!K40^2,"")</f>
        <v>4</v>
      </c>
      <c r="AK40" s="1" t="str">
        <f aca="false">IF(AND(Scores!$B40=1,Scores!$C40="Tool condition",ISNUMBER(Scores!L40)),COUNTIFS(Scores!$B$5:$B$44,1,Scores!$C$5:$C$44,"Paper condition",Scores!L$5:L$44,"&lt;"&amp;Scores!L40)+0.5*COUNTIFS(Scores!$B$5:$B$44,1,Scores!$C$5:$C$44,"Paper condition",Scores!L$5:L$44,Scores!L40),"")</f>
        <v/>
      </c>
      <c r="AL40" s="1" t="str">
        <f aca="false">IF(AND(Scores!$B40=1,OR(Scores!$C40="Tool condition",Scores!$C40="Paper condition"),ISNUMBER(Scores!L40)),(COUNTIFS(Scores!$B$5:$B$44,1,Scores!$C$5:$C$44,"Tool condition",Scores!L$5:L$44,Scores!L40)+COUNTIFS(Scores!$B$5:$B$44,1,Scores!$C$5:$C$44,"Paper condition",Scores!L$5:L$44,Scores!L40))^2-1,"")</f>
        <v/>
      </c>
      <c r="AM40" s="1" t="str">
        <f aca="false">IF(AND(Scores!$B40=2,Scores!$C40="Tool condition",ISNUMBER(Scores!L40)),COUNTIFS(Scores!$B$5:$B$44,2,Scores!$C$5:$C$44,"Paper condition",Scores!L$5:L$44,"&lt;"&amp;Scores!L40)+0.5*COUNTIFS(Scores!$B$5:$B$44,2,Scores!$C$5:$C$44,"Paper condition",Scores!L$5:L$44,Scores!L40),"")</f>
        <v/>
      </c>
      <c r="AN40" s="1" t="n">
        <f aca="false">IF(AND(Scores!$B40=2,OR(Scores!$C40="Tool condition",Scores!$C40="Paper condition"),ISNUMBER(Scores!L40)),(COUNTIFS(Scores!$B$5:$B$44,2,Scores!$C$5:$C$44,"Tool condition",Scores!L$5:L$44,Scores!L40)+COUNTIFS(Scores!$B$5:$B$44,2,Scores!$C$5:$C$44,"Paper condition",Scores!L$5:L$44,Scores!L40))^2-1,"")</f>
        <v>99</v>
      </c>
      <c r="AO40" s="1" t="n">
        <f aca="false">IF(ISNUMBER(Scores!L40),Scores!L40^2,"")</f>
        <v>1</v>
      </c>
      <c r="AP40" s="1" t="str">
        <f aca="false">IF(AND(Scores!$B40=1,Scores!$C40="Tool condition",ISNUMBER(Scores!M40)),COUNTIFS(Scores!$B$5:$B$44,1,Scores!$C$5:$C$44,"Paper condition",Scores!M$5:M$44,"&lt;"&amp;Scores!M40)+0.5*COUNTIFS(Scores!$B$5:$B$44,1,Scores!$C$5:$C$44,"Paper condition",Scores!M$5:M$44,Scores!M40),"")</f>
        <v/>
      </c>
      <c r="AQ40" s="1" t="str">
        <f aca="false">IF(AND(Scores!$B40=1,OR(Scores!$C40="Tool condition",Scores!$C40="Paper condition"),ISNUMBER(Scores!M40)),(COUNTIFS(Scores!$B$5:$B$44,1,Scores!$C$5:$C$44,"Tool condition",Scores!M$5:M$44,Scores!M40)+COUNTIFS(Scores!$B$5:$B$44,1,Scores!$C$5:$C$44,"Paper condition",Scores!M$5:M$44,Scores!M40))^2-1,"")</f>
        <v/>
      </c>
      <c r="AR40" s="1" t="str">
        <f aca="false">IF(AND(Scores!$B40=2,Scores!$C40="Tool condition",ISNUMBER(Scores!M40)),COUNTIFS(Scores!$B$5:$B$44,2,Scores!$C$5:$C$44,"Paper condition",Scores!M$5:M$44,"&lt;"&amp;Scores!M40)+0.5*COUNTIFS(Scores!$B$5:$B$44,2,Scores!$C$5:$C$44,"Paper condition",Scores!M$5:M$44,Scores!M40),"")</f>
        <v/>
      </c>
      <c r="AS40" s="1" t="n">
        <f aca="false">IF(AND(Scores!$B40=2,OR(Scores!$C40="Tool condition",Scores!$C40="Paper condition"),ISNUMBER(Scores!M40)),(COUNTIFS(Scores!$B$5:$B$44,2,Scores!$C$5:$C$44,"Tool condition",Scores!M$5:M$44,Scores!M40)+COUNTIFS(Scores!$B$5:$B$44,2,Scores!$C$5:$C$44,"Paper condition",Scores!M$5:M$44,Scores!M40))^2-1,"")</f>
        <v>80</v>
      </c>
      <c r="AT40" s="1" t="n">
        <f aca="false">IF(ISNUMBER(Scores!M40),Scores!M40^2,"")</f>
        <v>1</v>
      </c>
      <c r="AU40" s="1" t="str">
        <f aca="false">IF(AND(Scores!$B40=1,Scores!$C40="Tool condition",ISNUMBER(Scores!N40)),COUNTIFS(Scores!$B$5:$B$44,1,Scores!$C$5:$C$44,"Paper condition",Scores!N$5:N$44,"&lt;"&amp;Scores!N40)+0.5*COUNTIFS(Scores!$B$5:$B$44,1,Scores!$C$5:$C$44,"Paper condition",Scores!N$5:N$44,Scores!N40),"")</f>
        <v/>
      </c>
      <c r="AV40" s="1" t="str">
        <f aca="false">IF(AND(Scores!$B40=1,OR(Scores!$C40="Tool condition",Scores!$C40="Paper condition"),ISNUMBER(Scores!N40)),(COUNTIFS(Scores!$B$5:$B$44,1,Scores!$C$5:$C$44,"Tool condition",Scores!N$5:N$44,Scores!N40)+COUNTIFS(Scores!$B$5:$B$44,1,Scores!$C$5:$C$44,"Paper condition",Scores!N$5:N$44,Scores!N40))^2-1,"")</f>
        <v/>
      </c>
      <c r="AW40" s="1" t="str">
        <f aca="false">IF(AND(Scores!$B40=2,Scores!$C40="Tool condition",ISNUMBER(Scores!N40)),COUNTIFS(Scores!$B$5:$B$44,2,Scores!$C$5:$C$44,"Paper condition",Scores!N$5:N$44,"&lt;"&amp;Scores!N40)+0.5*COUNTIFS(Scores!$B$5:$B$44,2,Scores!$C$5:$C$44,"Paper condition",Scores!N$5:N$44,Scores!N40),"")</f>
        <v/>
      </c>
      <c r="AX40" s="1" t="n">
        <f aca="false">IF(AND(Scores!$B40=2,OR(Scores!$C40="Tool condition",Scores!$C40="Paper condition"),ISNUMBER(Scores!N40)),(COUNTIFS(Scores!$B$5:$B$44,2,Scores!$C$5:$C$44,"Tool condition",Scores!N$5:N$44,Scores!N40)+COUNTIFS(Scores!$B$5:$B$44,2,Scores!$C$5:$C$44,"Paper condition",Scores!N$5:N$44,Scores!N40))^2-1,"")</f>
        <v>35</v>
      </c>
      <c r="AY40" s="1" t="n">
        <f aca="false">IF(ISNUMBER(Scores!N40),Scores!N40^2,"")</f>
        <v>4</v>
      </c>
      <c r="AZ40" s="1" t="str">
        <f aca="false">IF(AND(Scores!$B40=1,Scores!$C40="Tool condition",ISNUMBER(Scores!O40)),COUNTIFS(Scores!$B$5:$B$44,1,Scores!$C$5:$C$44,"Paper condition",Scores!O$5:O$44,"&lt;"&amp;Scores!O40)+0.5*COUNTIFS(Scores!$B$5:$B$44,1,Scores!$C$5:$C$44,"Paper condition",Scores!O$5:O$44,Scores!O40),"")</f>
        <v/>
      </c>
      <c r="BA40" s="1" t="str">
        <f aca="false">IF(AND(Scores!$B40=1,OR(Scores!$C40="Tool condition",Scores!$C40="Paper condition"),ISNUMBER(Scores!O40)),(COUNTIFS(Scores!$B$5:$B$44,1,Scores!$C$5:$C$44,"Tool condition",Scores!O$5:O$44,Scores!O40)+COUNTIFS(Scores!$B$5:$B$44,1,Scores!$C$5:$C$44,"Paper condition",Scores!O$5:O$44,Scores!O40))^2-1,"")</f>
        <v/>
      </c>
      <c r="BB40" s="1" t="str">
        <f aca="false">IF(AND(Scores!$B40=2,Scores!$C40="Tool condition",ISNUMBER(Scores!O40)),COUNTIFS(Scores!$B$5:$B$44,2,Scores!$C$5:$C$44,"Paper condition",Scores!O$5:O$44,"&lt;"&amp;Scores!O40)+0.5*COUNTIFS(Scores!$B$5:$B$44,2,Scores!$C$5:$C$44,"Paper condition",Scores!O$5:O$44,Scores!O40),"")</f>
        <v/>
      </c>
      <c r="BC40" s="1" t="n">
        <f aca="false">IF(AND(Scores!$B40=2,OR(Scores!$C40="Tool condition",Scores!$C40="Paper condition"),ISNUMBER(Scores!O40)),(COUNTIFS(Scores!$B$5:$B$44,2,Scores!$C$5:$C$44,"Tool condition",Scores!O$5:O$44,Scores!O40)+COUNTIFS(Scores!$B$5:$B$44,2,Scores!$C$5:$C$44,"Paper condition",Scores!O$5:O$44,Scores!O40))^2-1,"")</f>
        <v>120</v>
      </c>
      <c r="BD40" s="1" t="n">
        <f aca="false">IF(ISNUMBER(Scores!O40),Scores!O40^2,"")</f>
        <v>1</v>
      </c>
      <c r="BE40" s="1" t="str">
        <f aca="false">IF(AND(Scores!$B40=1,Scores!$C40="Tool condition",ISNUMBER(Scores!P40)),COUNTIFS(Scores!$B$5:$B$44,1,Scores!$C$5:$C$44,"Paper condition",Scores!P$5:P$44,"&lt;"&amp;Scores!P40)+0.5*COUNTIFS(Scores!$B$5:$B$44,1,Scores!$C$5:$C$44,"Paper condition",Scores!P$5:P$44,Scores!P40),"")</f>
        <v/>
      </c>
      <c r="BF40" s="1" t="str">
        <f aca="false">IF(AND(Scores!$B40=1,OR(Scores!$C40="Tool condition",Scores!$C40="Paper condition"),ISNUMBER(Scores!P40)),(COUNTIFS(Scores!$B$5:$B$44,1,Scores!$C$5:$C$44,"Tool condition",Scores!P$5:P$44,Scores!P40)+COUNTIFS(Scores!$B$5:$B$44,1,Scores!$C$5:$C$44,"Paper condition",Scores!P$5:P$44,Scores!P40))^2-1,"")</f>
        <v/>
      </c>
      <c r="BG40" s="1" t="str">
        <f aca="false">IF(AND(Scores!$B40=2,Scores!$C40="Tool condition",ISNUMBER(Scores!P40)),COUNTIFS(Scores!$B$5:$B$44,2,Scores!$C$5:$C$44,"Paper condition",Scores!P$5:P$44,"&lt;"&amp;Scores!P40)+0.5*COUNTIFS(Scores!$B$5:$B$44,2,Scores!$C$5:$C$44,"Paper condition",Scores!P$5:P$44,Scores!P40),"")</f>
        <v/>
      </c>
      <c r="BH40" s="1" t="n">
        <f aca="false">IF(AND(Scores!$B40=2,OR(Scores!$C40="Tool condition",Scores!$C40="Paper condition"),ISNUMBER(Scores!P40)),(COUNTIFS(Scores!$B$5:$B$44,2,Scores!$C$5:$C$44,"Tool condition",Scores!P$5:P$44,Scores!P40)+COUNTIFS(Scores!$B$5:$B$44,2,Scores!$C$5:$C$44,"Paper condition",Scores!P$5:P$44,Scores!P40))^2-1,"")</f>
        <v>63</v>
      </c>
      <c r="BI40" s="1" t="n">
        <f aca="false">IF(ISNUMBER(Scores!P40),Scores!P40^2,"")</f>
        <v>0</v>
      </c>
      <c r="BJ40" s="1" t="str">
        <f aca="false">IF(AND(R_Scores!$B40=1,R_Scores!$C40="Tool condition",ISNUMBER(R_Scores!E40)),COUNTIFS(R_Scores!$B$5:$B$44,1,R_Scores!$C$5:$C$44,"Paper condition",R_Scores!E$5:E$44,"&lt;"&amp;R_Scores!E40)+0.5*COUNTIFS(R_Scores!$B$5:$B$44,1,R_Scores!$C$5:$C$44,"Paper condition",R_Scores!E$5:E$44,R_Scores!E40),"")</f>
        <v/>
      </c>
      <c r="BK40" s="1" t="str">
        <f aca="false">IF(AND(R_Scores!$B40=1,OR(R_Scores!$C40="Tool condition",R_Scores!$C40="Paper condition"),ISNUMBER(R_Scores!E40)),(COUNTIFS(R_Scores!$B$5:$B$44,1,R_Scores!$C$5:$C$44,"Tool condition",R_Scores!E$5:E$44,R_Scores!E40)+COUNTIFS(R_Scores!$B$5:$B$44,1,R_Scores!$C$5:$C$44,"Paper condition",R_Scores!E$5:E$44,R_Scores!E40))^2-1,"")</f>
        <v/>
      </c>
      <c r="BL40" s="1" t="str">
        <f aca="false">IF(AND(R_Scores!$B40=2,R_Scores!$C40="Tool condition",ISNUMBER(R_Scores!E40)),COUNTIFS(R_Scores!$B$5:$B$44,2,R_Scores!$C$5:$C$44,"Paper condition",R_Scores!E$5:E$44,"&lt;"&amp;R_Scores!E40)+0.5*COUNTIFS(R_Scores!$B$5:$B$44,2,R_Scores!$C$5:$C$44,"Paper condition",R_Scores!E$5:E$44,R_Scores!E40),"")</f>
        <v/>
      </c>
      <c r="BM40" s="1" t="n">
        <f aca="false">IF(AND(R_Scores!$B40=2,OR(R_Scores!$C40="Tool condition",R_Scores!$C40="Paper condition"),ISNUMBER(R_Scores!E40)),(COUNTIFS(R_Scores!$B$5:$B$44,2,R_Scores!$C$5:$C$44,"Tool condition",R_Scores!E$5:E$44,R_Scores!E40)+COUNTIFS(R_Scores!$B$5:$B$44,2,R_Scores!$C$5:$C$44,"Paper condition",R_Scores!E$5:E$44,R_Scores!E40))^2-1,"")</f>
        <v>224</v>
      </c>
      <c r="BN40" s="1" t="n">
        <f aca="false">IF(ISNUMBER(R_Scores!E40),R_Scores!E40^2,"")</f>
        <v>1</v>
      </c>
      <c r="BO40" s="1" t="str">
        <f aca="false">IF(AND(R_Scores!$B40=1,R_Scores!$C40="Tool condition",ISNUMBER(R_Scores!F40)),COUNTIFS(R_Scores!$B$5:$B$44,1,R_Scores!$C$5:$C$44,"Paper condition",R_Scores!F$5:F$44,"&lt;"&amp;R_Scores!F40)+0.5*COUNTIFS(R_Scores!$B$5:$B$44,1,R_Scores!$C$5:$C$44,"Paper condition",R_Scores!F$5:F$44,R_Scores!F40),"")</f>
        <v/>
      </c>
      <c r="BP40" s="1" t="str">
        <f aca="false">IF(AND(R_Scores!$B40=1,OR(R_Scores!$C40="Tool condition",R_Scores!$C40="Paper condition"),ISNUMBER(R_Scores!F40)),(COUNTIFS(R_Scores!$B$5:$B$44,1,R_Scores!$C$5:$C$44,"Tool condition",R_Scores!F$5:F$44,R_Scores!F40)+COUNTIFS(R_Scores!$B$5:$B$44,1,R_Scores!$C$5:$C$44,"Paper condition",R_Scores!F$5:F$44,R_Scores!F40))^2-1,"")</f>
        <v/>
      </c>
      <c r="BQ40" s="1" t="str">
        <f aca="false">IF(AND(R_Scores!$B40=2,R_Scores!$C40="Tool condition",ISNUMBER(R_Scores!F40)),COUNTIFS(R_Scores!$B$5:$B$44,2,R_Scores!$C$5:$C$44,"Paper condition",R_Scores!F$5:F$44,"&lt;"&amp;R_Scores!F40)+0.5*COUNTIFS(R_Scores!$B$5:$B$44,2,R_Scores!$C$5:$C$44,"Paper condition",R_Scores!F$5:F$44,R_Scores!F40),"")</f>
        <v/>
      </c>
      <c r="BR40" s="1" t="n">
        <f aca="false">IF(AND(R_Scores!$B40=2,OR(R_Scores!$C40="Tool condition",R_Scores!$C40="Paper condition"),ISNUMBER(R_Scores!F40)),(COUNTIFS(R_Scores!$B$5:$B$44,2,R_Scores!$C$5:$C$44,"Tool condition",R_Scores!F$5:F$44,R_Scores!F40)+COUNTIFS(R_Scores!$B$5:$B$44,2,R_Scores!$C$5:$C$44,"Paper condition",R_Scores!F$5:F$44,R_Scores!F40))^2-1,"")</f>
        <v>35</v>
      </c>
      <c r="BS40" s="1" t="n">
        <f aca="false">IF(ISNUMBER(R_Scores!F40),R_Scores!F40^2,"")</f>
        <v>0</v>
      </c>
      <c r="BT40" s="1" t="str">
        <f aca="false">IF(AND(R_Scores!$B40=1,R_Scores!$C40="Tool condition",ISNUMBER(R_Scores!G40)),COUNTIFS(R_Scores!$B$5:$B$44,1,R_Scores!$C$5:$C$44,"Paper condition",R_Scores!G$5:G$44,"&lt;"&amp;R_Scores!G40)+0.5*COUNTIFS(R_Scores!$B$5:$B$44,1,R_Scores!$C$5:$C$44,"Paper condition",R_Scores!G$5:G$44,R_Scores!G40),"")</f>
        <v/>
      </c>
      <c r="BU40" s="1" t="str">
        <f aca="false">IF(AND(R_Scores!$B40=1,OR(R_Scores!$C40="Tool condition",R_Scores!$C40="Paper condition"),ISNUMBER(R_Scores!G40)),(COUNTIFS(R_Scores!$B$5:$B$44,1,R_Scores!$C$5:$C$44,"Tool condition",R_Scores!G$5:G$44,R_Scores!G40)+COUNTIFS(R_Scores!$B$5:$B$44,1,R_Scores!$C$5:$C$44,"Paper condition",R_Scores!G$5:G$44,R_Scores!G40))^2-1,"")</f>
        <v/>
      </c>
      <c r="BV40" s="1" t="str">
        <f aca="false">IF(AND(R_Scores!$B40=2,R_Scores!$C40="Tool condition",ISNUMBER(R_Scores!G40)),COUNTIFS(R_Scores!$B$5:$B$44,2,R_Scores!$C$5:$C$44,"Paper condition",R_Scores!G$5:G$44,"&lt;"&amp;R_Scores!G40)+0.5*COUNTIFS(R_Scores!$B$5:$B$44,2,R_Scores!$C$5:$C$44,"Paper condition",R_Scores!G$5:G$44,R_Scores!G40),"")</f>
        <v/>
      </c>
      <c r="BW40" s="1" t="str">
        <f aca="false">IF(AND(R_Scores!$B40=2,OR(R_Scores!$C40="Tool condition",R_Scores!$C40="Paper condition"),ISNUMBER(R_Scores!G40)),(COUNTIFS(R_Scores!$B$5:$B$44,2,R_Scores!$C$5:$C$44,"Tool condition",R_Scores!G$5:G$44,R_Scores!G40)+COUNTIFS(R_Scores!$B$5:$B$44,2,R_Scores!$C$5:$C$44,"Paper condition",R_Scores!G$5:G$44,R_Scores!G40))^2-1,"")</f>
        <v/>
      </c>
      <c r="BX40" s="1" t="str">
        <f aca="false">IF(ISNUMBER(R_Scores!G40),R_Scores!G40^2,"")</f>
        <v/>
      </c>
      <c r="BY40" s="1" t="str">
        <f aca="false">IF(AND(R_Scores!$B40=1,R_Scores!$C40="Tool condition",ISNUMBER(R_Scores!H40)),COUNTIFS(R_Scores!$B$5:$B$44,1,R_Scores!$C$5:$C$44,"Paper condition",R_Scores!H$5:H$44,"&lt;"&amp;R_Scores!H40)+0.5*COUNTIFS(R_Scores!$B$5:$B$44,1,R_Scores!$C$5:$C$44,"Paper condition",R_Scores!H$5:H$44,R_Scores!H40),"")</f>
        <v/>
      </c>
      <c r="BZ40" s="1" t="str">
        <f aca="false">IF(AND(R_Scores!$B40=1,OR(R_Scores!$C40="Tool condition",R_Scores!$C40="Paper condition"),ISNUMBER(R_Scores!H40)),(COUNTIFS(R_Scores!$B$5:$B$44,1,R_Scores!$C$5:$C$44,"Tool condition",R_Scores!H$5:H$44,R_Scores!H40)+COUNTIFS(R_Scores!$B$5:$B$44,1,R_Scores!$C$5:$C$44,"Paper condition",R_Scores!H$5:H$44,R_Scores!H40))^2-1,"")</f>
        <v/>
      </c>
      <c r="CA40" s="1" t="str">
        <f aca="false">IF(AND(R_Scores!$B40=2,R_Scores!$C40="Tool condition",ISNUMBER(R_Scores!H40)),COUNTIFS(R_Scores!$B$5:$B$44,2,R_Scores!$C$5:$C$44,"Paper condition",R_Scores!H$5:H$44,"&lt;"&amp;R_Scores!H40)+0.5*COUNTIFS(R_Scores!$B$5:$B$44,2,R_Scores!$C$5:$C$44,"Paper condition",R_Scores!H$5:H$44,R_Scores!H40),"")</f>
        <v/>
      </c>
      <c r="CB40" s="1" t="str">
        <f aca="false">IF(AND(R_Scores!$B40=2,OR(R_Scores!$C40="Tool condition",R_Scores!$C40="Paper condition"),ISNUMBER(R_Scores!H40)),(COUNTIFS(R_Scores!$B$5:$B$44,2,R_Scores!$C$5:$C$44,"Tool condition",R_Scores!H$5:H$44,R_Scores!H40)+COUNTIFS(R_Scores!$B$5:$B$44,2,R_Scores!$C$5:$C$44,"Paper condition",R_Scores!H$5:H$44,R_Scores!H40))^2-1,"")</f>
        <v/>
      </c>
      <c r="CC40" s="1" t="str">
        <f aca="false">IF(ISNUMBER(R_Scores!H40),R_Scores!H40^2,"")</f>
        <v/>
      </c>
      <c r="CD40" s="1" t="str">
        <f aca="false">IF(AND(R_Scores!$B40=1,R_Scores!$C40="Tool condition",ISNUMBER(R_Scores!I40)),COUNTIFS(R_Scores!$B$5:$B$44,1,R_Scores!$C$5:$C$44,"Paper condition",R_Scores!I$5:I$44,"&lt;"&amp;R_Scores!I40)+0.5*COUNTIFS(R_Scores!$B$5:$B$44,1,R_Scores!$C$5:$C$44,"Paper condition",R_Scores!I$5:I$44,R_Scores!I40),"")</f>
        <v/>
      </c>
      <c r="CE40" s="1" t="str">
        <f aca="false">IF(AND(R_Scores!$B40=1,OR(R_Scores!$C40="Tool condition",R_Scores!$C40="Paper condition"),ISNUMBER(R_Scores!I40)),(COUNTIFS(R_Scores!$B$5:$B$44,1,R_Scores!$C$5:$C$44,"Tool condition",R_Scores!I$5:I$44,R_Scores!I40)+COUNTIFS(R_Scores!$B$5:$B$44,1,R_Scores!$C$5:$C$44,"Paper condition",R_Scores!I$5:I$44,R_Scores!I40))^2-1,"")</f>
        <v/>
      </c>
      <c r="CF40" s="1" t="str">
        <f aca="false">IF(AND(R_Scores!$B40=2,R_Scores!$C40="Tool condition",ISNUMBER(R_Scores!I40)),COUNTIFS(R_Scores!$B$5:$B$44,2,R_Scores!$C$5:$C$44,"Paper condition",R_Scores!I$5:I$44,"&lt;"&amp;R_Scores!I40)+0.5*COUNTIFS(R_Scores!$B$5:$B$44,2,R_Scores!$C$5:$C$44,"Paper condition",R_Scores!I$5:I$44,R_Scores!I40),"")</f>
        <v/>
      </c>
      <c r="CG40" s="1" t="n">
        <f aca="false">IF(AND(R_Scores!$B40=2,OR(R_Scores!$C40="Tool condition",R_Scores!$C40="Paper condition"),ISNUMBER(R_Scores!I40)),(COUNTIFS(R_Scores!$B$5:$B$44,2,R_Scores!$C$5:$C$44,"Tool condition",R_Scores!I$5:I$44,R_Scores!I40)+COUNTIFS(R_Scores!$B$5:$B$44,2,R_Scores!$C$5:$C$44,"Paper condition",R_Scores!I$5:I$44,R_Scores!I40))^2-1,"")</f>
        <v>255</v>
      </c>
      <c r="CH40" s="1" t="n">
        <f aca="false">IF(ISNUMBER(R_Scores!I40),R_Scores!I40^2,"")</f>
        <v>1</v>
      </c>
      <c r="CI40" s="1" t="str">
        <f aca="false">IF(AND(R_Scores!$B40=1,R_Scores!$C40="Tool condition",ISNUMBER(R_Scores!J40)),COUNTIFS(R_Scores!$B$5:$B$44,1,R_Scores!$C$5:$C$44,"Paper condition",R_Scores!J$5:J$44,"&lt;"&amp;R_Scores!J40)+0.5*COUNTIFS(R_Scores!$B$5:$B$44,1,R_Scores!$C$5:$C$44,"Paper condition",R_Scores!J$5:J$44,R_Scores!J40),"")</f>
        <v/>
      </c>
      <c r="CJ40" s="1" t="str">
        <f aca="false">IF(AND(R_Scores!$B40=1,OR(R_Scores!$C40="Tool condition",R_Scores!$C40="Paper condition"),ISNUMBER(R_Scores!J40)),(COUNTIFS(R_Scores!$B$5:$B$44,1,R_Scores!$C$5:$C$44,"Tool condition",R_Scores!J$5:J$44,R_Scores!J40)+COUNTIFS(R_Scores!$B$5:$B$44,1,R_Scores!$C$5:$C$44,"Paper condition",R_Scores!J$5:J$44,R_Scores!J40))^2-1,"")</f>
        <v/>
      </c>
      <c r="CK40" s="1" t="str">
        <f aca="false">IF(AND(R_Scores!$B40=2,R_Scores!$C40="Tool condition",ISNUMBER(R_Scores!J40)),COUNTIFS(R_Scores!$B$5:$B$44,2,R_Scores!$C$5:$C$44,"Paper condition",R_Scores!J$5:J$44,"&lt;"&amp;R_Scores!J40)+0.5*COUNTIFS(R_Scores!$B$5:$B$44,2,R_Scores!$C$5:$C$44,"Paper condition",R_Scores!J$5:J$44,R_Scores!J40),"")</f>
        <v/>
      </c>
      <c r="CL40" s="1" t="n">
        <f aca="false">IF(AND(R_Scores!$B40=2,OR(R_Scores!$C40="Tool condition",R_Scores!$C40="Paper condition"),ISNUMBER(R_Scores!J40)),(COUNTIFS(R_Scores!$B$5:$B$44,2,R_Scores!$C$5:$C$44,"Tool condition",R_Scores!J$5:J$44,R_Scores!J40)+COUNTIFS(R_Scores!$B$5:$B$44,2,R_Scores!$C$5:$C$44,"Paper condition",R_Scores!J$5:J$44,R_Scores!J40))^2-1,"")</f>
        <v>195</v>
      </c>
      <c r="CM40" s="1" t="n">
        <f aca="false">IF(ISNUMBER(R_Scores!J40),R_Scores!J40^2,"")</f>
        <v>1</v>
      </c>
      <c r="CN40" s="1" t="str">
        <f aca="false">IF(AND(R_Scores!$B40=1,R_Scores!$C40="Tool condition",ISNUMBER(R_Scores!K40)),COUNTIFS(R_Scores!$B$5:$B$44,1,R_Scores!$C$5:$C$44,"Paper condition",R_Scores!K$5:K$44,"&lt;"&amp;R_Scores!K40)+0.5*COUNTIFS(R_Scores!$B$5:$B$44,1,R_Scores!$C$5:$C$44,"Paper condition",R_Scores!K$5:K$44,R_Scores!K40),"")</f>
        <v/>
      </c>
      <c r="CO40" s="1" t="str">
        <f aca="false">IF(AND(R_Scores!$B40=1,OR(R_Scores!$C40="Tool condition",R_Scores!$C40="Paper condition"),ISNUMBER(R_Scores!K40)),(COUNTIFS(R_Scores!$B$5:$B$44,1,R_Scores!$C$5:$C$44,"Tool condition",R_Scores!K$5:K$44,R_Scores!K40)+COUNTIFS(R_Scores!$B$5:$B$44,1,R_Scores!$C$5:$C$44,"Paper condition",R_Scores!K$5:K$44,R_Scores!K40))^2-1,"")</f>
        <v/>
      </c>
      <c r="CP40" s="1" t="str">
        <f aca="false">IF(AND(R_Scores!$B40=2,R_Scores!$C40="Tool condition",ISNUMBER(R_Scores!K40)),COUNTIFS(R_Scores!$B$5:$B$44,2,R_Scores!$C$5:$C$44,"Paper condition",R_Scores!K$5:K$44,"&lt;"&amp;R_Scores!K40)+0.5*COUNTIFS(R_Scores!$B$5:$B$44,2,R_Scores!$C$5:$C$44,"Paper condition",R_Scores!K$5:K$44,R_Scores!K40),"")</f>
        <v/>
      </c>
      <c r="CQ40" s="1" t="str">
        <f aca="false">IF(AND(R_Scores!$B40=2,OR(R_Scores!$C40="Tool condition",R_Scores!$C40="Paper condition"),ISNUMBER(R_Scores!K40)),(COUNTIFS(R_Scores!$B$5:$B$44,2,R_Scores!$C$5:$C$44,"Tool condition",R_Scores!K$5:K$44,R_Scores!K40)+COUNTIFS(R_Scores!$B$5:$B$44,2,R_Scores!$C$5:$C$44,"Paper condition",R_Scores!K$5:K$44,R_Scores!K40))^2-1,"")</f>
        <v/>
      </c>
      <c r="CR40" s="1" t="str">
        <f aca="false">IF(ISNUMBER(R_Scores!K40),R_Scores!K40^2,"")</f>
        <v/>
      </c>
      <c r="CS40" s="1" t="str">
        <f aca="false">IF(AND(R_Scores!$B40=1,R_Scores!$C40="Tool condition",ISNUMBER(R_Scores!L40)),COUNTIFS(R_Scores!$B$5:$B$44,1,R_Scores!$C$5:$C$44,"Paper condition",R_Scores!L$5:L$44,"&lt;"&amp;R_Scores!L40)+0.5*COUNTIFS(R_Scores!$B$5:$B$44,1,R_Scores!$C$5:$C$44,"Paper condition",R_Scores!L$5:L$44,R_Scores!L40),"")</f>
        <v/>
      </c>
      <c r="CT40" s="1" t="str">
        <f aca="false">IF(AND(R_Scores!$B40=1,OR(R_Scores!$C40="Tool condition",R_Scores!$C40="Paper condition"),ISNUMBER(R_Scores!L40)),(COUNTIFS(R_Scores!$B$5:$B$44,1,R_Scores!$C$5:$C$44,"Tool condition",R_Scores!L$5:L$44,R_Scores!L40)+COUNTIFS(R_Scores!$B$5:$B$44,1,R_Scores!$C$5:$C$44,"Paper condition",R_Scores!L$5:L$44,R_Scores!L40))^2-1,"")</f>
        <v/>
      </c>
      <c r="CU40" s="1" t="str">
        <f aca="false">IF(AND(R_Scores!$B40=2,R_Scores!$C40="Tool condition",ISNUMBER(R_Scores!L40)),COUNTIFS(R_Scores!$B$5:$B$44,2,R_Scores!$C$5:$C$44,"Paper condition",R_Scores!L$5:L$44,"&lt;"&amp;R_Scores!L40)+0.5*COUNTIFS(R_Scores!$B$5:$B$44,2,R_Scores!$C$5:$C$44,"Paper condition",R_Scores!L$5:L$44,R_Scores!L40),"")</f>
        <v/>
      </c>
      <c r="CV40" s="1" t="str">
        <f aca="false">IF(AND(R_Scores!$B40=2,OR(R_Scores!$C40="Tool condition",R_Scores!$C40="Paper condition"),ISNUMBER(R_Scores!L40)),(COUNTIFS(R_Scores!$B$5:$B$44,2,R_Scores!$C$5:$C$44,"Tool condition",R_Scores!L$5:L$44,R_Scores!L40)+COUNTIFS(R_Scores!$B$5:$B$44,2,R_Scores!$C$5:$C$44,"Paper condition",R_Scores!L$5:L$44,R_Scores!L40))^2-1,"")</f>
        <v/>
      </c>
      <c r="CW40" s="1" t="str">
        <f aca="false">IF(ISNUMBER(R_Scores!L40),R_Scores!L40^2,"")</f>
        <v/>
      </c>
      <c r="CX40" s="1" t="str">
        <f aca="false">IF(AND(R_Scores!$B40=1,R_Scores!$C40="Tool condition",ISNUMBER(R_Scores!M40)),COUNTIFS(R_Scores!$B$5:$B$44,1,R_Scores!$C$5:$C$44,"Paper condition",R_Scores!M$5:M$44,"&lt;"&amp;R_Scores!M40)+0.5*COUNTIFS(R_Scores!$B$5:$B$44,1,R_Scores!$C$5:$C$44,"Paper condition",R_Scores!M$5:M$44,R_Scores!M40),"")</f>
        <v/>
      </c>
      <c r="CY40" s="1" t="str">
        <f aca="false">IF(AND(R_Scores!$B40=1,OR(R_Scores!$C40="Tool condition",R_Scores!$C40="Paper condition"),ISNUMBER(R_Scores!M40)),(COUNTIFS(R_Scores!$B$5:$B$44,1,R_Scores!$C$5:$C$44,"Tool condition",R_Scores!M$5:M$44,R_Scores!M40)+COUNTIFS(R_Scores!$B$5:$B$44,1,R_Scores!$C$5:$C$44,"Paper condition",R_Scores!M$5:M$44,R_Scores!M40))^2-1,"")</f>
        <v/>
      </c>
      <c r="CZ40" s="1" t="str">
        <f aca="false">IF(AND(R_Scores!$B40=2,R_Scores!$C40="Tool condition",ISNUMBER(R_Scores!M40)),COUNTIFS(R_Scores!$B$5:$B$44,2,R_Scores!$C$5:$C$44,"Paper condition",R_Scores!M$5:M$44,"&lt;"&amp;R_Scores!M40)+0.5*COUNTIFS(R_Scores!$B$5:$B$44,2,R_Scores!$C$5:$C$44,"Paper condition",R_Scores!M$5:M$44,R_Scores!M40),"")</f>
        <v/>
      </c>
      <c r="DA40" s="1" t="str">
        <f aca="false">IF(AND(R_Scores!$B40=2,OR(R_Scores!$C40="Tool condition",R_Scores!$C40="Paper condition"),ISNUMBER(R_Scores!M40)),(COUNTIFS(R_Scores!$B$5:$B$44,2,R_Scores!$C$5:$C$44,"Tool condition",R_Scores!M$5:M$44,R_Scores!M40)+COUNTIFS(R_Scores!$B$5:$B$44,2,R_Scores!$C$5:$C$44,"Paper condition",R_Scores!M$5:M$44,R_Scores!M40))^2-1,"")</f>
        <v/>
      </c>
      <c r="DB40" s="1" t="str">
        <f aca="false">IF(ISNUMBER(R_Scores!M40),R_Scores!M40^2,"")</f>
        <v/>
      </c>
      <c r="DC40" s="1" t="str">
        <f aca="false">IF(AND(R_Scores!$B40=1,R_Scores!$C40="Tool condition",ISNUMBER(R_Scores!N40)),COUNTIFS(R_Scores!$B$5:$B$44,1,R_Scores!$C$5:$C$44,"Paper condition",R_Scores!N$5:N$44,"&lt;"&amp;R_Scores!N40)+0.5*COUNTIFS(R_Scores!$B$5:$B$44,1,R_Scores!$C$5:$C$44,"Paper condition",R_Scores!N$5:N$44,R_Scores!N40),"")</f>
        <v/>
      </c>
      <c r="DD40" s="1" t="str">
        <f aca="false">IF(AND(R_Scores!$B40=1,OR(R_Scores!$C40="Tool condition",R_Scores!$C40="Paper condition"),ISNUMBER(R_Scores!N40)),(COUNTIFS(R_Scores!$B$5:$B$44,1,R_Scores!$C$5:$C$44,"Tool condition",R_Scores!N$5:N$44,R_Scores!N40)+COUNTIFS(R_Scores!$B$5:$B$44,1,R_Scores!$C$5:$C$44,"Paper condition",R_Scores!N$5:N$44,R_Scores!N40))^2-1,"")</f>
        <v/>
      </c>
      <c r="DE40" s="1" t="str">
        <f aca="false">IF(AND(R_Scores!$B40=2,R_Scores!$C40="Tool condition",ISNUMBER(R_Scores!N40)),COUNTIFS(R_Scores!$B$5:$B$44,2,R_Scores!$C$5:$C$44,"Paper condition",R_Scores!N$5:N$44,"&lt;"&amp;R_Scores!N40)+0.5*COUNTIFS(R_Scores!$B$5:$B$44,2,R_Scores!$C$5:$C$44,"Paper condition",R_Scores!N$5:N$44,R_Scores!N40),"")</f>
        <v/>
      </c>
      <c r="DF40" s="1" t="n">
        <f aca="false">IF(AND(R_Scores!$B40=2,OR(R_Scores!$C40="Tool condition",R_Scores!$C40="Paper condition"),ISNUMBER(R_Scores!N40)),(COUNTIFS(R_Scores!$B$5:$B$44,2,R_Scores!$C$5:$C$44,"Tool condition",R_Scores!N$5:N$44,R_Scores!N40)+COUNTIFS(R_Scores!$B$5:$B$44,2,R_Scores!$C$5:$C$44,"Paper condition",R_Scores!N$5:N$44,R_Scores!N40))^2-1,"")</f>
        <v>143</v>
      </c>
      <c r="DG40" s="1" t="n">
        <f aca="false">IF(ISNUMBER(R_Scores!N40),R_Scores!N40^2,"")</f>
        <v>1</v>
      </c>
      <c r="DH40" s="1" t="str">
        <f aca="false">IF(AND(R_Scores!$B40=1,R_Scores!$C40="Tool condition",ISNUMBER(R_Scores!O40)),COUNTIFS(R_Scores!$B$5:$B$44,1,R_Scores!$C$5:$C$44,"Paper condition",R_Scores!O$5:O$44,"&lt;"&amp;R_Scores!O40)+0.5*COUNTIFS(R_Scores!$B$5:$B$44,1,R_Scores!$C$5:$C$44,"Paper condition",R_Scores!O$5:O$44,R_Scores!O40),"")</f>
        <v/>
      </c>
      <c r="DI40" s="1" t="str">
        <f aca="false">IF(AND(R_Scores!$B40=1,OR(R_Scores!$C40="Tool condition",R_Scores!$C40="Paper condition"),ISNUMBER(R_Scores!O40)),(COUNTIFS(R_Scores!$B$5:$B$44,1,R_Scores!$C$5:$C$44,"Tool condition",R_Scores!O$5:O$44,R_Scores!O40)+COUNTIFS(R_Scores!$B$5:$B$44,1,R_Scores!$C$5:$C$44,"Paper condition",R_Scores!O$5:O$44,R_Scores!O40))^2-1,"")</f>
        <v/>
      </c>
      <c r="DJ40" s="1" t="str">
        <f aca="false">IF(AND(R_Scores!$B40=2,R_Scores!$C40="Tool condition",ISNUMBER(R_Scores!O40)),COUNTIFS(R_Scores!$B$5:$B$44,2,R_Scores!$C$5:$C$44,"Paper condition",R_Scores!O$5:O$44,"&lt;"&amp;R_Scores!O40)+0.5*COUNTIFS(R_Scores!$B$5:$B$44,2,R_Scores!$C$5:$C$44,"Paper condition",R_Scores!O$5:O$44,R_Scores!O40),"")</f>
        <v/>
      </c>
      <c r="DK40" s="1" t="n">
        <f aca="false">IF(AND(R_Scores!$B40=2,OR(R_Scores!$C40="Tool condition",R_Scores!$C40="Paper condition"),ISNUMBER(R_Scores!O40)),(COUNTIFS(R_Scores!$B$5:$B$44,2,R_Scores!$C$5:$C$44,"Tool condition",R_Scores!O$5:O$44,R_Scores!O40)+COUNTIFS(R_Scores!$B$5:$B$44,2,R_Scores!$C$5:$C$44,"Paper condition",R_Scores!O$5:O$44,R_Scores!O40))^2-1,"")</f>
        <v>48</v>
      </c>
      <c r="DL40" s="1" t="n">
        <f aca="false">IF(ISNUMBER(R_Scores!O40),R_Scores!O40^2,"")</f>
        <v>0</v>
      </c>
      <c r="DM40" s="1" t="str">
        <f aca="false">IF(AND(R_Scores!$B40=1,R_Scores!$C40="Tool condition",ISNUMBER(R_Scores!P40)),COUNTIFS(R_Scores!$B$5:$B$44,1,R_Scores!$C$5:$C$44,"Paper condition",R_Scores!P$5:P$44,"&lt;"&amp;R_Scores!P40)+0.5*COUNTIFS(R_Scores!$B$5:$B$44,1,R_Scores!$C$5:$C$44,"Paper condition",R_Scores!P$5:P$44,R_Scores!P40),"")</f>
        <v/>
      </c>
      <c r="DN40" s="1" t="str">
        <f aca="false">IF(AND(R_Scores!$B40=1,OR(R_Scores!$C40="Tool condition",R_Scores!$C40="Paper condition"),ISNUMBER(R_Scores!P40)),(COUNTIFS(R_Scores!$B$5:$B$44,1,R_Scores!$C$5:$C$44,"Tool condition",R_Scores!P$5:P$44,R_Scores!P40)+COUNTIFS(R_Scores!$B$5:$B$44,1,R_Scores!$C$5:$C$44,"Paper condition",R_Scores!P$5:P$44,R_Scores!P40))^2-1,"")</f>
        <v/>
      </c>
      <c r="DO40" s="1" t="str">
        <f aca="false">IF(AND(R_Scores!$B40=2,R_Scores!$C40="Tool condition",ISNUMBER(R_Scores!P40)),COUNTIFS(R_Scores!$B$5:$B$44,2,R_Scores!$C$5:$C$44,"Paper condition",R_Scores!P$5:P$44,"&lt;"&amp;R_Scores!P40)+0.5*COUNTIFS(R_Scores!$B$5:$B$44,2,R_Scores!$C$5:$C$44,"Paper condition",R_Scores!P$5:P$44,R_Scores!P40),"")</f>
        <v/>
      </c>
      <c r="DP40" s="1" t="n">
        <f aca="false">IF(AND(R_Scores!$B40=2,OR(R_Scores!$C40="Tool condition",R_Scores!$C40="Paper condition"),ISNUMBER(R_Scores!P40)),(COUNTIFS(R_Scores!$B$5:$B$44,2,R_Scores!$C$5:$C$44,"Tool condition",R_Scores!P$5:P$44,R_Scores!P40)+COUNTIFS(R_Scores!$B$5:$B$44,2,R_Scores!$C$5:$C$44,"Paper condition",R_Scores!P$5:P$44,R_Scores!P40))^2-1,"")</f>
        <v>168</v>
      </c>
      <c r="DQ40" s="1" t="n">
        <f aca="false">IF(ISNUMBER(R_Scores!P40),R_Scores!P40^2,"")</f>
        <v>0</v>
      </c>
      <c r="DR40" s="1" t="str">
        <f aca="false">IF(AND(Scores!$B40=1,Scores!$C40="Tool condition",ISNUMBER(Scores!Q40)),COUNTIFS(Scores!$B$5:$B$44,1,Scores!$C$5:$C$44,"Paper condition",Scores!Q$5:Q$44,"&lt;"&amp;Scores!Q40)+0.5*COUNTIFS(Scores!$B$5:$B$44,1,Scores!$C$5:$C$44,"Paper condition",Scores!Q$5:Q$44,Scores!Q40),"")</f>
        <v/>
      </c>
      <c r="DS40" s="1" t="str">
        <f aca="false">IF(AND(Scores!$B40=1,OR(Scores!$C40="Tool condition",Scores!$C40="Paper condition"),ISNUMBER(Scores!Q40)),(COUNTIFS(Scores!$B$5:$B$44,1,Scores!$C$5:$C$44,"Tool condition",Scores!Q$5:Q$44,Scores!Q40)+COUNTIFS(Scores!$B$5:$B$44,1,Scores!$C$5:$C$44,"Paper condition",Scores!Q$5:Q$44,Scores!Q40))^2-1,"")</f>
        <v/>
      </c>
      <c r="DT40" s="1" t="str">
        <f aca="false">IF(AND(Scores!$B40=2,Scores!$C40="Tool condition",ISNUMBER(Scores!Q40)),COUNTIFS(Scores!$B$5:$B$44,2,Scores!$C$5:$C$44,"Paper condition",Scores!Q$5:Q$44,"&lt;"&amp;Scores!Q40)+0.5*COUNTIFS(Scores!$B$5:$B$44,2,Scores!$C$5:$C$44,"Paper condition",Scores!Q$5:Q$44,Scores!Q40),"")</f>
        <v/>
      </c>
      <c r="DU40" s="1" t="n">
        <f aca="false">IF(AND(Scores!$B40=2,OR(Scores!$C40="Tool condition",Scores!$C40="Paper condition"),ISNUMBER(Scores!Q40)),(COUNTIFS(Scores!$B$5:$B$44,2,Scores!$C$5:$C$44,"Tool condition",Scores!Q$5:Q$44,Scores!Q40)+COUNTIFS(Scores!$B$5:$B$44,2,Scores!$C$5:$C$44,"Paper condition",Scores!Q$5:Q$44,Scores!Q40))^2-1,"")</f>
        <v>8</v>
      </c>
      <c r="DV40" s="1" t="n">
        <f aca="false">IF(ISNUMBER(Scores!Q40),Scores!Q40^2,"")</f>
        <v>256</v>
      </c>
      <c r="DW40" s="1" t="str">
        <f aca="false">IF(AND(Scores!$B40=1,Scores!$C40="Tool condition",ISNUMBER(Scores!R40)),COUNTIFS(Scores!$B$5:$B$44,1,Scores!$C$5:$C$44,"Paper condition",Scores!R$5:R$44,"&lt;"&amp;Scores!R40)+0.5*COUNTIFS(Scores!$B$5:$B$44,1,Scores!$C$5:$C$44,"Paper condition",Scores!R$5:R$44,Scores!R40),"")</f>
        <v/>
      </c>
      <c r="DX40" s="1" t="str">
        <f aca="false">IF(AND(Scores!$B40=1,OR(Scores!$C40="Tool condition",Scores!$C40="Paper condition"),ISNUMBER(Scores!R40)),(COUNTIFS(Scores!$B$5:$B$44,1,Scores!$C$5:$C$44,"Tool condition",Scores!R$5:R$44,Scores!R40)+COUNTIFS(Scores!$B$5:$B$44,1,Scores!$C$5:$C$44,"Paper condition",Scores!R$5:R$44,Scores!R40))^2-1,"")</f>
        <v/>
      </c>
      <c r="DY40" s="1" t="str">
        <f aca="false">IF(AND(Scores!$B40=2,Scores!$C40="Tool condition",ISNUMBER(Scores!R40)),COUNTIFS(Scores!$B$5:$B$44,2,Scores!$C$5:$C$44,"Paper condition",Scores!R$5:R$44,"&lt;"&amp;Scores!R40)+0.5*COUNTIFS(Scores!$B$5:$B$44,2,Scores!$C$5:$C$44,"Paper condition",Scores!R$5:R$44,Scores!R40),"")</f>
        <v/>
      </c>
      <c r="DZ40" s="1" t="n">
        <f aca="false">IF(AND(Scores!$B40=2,OR(Scores!$C40="Tool condition",Scores!$C40="Paper condition"),ISNUMBER(Scores!R40)),(COUNTIFS(Scores!$B$5:$B$44,2,Scores!$C$5:$C$44,"Tool condition",Scores!R$5:R$44,Scores!R40)+COUNTIFS(Scores!$B$5:$B$44,2,Scores!$C$5:$C$44,"Paper condition",Scores!R$5:R$44,Scores!R40))^2-1,"")</f>
        <v>3</v>
      </c>
      <c r="EA40" s="1" t="n">
        <f aca="false">IF(ISNUMBER(Scores!R40),Scores!R40^2,"")</f>
        <v>64</v>
      </c>
      <c r="EB40" s="1" t="str">
        <f aca="false">IF(AND(Scores!$B40=1,Scores!$C40="Tool condition",ISNUMBER(Scores!S40)),COUNTIFS(Scores!$B$5:$B$44,1,Scores!$C$5:$C$44,"Paper condition",Scores!S$5:S$44,"&lt;"&amp;Scores!S40)+0.5*COUNTIFS(Scores!$B$5:$B$44,1,Scores!$C$5:$C$44,"Paper condition",Scores!S$5:S$44,Scores!S40),"")</f>
        <v/>
      </c>
      <c r="EC40" s="1" t="str">
        <f aca="false">IF(AND(Scores!$B40=1,OR(Scores!$C40="Tool condition",Scores!$C40="Paper condition"),ISNUMBER(Scores!S40)),(COUNTIFS(Scores!$B$5:$B$44,1,Scores!$C$5:$C$44,"Tool condition",Scores!S$5:S$44,Scores!S40)+COUNTIFS(Scores!$B$5:$B$44,1,Scores!$C$5:$C$44,"Paper condition",Scores!S$5:S$44,Scores!S40))^2-1,"")</f>
        <v/>
      </c>
      <c r="ED40" s="1" t="str">
        <f aca="false">IF(AND(Scores!$B40=2,Scores!$C40="Tool condition",ISNUMBER(Scores!S40)),COUNTIFS(Scores!$B$5:$B$44,2,Scores!$C$5:$C$44,"Paper condition",Scores!S$5:S$44,"&lt;"&amp;Scores!S40)+0.5*COUNTIFS(Scores!$B$5:$B$44,2,Scores!$C$5:$C$44,"Paper condition",Scores!S$5:S$44,Scores!S40),"")</f>
        <v/>
      </c>
      <c r="EE40" s="1" t="n">
        <f aca="false">IF(AND(Scores!$B40=2,OR(Scores!$C40="Tool condition",Scores!$C40="Paper condition"),ISNUMBER(Scores!S40)),(COUNTIFS(Scores!$B$5:$B$44,2,Scores!$C$5:$C$44,"Tool condition",Scores!S$5:S$44,Scores!S40)+COUNTIFS(Scores!$B$5:$B$44,2,Scores!$C$5:$C$44,"Paper condition",Scores!S$5:S$44,Scores!S40))^2-1,"")</f>
        <v>63</v>
      </c>
      <c r="EF40" s="1" t="n">
        <f aca="false">IF(ISNUMBER(Scores!S40),Scores!S40^2,"")</f>
        <v>64</v>
      </c>
      <c r="EG40" s="1" t="str">
        <f aca="false">IF(AND(Scores!$B40=1,Scores!$C40="Tool condition",ISNUMBER(Scores!T40)),COUNTIFS(Scores!$B$5:$B$44,1,Scores!$C$5:$C$44,"Paper condition",Scores!T$5:T$44,"&lt;"&amp;Scores!T40)+0.5*COUNTIFS(Scores!$B$5:$B$44,1,Scores!$C$5:$C$44,"Paper condition",Scores!T$5:T$44,Scores!T40),"")</f>
        <v/>
      </c>
      <c r="EH40" s="1" t="str">
        <f aca="false">IF(AND(Scores!$B40=1,OR(Scores!$C40="Tool condition",Scores!$C40="Paper condition"),ISNUMBER(Scores!T40)),(COUNTIFS(Scores!$B$5:$B$44,1,Scores!$C$5:$C$44,"Tool condition",Scores!T$5:T$44,Scores!T40)+COUNTIFS(Scores!$B$5:$B$44,1,Scores!$C$5:$C$44,"Paper condition",Scores!T$5:T$44,Scores!T40))^2-1,"")</f>
        <v/>
      </c>
      <c r="EI40" s="1" t="str">
        <f aca="false">IF(AND(Scores!$B40=2,Scores!$C40="Tool condition",ISNUMBER(Scores!T40)),COUNTIFS(Scores!$B$5:$B$44,2,Scores!$C$5:$C$44,"Paper condition",Scores!T$5:T$44,"&lt;"&amp;Scores!T40)+0.5*COUNTIFS(Scores!$B$5:$B$44,2,Scores!$C$5:$C$44,"Paper condition",Scores!T$5:T$44,Scores!T40),"")</f>
        <v/>
      </c>
      <c r="EJ40" s="1" t="n">
        <f aca="false">IF(AND(Scores!$B40=2,OR(Scores!$C40="Tool condition",Scores!$C40="Paper condition"),ISNUMBER(Scores!T40)),(COUNTIFS(Scores!$B$5:$B$44,2,Scores!$C$5:$C$44,"Tool condition",Scores!T$5:T$44,Scores!T40)+COUNTIFS(Scores!$B$5:$B$44,2,Scores!$C$5:$C$44,"Paper condition",Scores!T$5:T$44,Scores!T40))^2-1,"")</f>
        <v>8</v>
      </c>
      <c r="EK40" s="1" t="n">
        <f aca="false">IF(ISNUMBER(Scores!T40),Scores!T40^2,"")</f>
        <v>64</v>
      </c>
      <c r="EL40" s="1" t="str">
        <f aca="false">IF(AND(Scores!$B40=1,Scores!$C40="Tool condition",ISNUMBER(Scores!U40)),COUNTIFS(Scores!$B$5:$B$44,1,Scores!$C$5:$C$44,"Paper condition",Scores!U$5:U$44,"&lt;"&amp;Scores!U40)+0.5*COUNTIFS(Scores!$B$5:$B$44,1,Scores!$C$5:$C$44,"Paper condition",Scores!U$5:U$44,Scores!U40),"")</f>
        <v/>
      </c>
      <c r="EM40" s="1" t="str">
        <f aca="false">IF(AND(Scores!$B40=1,OR(Scores!$C40="Tool condition",Scores!$C40="Paper condition"),ISNUMBER(Scores!U40)),(COUNTIFS(Scores!$B$5:$B$44,1,Scores!$C$5:$C$44,"Tool condition",Scores!U$5:U$44,Scores!U40)+COUNTIFS(Scores!$B$5:$B$44,1,Scores!$C$5:$C$44,"Paper condition",Scores!U$5:U$44,Scores!U40))^2-1,"")</f>
        <v/>
      </c>
      <c r="EN40" s="1" t="str">
        <f aca="false">IF(AND(Scores!$B40=2,Scores!$C40="Tool condition",ISNUMBER(Scores!U40)),COUNTIFS(Scores!$B$5:$B$44,2,Scores!$C$5:$C$44,"Paper condition",Scores!U$5:U$44,"&lt;"&amp;Scores!U40)+0.5*COUNTIFS(Scores!$B$5:$B$44,2,Scores!$C$5:$C$44,"Paper condition",Scores!U$5:U$44,Scores!U40),"")</f>
        <v/>
      </c>
      <c r="EO40" s="1" t="n">
        <f aca="false">IF(AND(Scores!$B40=2,OR(Scores!$C40="Tool condition",Scores!$C40="Paper condition"),ISNUMBER(Scores!U40)),(COUNTIFS(Scores!$B$5:$B$44,2,Scores!$C$5:$C$44,"Tool condition",Scores!U$5:U$44,Scores!U40)+COUNTIFS(Scores!$B$5:$B$44,2,Scores!$C$5:$C$44,"Paper condition",Scores!U$5:U$44,Scores!U40))^2-1,"")</f>
        <v>35</v>
      </c>
      <c r="EP40" s="1" t="n">
        <f aca="false">IF(ISNUMBER(Scores!U40),Scores!U40^2,"")</f>
        <v>9</v>
      </c>
      <c r="EQ40" s="1" t="str">
        <f aca="false">IF(AND(Scores!$B40=1,Scores!$C40="Tool condition",ISNUMBER(Scores!V40)),COUNTIFS(Scores!$B$5:$B$44,1,Scores!$C$5:$C$44,"Paper condition",Scores!V$5:V$44,"&lt;"&amp;Scores!V40)+0.5*COUNTIFS(Scores!$B$5:$B$44,1,Scores!$C$5:$C$44,"Paper condition",Scores!V$5:V$44,Scores!V40),"")</f>
        <v/>
      </c>
      <c r="ER40" s="1" t="str">
        <f aca="false">IF(AND(Scores!$B40=1,OR(Scores!$C40="Tool condition",Scores!$C40="Paper condition"),ISNUMBER(Scores!V40)),(COUNTIFS(Scores!$B$5:$B$44,1,Scores!$C$5:$C$44,"Tool condition",Scores!V$5:V$44,Scores!V40)+COUNTIFS(Scores!$B$5:$B$44,1,Scores!$C$5:$C$44,"Paper condition",Scores!V$5:V$44,Scores!V40))^2-1,"")</f>
        <v/>
      </c>
      <c r="ES40" s="1" t="str">
        <f aca="false">IF(AND(Scores!$B40=2,Scores!$C40="Tool condition",ISNUMBER(Scores!V40)),COUNTIFS(Scores!$B$5:$B$44,2,Scores!$C$5:$C$44,"Paper condition",Scores!V$5:V$44,"&lt;"&amp;Scores!V40)+0.5*COUNTIFS(Scores!$B$5:$B$44,2,Scores!$C$5:$C$44,"Paper condition",Scores!V$5:V$44,Scores!V40),"")</f>
        <v/>
      </c>
      <c r="ET40" s="1" t="n">
        <f aca="false">IF(AND(Scores!$B40=2,OR(Scores!$C40="Tool condition",Scores!$C40="Paper condition"),ISNUMBER(Scores!V40)),(COUNTIFS(Scores!$B$5:$B$44,2,Scores!$C$5:$C$44,"Tool condition",Scores!V$5:V$44,Scores!V40)+COUNTIFS(Scores!$B$5:$B$44,2,Scores!$C$5:$C$44,"Paper condition",Scores!V$5:V$44,Scores!V40))^2-1,"")</f>
        <v>15</v>
      </c>
      <c r="EU40" s="1" t="n">
        <f aca="false">IF(ISNUMBER(Scores!V40),Scores!V40^2,"")</f>
        <v>25</v>
      </c>
      <c r="EV40" s="1" t="str">
        <f aca="false">IF(AND(R_Scores!$B40=1,R_Scores!$C40="Tool condition",ISNUMBER(R_Scores!Q40)),COUNTIFS(R_Scores!$B$5:$B$44,1,R_Scores!$C$5:$C$44,"Paper condition",R_Scores!Q$5:Q$44,"&lt;"&amp;R_Scores!Q40)+0.5*COUNTIFS(R_Scores!$B$5:$B$44,1,R_Scores!$C$5:$C$44,"Paper condition",R_Scores!Q$5:Q$44,R_Scores!Q40),"")</f>
        <v/>
      </c>
      <c r="EW40" s="1" t="str">
        <f aca="false">IF(AND(R_Scores!$B40=1,OR(R_Scores!$C40="Tool condition",R_Scores!$C40="Paper condition"),ISNUMBER(R_Scores!Q40)),(COUNTIFS(R_Scores!$B$5:$B$44,1,R_Scores!$C$5:$C$44,"Tool condition",R_Scores!Q$5:Q$44,R_Scores!Q40)+COUNTIFS(R_Scores!$B$5:$B$44,1,R_Scores!$C$5:$C$44,"Paper condition",R_Scores!Q$5:Q$44,R_Scores!Q40))^2-1,"")</f>
        <v/>
      </c>
      <c r="EX40" s="1" t="str">
        <f aca="false">IF(AND(R_Scores!$B40=2,R_Scores!$C40="Tool condition",ISNUMBER(R_Scores!Q40)),COUNTIFS(R_Scores!$B$5:$B$44,2,R_Scores!$C$5:$C$44,"Paper condition",R_Scores!Q$5:Q$44,"&lt;"&amp;R_Scores!Q40)+0.5*COUNTIFS(R_Scores!$B$5:$B$44,2,R_Scores!$C$5:$C$44,"Paper condition",R_Scores!Q$5:Q$44,R_Scores!Q40),"")</f>
        <v/>
      </c>
      <c r="EY40" s="1" t="n">
        <f aca="false">IF(AND(R_Scores!$B40=2,OR(R_Scores!$C40="Tool condition",R_Scores!$C40="Paper condition"),ISNUMBER(R_Scores!Q40)),(COUNTIFS(R_Scores!$B$5:$B$44,2,R_Scores!$C$5:$C$44,"Tool condition",R_Scores!Q$5:Q$44,R_Scores!Q40)+COUNTIFS(R_Scores!$B$5:$B$44,2,R_Scores!$C$5:$C$44,"Paper condition",R_Scores!Q$5:Q$44,R_Scores!Q40))^2-1,"")</f>
        <v>8</v>
      </c>
      <c r="EZ40" s="1" t="n">
        <f aca="false">IF(ISNUMBER(R_Scores!Q40),R_Scores!Q40^2,"")</f>
        <v>16</v>
      </c>
      <c r="FA40" s="1" t="str">
        <f aca="false">IF(AND(R_Scores!$B40=1,R_Scores!$C40="Tool condition",ISNUMBER(R_Scores!R40)),COUNTIFS(R_Scores!$B$5:$B$44,1,R_Scores!$C$5:$C$44,"Paper condition",R_Scores!R$5:R$44,"&lt;"&amp;R_Scores!R40)+0.5*COUNTIFS(R_Scores!$B$5:$B$44,1,R_Scores!$C$5:$C$44,"Paper condition",R_Scores!R$5:R$44,R_Scores!R40),"")</f>
        <v/>
      </c>
      <c r="FB40" s="1" t="str">
        <f aca="false">IF(AND(R_Scores!$B40=1,OR(R_Scores!$C40="Tool condition",R_Scores!$C40="Paper condition"),ISNUMBER(R_Scores!R40)),(COUNTIFS(R_Scores!$B$5:$B$44,1,R_Scores!$C$5:$C$44,"Tool condition",R_Scores!R$5:R$44,R_Scores!R40)+COUNTIFS(R_Scores!$B$5:$B$44,1,R_Scores!$C$5:$C$44,"Paper condition",R_Scores!R$5:R$44,R_Scores!R40))^2-1,"")</f>
        <v/>
      </c>
      <c r="FC40" s="1" t="str">
        <f aca="false">IF(AND(R_Scores!$B40=2,R_Scores!$C40="Tool condition",ISNUMBER(R_Scores!R40)),COUNTIFS(R_Scores!$B$5:$B$44,2,R_Scores!$C$5:$C$44,"Paper condition",R_Scores!R$5:R$44,"&lt;"&amp;R_Scores!R40)+0.5*COUNTIFS(R_Scores!$B$5:$B$44,2,R_Scores!$C$5:$C$44,"Paper condition",R_Scores!R$5:R$44,R_Scores!R40),"")</f>
        <v/>
      </c>
      <c r="FD40" s="1" t="n">
        <f aca="false">IF(AND(R_Scores!$B40=2,OR(R_Scores!$C40="Tool condition",R_Scores!$C40="Paper condition"),ISNUMBER(R_Scores!R40)),(COUNTIFS(R_Scores!$B$5:$B$44,2,R_Scores!$C$5:$C$44,"Tool condition",R_Scores!R$5:R$44,R_Scores!R40)+COUNTIFS(R_Scores!$B$5:$B$44,2,R_Scores!$C$5:$C$44,"Paper condition",R_Scores!R$5:R$44,R_Scores!R40))^2-1,"")</f>
        <v>0</v>
      </c>
      <c r="FE40" s="1" t="n">
        <f aca="false">IF(ISNUMBER(R_Scores!R40),R_Scores!R40^2,"")</f>
        <v>400</v>
      </c>
    </row>
    <row r="41" customFormat="false" ht="14.25" hidden="false" customHeight="true" outlineLevel="0" collapsed="false">
      <c r="B41" s="1" t="str">
        <f aca="false">IF(AND(Scores!$B41=1,Scores!$C41="Tool condition",ISNUMBER(Scores!E41)),COUNTIFS(Scores!$B$5:$B$44,1,Scores!$C$5:$C$44,"Paper condition",Scores!E$5:E$44,"&lt;"&amp;Scores!E41)+0.5*COUNTIFS(Scores!$B$5:$B$44,1,Scores!$C$5:$C$44,"Paper condition",Scores!E$5:E$44,Scores!E41),"")</f>
        <v/>
      </c>
      <c r="C41" s="1" t="str">
        <f aca="false">IF(AND(Scores!$B41=1,OR(Scores!$C41="Tool condition",Scores!$C41="Paper condition"),ISNUMBER(Scores!E41)),(COUNTIFS(Scores!$B$5:$B$44,1,Scores!$C$5:$C$44,"Tool condition",Scores!E$5:E$44,Scores!E41)+COUNTIFS(Scores!$B$5:$B$44,1,Scores!$C$5:$C$44,"Paper condition",Scores!E$5:E$44,Scores!E41))^2-1,"")</f>
        <v/>
      </c>
      <c r="D41" s="1" t="str">
        <f aca="false">IF(AND(Scores!$B41=2,Scores!$C41="Tool condition",ISNUMBER(Scores!E41)),COUNTIFS(Scores!$B$5:$B$44,2,Scores!$C$5:$C$44,"Paper condition",Scores!E$5:E$44,"&lt;"&amp;Scores!E41)+0.5*COUNTIFS(Scores!$B$5:$B$44,2,Scores!$C$5:$C$44,"Paper condition",Scores!E$5:E$44,Scores!E41),"")</f>
        <v/>
      </c>
      <c r="E41" s="1" t="n">
        <f aca="false">IF(AND(Scores!$B41=2,OR(Scores!$C41="Tool condition",Scores!$C41="Paper condition"),ISNUMBER(Scores!E41)),(COUNTIFS(Scores!$B$5:$B$44,2,Scores!$C$5:$C$44,"Tool condition",Scores!E$5:E$44,Scores!E41)+COUNTIFS(Scores!$B$5:$B$44,2,Scores!$C$5:$C$44,"Paper condition",Scores!E$5:E$44,Scores!E41))^2-1,"")</f>
        <v>63</v>
      </c>
      <c r="F41" s="1" t="n">
        <f aca="false">IF(ISNUMBER(Scores!E41),Scores!E41^2,"")</f>
        <v>1</v>
      </c>
      <c r="G41" s="1" t="str">
        <f aca="false">IF(AND(Scores!$B41=1,Scores!$C41="Tool condition",ISNUMBER(Scores!F41)),COUNTIFS(Scores!$B$5:$B$44,1,Scores!$C$5:$C$44,"Paper condition",Scores!F$5:F$44,"&lt;"&amp;Scores!F41)+0.5*COUNTIFS(Scores!$B$5:$B$44,1,Scores!$C$5:$C$44,"Paper condition",Scores!F$5:F$44,Scores!F41),"")</f>
        <v/>
      </c>
      <c r="H41" s="1" t="str">
        <f aca="false">IF(AND(Scores!$B41=1,OR(Scores!$C41="Tool condition",Scores!$C41="Paper condition"),ISNUMBER(Scores!F41)),(COUNTIFS(Scores!$B$5:$B$44,1,Scores!$C$5:$C$44,"Tool condition",Scores!F$5:F$44,Scores!F41)+COUNTIFS(Scores!$B$5:$B$44,1,Scores!$C$5:$C$44,"Paper condition",Scores!F$5:F$44,Scores!F41))^2-1,"")</f>
        <v/>
      </c>
      <c r="I41" s="1" t="str">
        <f aca="false">IF(AND(Scores!$B41=2,Scores!$C41="Tool condition",ISNUMBER(Scores!F41)),COUNTIFS(Scores!$B$5:$B$44,2,Scores!$C$5:$C$44,"Paper condition",Scores!F$5:F$44,"&lt;"&amp;Scores!F41)+0.5*COUNTIFS(Scores!$B$5:$B$44,2,Scores!$C$5:$C$44,"Paper condition",Scores!F$5:F$44,Scores!F41),"")</f>
        <v/>
      </c>
      <c r="J41" s="1" t="n">
        <f aca="false">IF(AND(Scores!$B41=2,OR(Scores!$C41="Tool condition",Scores!$C41="Paper condition"),ISNUMBER(Scores!F41)),(COUNTIFS(Scores!$B$5:$B$44,2,Scores!$C$5:$C$44,"Tool condition",Scores!F$5:F$44,Scores!F41)+COUNTIFS(Scores!$B$5:$B$44,2,Scores!$C$5:$C$44,"Paper condition",Scores!F$5:F$44,Scores!F41))^2-1,"")</f>
        <v>63</v>
      </c>
      <c r="K41" s="1" t="n">
        <f aca="false">IF(ISNUMBER(Scores!F41),Scores!F41^2,"")</f>
        <v>1</v>
      </c>
      <c r="L41" s="1" t="str">
        <f aca="false">IF(AND(Scores!$B41=1,Scores!$C41="Tool condition",ISNUMBER(Scores!G41)),COUNTIFS(Scores!$B$5:$B$44,1,Scores!$C$5:$C$44,"Paper condition",Scores!G$5:G$44,"&lt;"&amp;Scores!G41)+0.5*COUNTIFS(Scores!$B$5:$B$44,1,Scores!$C$5:$C$44,"Paper condition",Scores!G$5:G$44,Scores!G41),"")</f>
        <v/>
      </c>
      <c r="M41" s="1" t="str">
        <f aca="false">IF(AND(Scores!$B41=1,OR(Scores!$C41="Tool condition",Scores!$C41="Paper condition"),ISNUMBER(Scores!G41)),(COUNTIFS(Scores!$B$5:$B$44,1,Scores!$C$5:$C$44,"Tool condition",Scores!G$5:G$44,Scores!G41)+COUNTIFS(Scores!$B$5:$B$44,1,Scores!$C$5:$C$44,"Paper condition",Scores!G$5:G$44,Scores!G41))^2-1,"")</f>
        <v/>
      </c>
      <c r="N41" s="1" t="str">
        <f aca="false">IF(AND(Scores!$B41=2,Scores!$C41="Tool condition",ISNUMBER(Scores!G41)),COUNTIFS(Scores!$B$5:$B$44,2,Scores!$C$5:$C$44,"Paper condition",Scores!G$5:G$44,"&lt;"&amp;Scores!G41)+0.5*COUNTIFS(Scores!$B$5:$B$44,2,Scores!$C$5:$C$44,"Paper condition",Scores!G$5:G$44,Scores!G41),"")</f>
        <v/>
      </c>
      <c r="O41" s="1" t="n">
        <f aca="false">IF(AND(Scores!$B41=2,OR(Scores!$C41="Tool condition",Scores!$C41="Paper condition"),ISNUMBER(Scores!G41)),(COUNTIFS(Scores!$B$5:$B$44,2,Scores!$C$5:$C$44,"Tool condition",Scores!G$5:G$44,Scores!G41)+COUNTIFS(Scores!$B$5:$B$44,2,Scores!$C$5:$C$44,"Paper condition",Scores!G$5:G$44,Scores!G41))^2-1,"")</f>
        <v>35</v>
      </c>
      <c r="P41" s="1" t="n">
        <f aca="false">IF(ISNUMBER(Scores!G41),Scores!G41^2,"")</f>
        <v>1</v>
      </c>
      <c r="Q41" s="1" t="str">
        <f aca="false">IF(AND(Scores!$B41=1,Scores!$C41="Tool condition",ISNUMBER(Scores!H41)),COUNTIFS(Scores!$B$5:$B$44,1,Scores!$C$5:$C$44,"Paper condition",Scores!H$5:H$44,"&lt;"&amp;Scores!H41)+0.5*COUNTIFS(Scores!$B$5:$B$44,1,Scores!$C$5:$C$44,"Paper condition",Scores!H$5:H$44,Scores!H41),"")</f>
        <v/>
      </c>
      <c r="R41" s="1" t="str">
        <f aca="false">IF(AND(Scores!$B41=1,OR(Scores!$C41="Tool condition",Scores!$C41="Paper condition"),ISNUMBER(Scores!H41)),(COUNTIFS(Scores!$B$5:$B$44,1,Scores!$C$5:$C$44,"Tool condition",Scores!H$5:H$44,Scores!H41)+COUNTIFS(Scores!$B$5:$B$44,1,Scores!$C$5:$C$44,"Paper condition",Scores!H$5:H$44,Scores!H41))^2-1,"")</f>
        <v/>
      </c>
      <c r="S41" s="1" t="str">
        <f aca="false">IF(AND(Scores!$B41=2,Scores!$C41="Tool condition",ISNUMBER(Scores!H41)),COUNTIFS(Scores!$B$5:$B$44,2,Scores!$C$5:$C$44,"Paper condition",Scores!H$5:H$44,"&lt;"&amp;Scores!H41)+0.5*COUNTIFS(Scores!$B$5:$B$44,2,Scores!$C$5:$C$44,"Paper condition",Scores!H$5:H$44,Scores!H41),"")</f>
        <v/>
      </c>
      <c r="T41" s="1" t="n">
        <f aca="false">IF(AND(Scores!$B41=2,OR(Scores!$C41="Tool condition",Scores!$C41="Paper condition"),ISNUMBER(Scores!H41)),(COUNTIFS(Scores!$B$5:$B$44,2,Scores!$C$5:$C$44,"Tool condition",Scores!H$5:H$44,Scores!H41)+COUNTIFS(Scores!$B$5:$B$44,2,Scores!$C$5:$C$44,"Paper condition",Scores!H$5:H$44,Scores!H41))^2-1,"")</f>
        <v>99</v>
      </c>
      <c r="U41" s="1" t="n">
        <f aca="false">IF(ISNUMBER(Scores!H41),Scores!H41^2,"")</f>
        <v>1</v>
      </c>
      <c r="V41" s="1" t="str">
        <f aca="false">IF(AND(Scores!$B41=1,Scores!$C41="Tool condition",ISNUMBER(Scores!I41)),COUNTIFS(Scores!$B$5:$B$44,1,Scores!$C$5:$C$44,"Paper condition",Scores!I$5:I$44,"&lt;"&amp;Scores!I41)+0.5*COUNTIFS(Scores!$B$5:$B$44,1,Scores!$C$5:$C$44,"Paper condition",Scores!I$5:I$44,Scores!I41),"")</f>
        <v/>
      </c>
      <c r="W41" s="1" t="str">
        <f aca="false">IF(AND(Scores!$B41=1,OR(Scores!$C41="Tool condition",Scores!$C41="Paper condition"),ISNUMBER(Scores!I41)),(COUNTIFS(Scores!$B$5:$B$44,1,Scores!$C$5:$C$44,"Tool condition",Scores!I$5:I$44,Scores!I41)+COUNTIFS(Scores!$B$5:$B$44,1,Scores!$C$5:$C$44,"Paper condition",Scores!I$5:I$44,Scores!I41))^2-1,"")</f>
        <v/>
      </c>
      <c r="X41" s="1" t="str">
        <f aca="false">IF(AND(Scores!$B41=2,Scores!$C41="Tool condition",ISNUMBER(Scores!I41)),COUNTIFS(Scores!$B$5:$B$44,2,Scores!$C$5:$C$44,"Paper condition",Scores!I$5:I$44,"&lt;"&amp;Scores!I41)+0.5*COUNTIFS(Scores!$B$5:$B$44,2,Scores!$C$5:$C$44,"Paper condition",Scores!I$5:I$44,Scores!I41),"")</f>
        <v/>
      </c>
      <c r="Y41" s="1" t="n">
        <f aca="false">IF(AND(Scores!$B41=2,OR(Scores!$C41="Tool condition",Scores!$C41="Paper condition"),ISNUMBER(Scores!I41)),(COUNTIFS(Scores!$B$5:$B$44,2,Scores!$C$5:$C$44,"Tool condition",Scores!I$5:I$44,Scores!I41)+COUNTIFS(Scores!$B$5:$B$44,2,Scores!$C$5:$C$44,"Paper condition",Scores!I$5:I$44,Scores!I41))^2-1,"")</f>
        <v>80</v>
      </c>
      <c r="Z41" s="1" t="n">
        <f aca="false">IF(ISNUMBER(Scores!I41),Scores!I41^2,"")</f>
        <v>1</v>
      </c>
      <c r="AA41" s="1" t="str">
        <f aca="false">IF(AND(Scores!$B41=1,Scores!$C41="Tool condition",ISNUMBER(Scores!J41)),COUNTIFS(Scores!$B$5:$B$44,1,Scores!$C$5:$C$44,"Paper condition",Scores!J$5:J$44,"&lt;"&amp;Scores!J41)+0.5*COUNTIFS(Scores!$B$5:$B$44,1,Scores!$C$5:$C$44,"Paper condition",Scores!J$5:J$44,Scores!J41),"")</f>
        <v/>
      </c>
      <c r="AB41" s="1" t="str">
        <f aca="false">IF(AND(Scores!$B41=1,OR(Scores!$C41="Tool condition",Scores!$C41="Paper condition"),ISNUMBER(Scores!J41)),(COUNTIFS(Scores!$B$5:$B$44,1,Scores!$C$5:$C$44,"Tool condition",Scores!J$5:J$44,Scores!J41)+COUNTIFS(Scores!$B$5:$B$44,1,Scores!$C$5:$C$44,"Paper condition",Scores!J$5:J$44,Scores!J41))^2-1,"")</f>
        <v/>
      </c>
      <c r="AC41" s="1" t="str">
        <f aca="false">IF(AND(Scores!$B41=2,Scores!$C41="Tool condition",ISNUMBER(Scores!J41)),COUNTIFS(Scores!$B$5:$B$44,2,Scores!$C$5:$C$44,"Paper condition",Scores!J$5:J$44,"&lt;"&amp;Scores!J41)+0.5*COUNTIFS(Scores!$B$5:$B$44,2,Scores!$C$5:$C$44,"Paper condition",Scores!J$5:J$44,Scores!J41),"")</f>
        <v/>
      </c>
      <c r="AD41" s="1" t="n">
        <f aca="false">IF(AND(Scores!$B41=2,OR(Scores!$C41="Tool condition",Scores!$C41="Paper condition"),ISNUMBER(Scores!J41)),(COUNTIFS(Scores!$B$5:$B$44,2,Scores!$C$5:$C$44,"Tool condition",Scores!J$5:J$44,Scores!J41)+COUNTIFS(Scores!$B$5:$B$44,2,Scores!$C$5:$C$44,"Paper condition",Scores!J$5:J$44,Scores!J41))^2-1,"")</f>
        <v>80</v>
      </c>
      <c r="AE41" s="1" t="n">
        <f aca="false">IF(ISNUMBER(Scores!J41),Scores!J41^2,"")</f>
        <v>1</v>
      </c>
      <c r="AF41" s="1" t="str">
        <f aca="false">IF(AND(Scores!$B41=1,Scores!$C41="Tool condition",ISNUMBER(Scores!K41)),COUNTIFS(Scores!$B$5:$B$44,1,Scores!$C$5:$C$44,"Paper condition",Scores!K$5:K$44,"&lt;"&amp;Scores!K41)+0.5*COUNTIFS(Scores!$B$5:$B$44,1,Scores!$C$5:$C$44,"Paper condition",Scores!K$5:K$44,Scores!K41),"")</f>
        <v/>
      </c>
      <c r="AG41" s="1" t="str">
        <f aca="false">IF(AND(Scores!$B41=1,OR(Scores!$C41="Tool condition",Scores!$C41="Paper condition"),ISNUMBER(Scores!K41)),(COUNTIFS(Scores!$B$5:$B$44,1,Scores!$C$5:$C$44,"Tool condition",Scores!K$5:K$44,Scores!K41)+COUNTIFS(Scores!$B$5:$B$44,1,Scores!$C$5:$C$44,"Paper condition",Scores!K$5:K$44,Scores!K41))^2-1,"")</f>
        <v/>
      </c>
      <c r="AH41" s="1" t="str">
        <f aca="false">IF(AND(Scores!$B41=2,Scores!$C41="Tool condition",ISNUMBER(Scores!K41)),COUNTIFS(Scores!$B$5:$B$44,2,Scores!$C$5:$C$44,"Paper condition",Scores!K$5:K$44,"&lt;"&amp;Scores!K41)+0.5*COUNTIFS(Scores!$B$5:$B$44,2,Scores!$C$5:$C$44,"Paper condition",Scores!K$5:K$44,Scores!K41),"")</f>
        <v/>
      </c>
      <c r="AI41" s="1" t="n">
        <f aca="false">IF(AND(Scores!$B41=2,OR(Scores!$C41="Tool condition",Scores!$C41="Paper condition"),ISNUMBER(Scores!K41)),(COUNTIFS(Scores!$B$5:$B$44,2,Scores!$C$5:$C$44,"Tool condition",Scores!K$5:K$44,Scores!K41)+COUNTIFS(Scores!$B$5:$B$44,2,Scores!$C$5:$C$44,"Paper condition",Scores!K$5:K$44,Scores!K41))^2-1,"")</f>
        <v>120</v>
      </c>
      <c r="AJ41" s="1" t="n">
        <f aca="false">IF(ISNUMBER(Scores!K41),Scores!K41^2,"")</f>
        <v>1</v>
      </c>
      <c r="AK41" s="1" t="str">
        <f aca="false">IF(AND(Scores!$B41=1,Scores!$C41="Tool condition",ISNUMBER(Scores!L41)),COUNTIFS(Scores!$B$5:$B$44,1,Scores!$C$5:$C$44,"Paper condition",Scores!L$5:L$44,"&lt;"&amp;Scores!L41)+0.5*COUNTIFS(Scores!$B$5:$B$44,1,Scores!$C$5:$C$44,"Paper condition",Scores!L$5:L$44,Scores!L41),"")</f>
        <v/>
      </c>
      <c r="AL41" s="1" t="str">
        <f aca="false">IF(AND(Scores!$B41=1,OR(Scores!$C41="Tool condition",Scores!$C41="Paper condition"),ISNUMBER(Scores!L41)),(COUNTIFS(Scores!$B$5:$B$44,1,Scores!$C$5:$C$44,"Tool condition",Scores!L$5:L$44,Scores!L41)+COUNTIFS(Scores!$B$5:$B$44,1,Scores!$C$5:$C$44,"Paper condition",Scores!L$5:L$44,Scores!L41))^2-1,"")</f>
        <v/>
      </c>
      <c r="AM41" s="1" t="str">
        <f aca="false">IF(AND(Scores!$B41=2,Scores!$C41="Tool condition",ISNUMBER(Scores!L41)),COUNTIFS(Scores!$B$5:$B$44,2,Scores!$C$5:$C$44,"Paper condition",Scores!L$5:L$44,"&lt;"&amp;Scores!L41)+0.5*COUNTIFS(Scores!$B$5:$B$44,2,Scores!$C$5:$C$44,"Paper condition",Scores!L$5:L$44,Scores!L41),"")</f>
        <v/>
      </c>
      <c r="AN41" s="1" t="n">
        <f aca="false">IF(AND(Scores!$B41=2,OR(Scores!$C41="Tool condition",Scores!$C41="Paper condition"),ISNUMBER(Scores!L41)),(COUNTIFS(Scores!$B$5:$B$44,2,Scores!$C$5:$C$44,"Tool condition",Scores!L$5:L$44,Scores!L41)+COUNTIFS(Scores!$B$5:$B$44,2,Scores!$C$5:$C$44,"Paper condition",Scores!L$5:L$44,Scores!L41))^2-1,"")</f>
        <v>99</v>
      </c>
      <c r="AO41" s="1" t="n">
        <f aca="false">IF(ISNUMBER(Scores!L41),Scores!L41^2,"")</f>
        <v>4</v>
      </c>
      <c r="AP41" s="1" t="str">
        <f aca="false">IF(AND(Scores!$B41=1,Scores!$C41="Tool condition",ISNUMBER(Scores!M41)),COUNTIFS(Scores!$B$5:$B$44,1,Scores!$C$5:$C$44,"Paper condition",Scores!M$5:M$44,"&lt;"&amp;Scores!M41)+0.5*COUNTIFS(Scores!$B$5:$B$44,1,Scores!$C$5:$C$44,"Paper condition",Scores!M$5:M$44,Scores!M41),"")</f>
        <v/>
      </c>
      <c r="AQ41" s="1" t="str">
        <f aca="false">IF(AND(Scores!$B41=1,OR(Scores!$C41="Tool condition",Scores!$C41="Paper condition"),ISNUMBER(Scores!M41)),(COUNTIFS(Scores!$B$5:$B$44,1,Scores!$C$5:$C$44,"Tool condition",Scores!M$5:M$44,Scores!M41)+COUNTIFS(Scores!$B$5:$B$44,1,Scores!$C$5:$C$44,"Paper condition",Scores!M$5:M$44,Scores!M41))^2-1,"")</f>
        <v/>
      </c>
      <c r="AR41" s="1" t="str">
        <f aca="false">IF(AND(Scores!$B41=2,Scores!$C41="Tool condition",ISNUMBER(Scores!M41)),COUNTIFS(Scores!$B$5:$B$44,2,Scores!$C$5:$C$44,"Paper condition",Scores!M$5:M$44,"&lt;"&amp;Scores!M41)+0.5*COUNTIFS(Scores!$B$5:$B$44,2,Scores!$C$5:$C$44,"Paper condition",Scores!M$5:M$44,Scores!M41),"")</f>
        <v/>
      </c>
      <c r="AS41" s="1" t="n">
        <f aca="false">IF(AND(Scores!$B41=2,OR(Scores!$C41="Tool condition",Scores!$C41="Paper condition"),ISNUMBER(Scores!M41)),(COUNTIFS(Scores!$B$5:$B$44,2,Scores!$C$5:$C$44,"Tool condition",Scores!M$5:M$44,Scores!M41)+COUNTIFS(Scores!$B$5:$B$44,2,Scores!$C$5:$C$44,"Paper condition",Scores!M$5:M$44,Scores!M41))^2-1,"")</f>
        <v>80</v>
      </c>
      <c r="AT41" s="1" t="n">
        <f aca="false">IF(ISNUMBER(Scores!M41),Scores!M41^2,"")</f>
        <v>1</v>
      </c>
      <c r="AU41" s="1" t="str">
        <f aca="false">IF(AND(Scores!$B41=1,Scores!$C41="Tool condition",ISNUMBER(Scores!N41)),COUNTIFS(Scores!$B$5:$B$44,1,Scores!$C$5:$C$44,"Paper condition",Scores!N$5:N$44,"&lt;"&amp;Scores!N41)+0.5*COUNTIFS(Scores!$B$5:$B$44,1,Scores!$C$5:$C$44,"Paper condition",Scores!N$5:N$44,Scores!N41),"")</f>
        <v/>
      </c>
      <c r="AV41" s="1" t="str">
        <f aca="false">IF(AND(Scores!$B41=1,OR(Scores!$C41="Tool condition",Scores!$C41="Paper condition"),ISNUMBER(Scores!N41)),(COUNTIFS(Scores!$B$5:$B$44,1,Scores!$C$5:$C$44,"Tool condition",Scores!N$5:N$44,Scores!N41)+COUNTIFS(Scores!$B$5:$B$44,1,Scores!$C$5:$C$44,"Paper condition",Scores!N$5:N$44,Scores!N41))^2-1,"")</f>
        <v/>
      </c>
      <c r="AW41" s="1" t="str">
        <f aca="false">IF(AND(Scores!$B41=2,Scores!$C41="Tool condition",ISNUMBER(Scores!N41)),COUNTIFS(Scores!$B$5:$B$44,2,Scores!$C$5:$C$44,"Paper condition",Scores!N$5:N$44,"&lt;"&amp;Scores!N41)+0.5*COUNTIFS(Scores!$B$5:$B$44,2,Scores!$C$5:$C$44,"Paper condition",Scores!N$5:N$44,Scores!N41),"")</f>
        <v/>
      </c>
      <c r="AX41" s="1" t="n">
        <f aca="false">IF(AND(Scores!$B41=2,OR(Scores!$C41="Tool condition",Scores!$C41="Paper condition"),ISNUMBER(Scores!N41)),(COUNTIFS(Scores!$B$5:$B$44,2,Scores!$C$5:$C$44,"Tool condition",Scores!N$5:N$44,Scores!N41)+COUNTIFS(Scores!$B$5:$B$44,2,Scores!$C$5:$C$44,"Paper condition",Scores!N$5:N$44,Scores!N41))^2-1,"")</f>
        <v>24</v>
      </c>
      <c r="AY41" s="1" t="n">
        <f aca="false">IF(ISNUMBER(Scores!N41),Scores!N41^2,"")</f>
        <v>0</v>
      </c>
      <c r="AZ41" s="1" t="str">
        <f aca="false">IF(AND(Scores!$B41=1,Scores!$C41="Tool condition",ISNUMBER(Scores!O41)),COUNTIFS(Scores!$B$5:$B$44,1,Scores!$C$5:$C$44,"Paper condition",Scores!O$5:O$44,"&lt;"&amp;Scores!O41)+0.5*COUNTIFS(Scores!$B$5:$B$44,1,Scores!$C$5:$C$44,"Paper condition",Scores!O$5:O$44,Scores!O41),"")</f>
        <v/>
      </c>
      <c r="BA41" s="1" t="str">
        <f aca="false">IF(AND(Scores!$B41=1,OR(Scores!$C41="Tool condition",Scores!$C41="Paper condition"),ISNUMBER(Scores!O41)),(COUNTIFS(Scores!$B$5:$B$44,1,Scores!$C$5:$C$44,"Tool condition",Scores!O$5:O$44,Scores!O41)+COUNTIFS(Scores!$B$5:$B$44,1,Scores!$C$5:$C$44,"Paper condition",Scores!O$5:O$44,Scores!O41))^2-1,"")</f>
        <v/>
      </c>
      <c r="BB41" s="1" t="str">
        <f aca="false">IF(AND(Scores!$B41=2,Scores!$C41="Tool condition",ISNUMBER(Scores!O41)),COUNTIFS(Scores!$B$5:$B$44,2,Scores!$C$5:$C$44,"Paper condition",Scores!O$5:O$44,"&lt;"&amp;Scores!O41)+0.5*COUNTIFS(Scores!$B$5:$B$44,2,Scores!$C$5:$C$44,"Paper condition",Scores!O$5:O$44,Scores!O41),"")</f>
        <v/>
      </c>
      <c r="BC41" s="1" t="n">
        <f aca="false">IF(AND(Scores!$B41=2,OR(Scores!$C41="Tool condition",Scores!$C41="Paper condition"),ISNUMBER(Scores!O41)),(COUNTIFS(Scores!$B$5:$B$44,2,Scores!$C$5:$C$44,"Tool condition",Scores!O$5:O$44,Scores!O41)+COUNTIFS(Scores!$B$5:$B$44,2,Scores!$C$5:$C$44,"Paper condition",Scores!O$5:O$44,Scores!O41))^2-1,"")</f>
        <v>120</v>
      </c>
      <c r="BD41" s="1" t="n">
        <f aca="false">IF(ISNUMBER(Scores!O41),Scores!O41^2,"")</f>
        <v>1</v>
      </c>
      <c r="BE41" s="1" t="str">
        <f aca="false">IF(AND(Scores!$B41=1,Scores!$C41="Tool condition",ISNUMBER(Scores!P41)),COUNTIFS(Scores!$B$5:$B$44,1,Scores!$C$5:$C$44,"Paper condition",Scores!P$5:P$44,"&lt;"&amp;Scores!P41)+0.5*COUNTIFS(Scores!$B$5:$B$44,1,Scores!$C$5:$C$44,"Paper condition",Scores!P$5:P$44,Scores!P41),"")</f>
        <v/>
      </c>
      <c r="BF41" s="1" t="str">
        <f aca="false">IF(AND(Scores!$B41=1,OR(Scores!$C41="Tool condition",Scores!$C41="Paper condition"),ISNUMBER(Scores!P41)),(COUNTIFS(Scores!$B$5:$B$44,1,Scores!$C$5:$C$44,"Tool condition",Scores!P$5:P$44,Scores!P41)+COUNTIFS(Scores!$B$5:$B$44,1,Scores!$C$5:$C$44,"Paper condition",Scores!P$5:P$44,Scores!P41))^2-1,"")</f>
        <v/>
      </c>
      <c r="BG41" s="1" t="str">
        <f aca="false">IF(AND(Scores!$B41=2,Scores!$C41="Tool condition",ISNUMBER(Scores!P41)),COUNTIFS(Scores!$B$5:$B$44,2,Scores!$C$5:$C$44,"Paper condition",Scores!P$5:P$44,"&lt;"&amp;Scores!P41)+0.5*COUNTIFS(Scores!$B$5:$B$44,2,Scores!$C$5:$C$44,"Paper condition",Scores!P$5:P$44,Scores!P41),"")</f>
        <v/>
      </c>
      <c r="BH41" s="1" t="n">
        <f aca="false">IF(AND(Scores!$B41=2,OR(Scores!$C41="Tool condition",Scores!$C41="Paper condition"),ISNUMBER(Scores!P41)),(COUNTIFS(Scores!$B$5:$B$44,2,Scores!$C$5:$C$44,"Tool condition",Scores!P$5:P$44,Scores!P41)+COUNTIFS(Scores!$B$5:$B$44,2,Scores!$C$5:$C$44,"Paper condition",Scores!P$5:P$44,Scores!P41))^2-1,"")</f>
        <v>143</v>
      </c>
      <c r="BI41" s="1" t="n">
        <f aca="false">IF(ISNUMBER(Scores!P41),Scores!P41^2,"")</f>
        <v>1</v>
      </c>
      <c r="BJ41" s="1" t="str">
        <f aca="false">IF(AND(R_Scores!$B41=1,R_Scores!$C41="Tool condition",ISNUMBER(R_Scores!E41)),COUNTIFS(R_Scores!$B$5:$B$44,1,R_Scores!$C$5:$C$44,"Paper condition",R_Scores!E$5:E$44,"&lt;"&amp;R_Scores!E41)+0.5*COUNTIFS(R_Scores!$B$5:$B$44,1,R_Scores!$C$5:$C$44,"Paper condition",R_Scores!E$5:E$44,R_Scores!E41),"")</f>
        <v/>
      </c>
      <c r="BK41" s="1" t="str">
        <f aca="false">IF(AND(R_Scores!$B41=1,OR(R_Scores!$C41="Tool condition",R_Scores!$C41="Paper condition"),ISNUMBER(R_Scores!E41)),(COUNTIFS(R_Scores!$B$5:$B$44,1,R_Scores!$C$5:$C$44,"Tool condition",R_Scores!E$5:E$44,R_Scores!E41)+COUNTIFS(R_Scores!$B$5:$B$44,1,R_Scores!$C$5:$C$44,"Paper condition",R_Scores!E$5:E$44,R_Scores!E41))^2-1,"")</f>
        <v/>
      </c>
      <c r="BL41" s="1" t="str">
        <f aca="false">IF(AND(R_Scores!$B41=2,R_Scores!$C41="Tool condition",ISNUMBER(R_Scores!E41)),COUNTIFS(R_Scores!$B$5:$B$44,2,R_Scores!$C$5:$C$44,"Paper condition",R_Scores!E$5:E$44,"&lt;"&amp;R_Scores!E41)+0.5*COUNTIFS(R_Scores!$B$5:$B$44,2,R_Scores!$C$5:$C$44,"Paper condition",R_Scores!E$5:E$44,R_Scores!E41),"")</f>
        <v/>
      </c>
      <c r="BM41" s="1" t="n">
        <f aca="false">IF(AND(R_Scores!$B41=2,OR(R_Scores!$C41="Tool condition",R_Scores!$C41="Paper condition"),ISNUMBER(R_Scores!E41)),(COUNTIFS(R_Scores!$B$5:$B$44,2,R_Scores!$C$5:$C$44,"Tool condition",R_Scores!E$5:E$44,R_Scores!E41)+COUNTIFS(R_Scores!$B$5:$B$44,2,R_Scores!$C$5:$C$44,"Paper condition",R_Scores!E$5:E$44,R_Scores!E41))^2-1,"")</f>
        <v>24</v>
      </c>
      <c r="BN41" s="1" t="n">
        <f aca="false">IF(ISNUMBER(R_Scores!E41),R_Scores!E41^2,"")</f>
        <v>0</v>
      </c>
      <c r="BO41" s="1" t="str">
        <f aca="false">IF(AND(R_Scores!$B41=1,R_Scores!$C41="Tool condition",ISNUMBER(R_Scores!F41)),COUNTIFS(R_Scores!$B$5:$B$44,1,R_Scores!$C$5:$C$44,"Paper condition",R_Scores!F$5:F$44,"&lt;"&amp;R_Scores!F41)+0.5*COUNTIFS(R_Scores!$B$5:$B$44,1,R_Scores!$C$5:$C$44,"Paper condition",R_Scores!F$5:F$44,R_Scores!F41),"")</f>
        <v/>
      </c>
      <c r="BP41" s="1" t="str">
        <f aca="false">IF(AND(R_Scores!$B41=1,OR(R_Scores!$C41="Tool condition",R_Scores!$C41="Paper condition"),ISNUMBER(R_Scores!F41)),(COUNTIFS(R_Scores!$B$5:$B$44,1,R_Scores!$C$5:$C$44,"Tool condition",R_Scores!F$5:F$44,R_Scores!F41)+COUNTIFS(R_Scores!$B$5:$B$44,1,R_Scores!$C$5:$C$44,"Paper condition",R_Scores!F$5:F$44,R_Scores!F41))^2-1,"")</f>
        <v/>
      </c>
      <c r="BQ41" s="1" t="str">
        <f aca="false">IF(AND(R_Scores!$B41=2,R_Scores!$C41="Tool condition",ISNUMBER(R_Scores!F41)),COUNTIFS(R_Scores!$B$5:$B$44,2,R_Scores!$C$5:$C$44,"Paper condition",R_Scores!F$5:F$44,"&lt;"&amp;R_Scores!F41)+0.5*COUNTIFS(R_Scores!$B$5:$B$44,2,R_Scores!$C$5:$C$44,"Paper condition",R_Scores!F$5:F$44,R_Scores!F41),"")</f>
        <v/>
      </c>
      <c r="BR41" s="1" t="n">
        <f aca="false">IF(AND(R_Scores!$B41=2,OR(R_Scores!$C41="Tool condition",R_Scores!$C41="Paper condition"),ISNUMBER(R_Scores!F41)),(COUNTIFS(R_Scores!$B$5:$B$44,2,R_Scores!$C$5:$C$44,"Tool condition",R_Scores!F$5:F$44,R_Scores!F41)+COUNTIFS(R_Scores!$B$5:$B$44,2,R_Scores!$C$5:$C$44,"Paper condition",R_Scores!F$5:F$44,R_Scores!F41))^2-1,"")</f>
        <v>195</v>
      </c>
      <c r="BS41" s="1" t="n">
        <f aca="false">IF(ISNUMBER(R_Scores!F41),R_Scores!F41^2,"")</f>
        <v>1</v>
      </c>
      <c r="BT41" s="1" t="str">
        <f aca="false">IF(AND(R_Scores!$B41=1,R_Scores!$C41="Tool condition",ISNUMBER(R_Scores!G41)),COUNTIFS(R_Scores!$B$5:$B$44,1,R_Scores!$C$5:$C$44,"Paper condition",R_Scores!G$5:G$44,"&lt;"&amp;R_Scores!G41)+0.5*COUNTIFS(R_Scores!$B$5:$B$44,1,R_Scores!$C$5:$C$44,"Paper condition",R_Scores!G$5:G$44,R_Scores!G41),"")</f>
        <v/>
      </c>
      <c r="BU41" s="1" t="str">
        <f aca="false">IF(AND(R_Scores!$B41=1,OR(R_Scores!$C41="Tool condition",R_Scores!$C41="Paper condition"),ISNUMBER(R_Scores!G41)),(COUNTIFS(R_Scores!$B$5:$B$44,1,R_Scores!$C$5:$C$44,"Tool condition",R_Scores!G$5:G$44,R_Scores!G41)+COUNTIFS(R_Scores!$B$5:$B$44,1,R_Scores!$C$5:$C$44,"Paper condition",R_Scores!G$5:G$44,R_Scores!G41))^2-1,"")</f>
        <v/>
      </c>
      <c r="BV41" s="1" t="str">
        <f aca="false">IF(AND(R_Scores!$B41=2,R_Scores!$C41="Tool condition",ISNUMBER(R_Scores!G41)),COUNTIFS(R_Scores!$B$5:$B$44,2,R_Scores!$C$5:$C$44,"Paper condition",R_Scores!G$5:G$44,"&lt;"&amp;R_Scores!G41)+0.5*COUNTIFS(R_Scores!$B$5:$B$44,2,R_Scores!$C$5:$C$44,"Paper condition",R_Scores!G$5:G$44,R_Scores!G41),"")</f>
        <v/>
      </c>
      <c r="BW41" s="1" t="str">
        <f aca="false">IF(AND(R_Scores!$B41=2,OR(R_Scores!$C41="Tool condition",R_Scores!$C41="Paper condition"),ISNUMBER(R_Scores!G41)),(COUNTIFS(R_Scores!$B$5:$B$44,2,R_Scores!$C$5:$C$44,"Tool condition",R_Scores!G$5:G$44,R_Scores!G41)+COUNTIFS(R_Scores!$B$5:$B$44,2,R_Scores!$C$5:$C$44,"Paper condition",R_Scores!G$5:G$44,R_Scores!G41))^2-1,"")</f>
        <v/>
      </c>
      <c r="BX41" s="1" t="str">
        <f aca="false">IF(ISNUMBER(R_Scores!G41),R_Scores!G41^2,"")</f>
        <v/>
      </c>
      <c r="BY41" s="1" t="str">
        <f aca="false">IF(AND(R_Scores!$B41=1,R_Scores!$C41="Tool condition",ISNUMBER(R_Scores!H41)),COUNTIFS(R_Scores!$B$5:$B$44,1,R_Scores!$C$5:$C$44,"Paper condition",R_Scores!H$5:H$44,"&lt;"&amp;R_Scores!H41)+0.5*COUNTIFS(R_Scores!$B$5:$B$44,1,R_Scores!$C$5:$C$44,"Paper condition",R_Scores!H$5:H$44,R_Scores!H41),"")</f>
        <v/>
      </c>
      <c r="BZ41" s="1" t="str">
        <f aca="false">IF(AND(R_Scores!$B41=1,OR(R_Scores!$C41="Tool condition",R_Scores!$C41="Paper condition"),ISNUMBER(R_Scores!H41)),(COUNTIFS(R_Scores!$B$5:$B$44,1,R_Scores!$C$5:$C$44,"Tool condition",R_Scores!H$5:H$44,R_Scores!H41)+COUNTIFS(R_Scores!$B$5:$B$44,1,R_Scores!$C$5:$C$44,"Paper condition",R_Scores!H$5:H$44,R_Scores!H41))^2-1,"")</f>
        <v/>
      </c>
      <c r="CA41" s="1" t="str">
        <f aca="false">IF(AND(R_Scores!$B41=2,R_Scores!$C41="Tool condition",ISNUMBER(R_Scores!H41)),COUNTIFS(R_Scores!$B$5:$B$44,2,R_Scores!$C$5:$C$44,"Paper condition",R_Scores!H$5:H$44,"&lt;"&amp;R_Scores!H41)+0.5*COUNTIFS(R_Scores!$B$5:$B$44,2,R_Scores!$C$5:$C$44,"Paper condition",R_Scores!H$5:H$44,R_Scores!H41),"")</f>
        <v/>
      </c>
      <c r="CB41" s="1" t="str">
        <f aca="false">IF(AND(R_Scores!$B41=2,OR(R_Scores!$C41="Tool condition",R_Scores!$C41="Paper condition"),ISNUMBER(R_Scores!H41)),(COUNTIFS(R_Scores!$B$5:$B$44,2,R_Scores!$C$5:$C$44,"Tool condition",R_Scores!H$5:H$44,R_Scores!H41)+COUNTIFS(R_Scores!$B$5:$B$44,2,R_Scores!$C$5:$C$44,"Paper condition",R_Scores!H$5:H$44,R_Scores!H41))^2-1,"")</f>
        <v/>
      </c>
      <c r="CC41" s="1" t="str">
        <f aca="false">IF(ISNUMBER(R_Scores!H41),R_Scores!H41^2,"")</f>
        <v/>
      </c>
      <c r="CD41" s="1" t="str">
        <f aca="false">IF(AND(R_Scores!$B41=1,R_Scores!$C41="Tool condition",ISNUMBER(R_Scores!I41)),COUNTIFS(R_Scores!$B$5:$B$44,1,R_Scores!$C$5:$C$44,"Paper condition",R_Scores!I$5:I$44,"&lt;"&amp;R_Scores!I41)+0.5*COUNTIFS(R_Scores!$B$5:$B$44,1,R_Scores!$C$5:$C$44,"Paper condition",R_Scores!I$5:I$44,R_Scores!I41),"")</f>
        <v/>
      </c>
      <c r="CE41" s="1" t="str">
        <f aca="false">IF(AND(R_Scores!$B41=1,OR(R_Scores!$C41="Tool condition",R_Scores!$C41="Paper condition"),ISNUMBER(R_Scores!I41)),(COUNTIFS(R_Scores!$B$5:$B$44,1,R_Scores!$C$5:$C$44,"Tool condition",R_Scores!I$5:I$44,R_Scores!I41)+COUNTIFS(R_Scores!$B$5:$B$44,1,R_Scores!$C$5:$C$44,"Paper condition",R_Scores!I$5:I$44,R_Scores!I41))^2-1,"")</f>
        <v/>
      </c>
      <c r="CF41" s="1" t="str">
        <f aca="false">IF(AND(R_Scores!$B41=2,R_Scores!$C41="Tool condition",ISNUMBER(R_Scores!I41)),COUNTIFS(R_Scores!$B$5:$B$44,2,R_Scores!$C$5:$C$44,"Paper condition",R_Scores!I$5:I$44,"&lt;"&amp;R_Scores!I41)+0.5*COUNTIFS(R_Scores!$B$5:$B$44,2,R_Scores!$C$5:$C$44,"Paper condition",R_Scores!I$5:I$44,R_Scores!I41),"")</f>
        <v/>
      </c>
      <c r="CG41" s="1" t="n">
        <f aca="false">IF(AND(R_Scores!$B41=2,OR(R_Scores!$C41="Tool condition",R_Scores!$C41="Paper condition"),ISNUMBER(R_Scores!I41)),(COUNTIFS(R_Scores!$B$5:$B$44,2,R_Scores!$C$5:$C$44,"Tool condition",R_Scores!I$5:I$44,R_Scores!I41)+COUNTIFS(R_Scores!$B$5:$B$44,2,R_Scores!$C$5:$C$44,"Paper condition",R_Scores!I$5:I$44,R_Scores!I41))^2-1,"")</f>
        <v>15</v>
      </c>
      <c r="CH41" s="1" t="n">
        <f aca="false">IF(ISNUMBER(R_Scores!I41),R_Scores!I41^2,"")</f>
        <v>0</v>
      </c>
      <c r="CI41" s="1" t="str">
        <f aca="false">IF(AND(R_Scores!$B41=1,R_Scores!$C41="Tool condition",ISNUMBER(R_Scores!J41)),COUNTIFS(R_Scores!$B$5:$B$44,1,R_Scores!$C$5:$C$44,"Paper condition",R_Scores!J$5:J$44,"&lt;"&amp;R_Scores!J41)+0.5*COUNTIFS(R_Scores!$B$5:$B$44,1,R_Scores!$C$5:$C$44,"Paper condition",R_Scores!J$5:J$44,R_Scores!J41),"")</f>
        <v/>
      </c>
      <c r="CJ41" s="1" t="str">
        <f aca="false">IF(AND(R_Scores!$B41=1,OR(R_Scores!$C41="Tool condition",R_Scores!$C41="Paper condition"),ISNUMBER(R_Scores!J41)),(COUNTIFS(R_Scores!$B$5:$B$44,1,R_Scores!$C$5:$C$44,"Tool condition",R_Scores!J$5:J$44,R_Scores!J41)+COUNTIFS(R_Scores!$B$5:$B$44,1,R_Scores!$C$5:$C$44,"Paper condition",R_Scores!J$5:J$44,R_Scores!J41))^2-1,"")</f>
        <v/>
      </c>
      <c r="CK41" s="1" t="str">
        <f aca="false">IF(AND(R_Scores!$B41=2,R_Scores!$C41="Tool condition",ISNUMBER(R_Scores!J41)),COUNTIFS(R_Scores!$B$5:$B$44,2,R_Scores!$C$5:$C$44,"Paper condition",R_Scores!J$5:J$44,"&lt;"&amp;R_Scores!J41)+0.5*COUNTIFS(R_Scores!$B$5:$B$44,2,R_Scores!$C$5:$C$44,"Paper condition",R_Scores!J$5:J$44,R_Scores!J41),"")</f>
        <v/>
      </c>
      <c r="CL41" s="1" t="n">
        <f aca="false">IF(AND(R_Scores!$B41=2,OR(R_Scores!$C41="Tool condition",R_Scores!$C41="Paper condition"),ISNUMBER(R_Scores!J41)),(COUNTIFS(R_Scores!$B$5:$B$44,2,R_Scores!$C$5:$C$44,"Tool condition",R_Scores!J$5:J$44,R_Scores!J41)+COUNTIFS(R_Scores!$B$5:$B$44,2,R_Scores!$C$5:$C$44,"Paper condition",R_Scores!J$5:J$44,R_Scores!J41))^2-1,"")</f>
        <v>195</v>
      </c>
      <c r="CM41" s="1" t="n">
        <f aca="false">IF(ISNUMBER(R_Scores!J41),R_Scores!J41^2,"")</f>
        <v>1</v>
      </c>
      <c r="CN41" s="1" t="str">
        <f aca="false">IF(AND(R_Scores!$B41=1,R_Scores!$C41="Tool condition",ISNUMBER(R_Scores!K41)),COUNTIFS(R_Scores!$B$5:$B$44,1,R_Scores!$C$5:$C$44,"Paper condition",R_Scores!K$5:K$44,"&lt;"&amp;R_Scores!K41)+0.5*COUNTIFS(R_Scores!$B$5:$B$44,1,R_Scores!$C$5:$C$44,"Paper condition",R_Scores!K$5:K$44,R_Scores!K41),"")</f>
        <v/>
      </c>
      <c r="CO41" s="1" t="str">
        <f aca="false">IF(AND(R_Scores!$B41=1,OR(R_Scores!$C41="Tool condition",R_Scores!$C41="Paper condition"),ISNUMBER(R_Scores!K41)),(COUNTIFS(R_Scores!$B$5:$B$44,1,R_Scores!$C$5:$C$44,"Tool condition",R_Scores!K$5:K$44,R_Scores!K41)+COUNTIFS(R_Scores!$B$5:$B$44,1,R_Scores!$C$5:$C$44,"Paper condition",R_Scores!K$5:K$44,R_Scores!K41))^2-1,"")</f>
        <v/>
      </c>
      <c r="CP41" s="1" t="str">
        <f aca="false">IF(AND(R_Scores!$B41=2,R_Scores!$C41="Tool condition",ISNUMBER(R_Scores!K41)),COUNTIFS(R_Scores!$B$5:$B$44,2,R_Scores!$C$5:$C$44,"Paper condition",R_Scores!K$5:K$44,"&lt;"&amp;R_Scores!K41)+0.5*COUNTIFS(R_Scores!$B$5:$B$44,2,R_Scores!$C$5:$C$44,"Paper condition",R_Scores!K$5:K$44,R_Scores!K41),"")</f>
        <v/>
      </c>
      <c r="CQ41" s="1" t="str">
        <f aca="false">IF(AND(R_Scores!$B41=2,OR(R_Scores!$C41="Tool condition",R_Scores!$C41="Paper condition"),ISNUMBER(R_Scores!K41)),(COUNTIFS(R_Scores!$B$5:$B$44,2,R_Scores!$C$5:$C$44,"Tool condition",R_Scores!K$5:K$44,R_Scores!K41)+COUNTIFS(R_Scores!$B$5:$B$44,2,R_Scores!$C$5:$C$44,"Paper condition",R_Scores!K$5:K$44,R_Scores!K41))^2-1,"")</f>
        <v/>
      </c>
      <c r="CR41" s="1" t="str">
        <f aca="false">IF(ISNUMBER(R_Scores!K41),R_Scores!K41^2,"")</f>
        <v/>
      </c>
      <c r="CS41" s="1" t="str">
        <f aca="false">IF(AND(R_Scores!$B41=1,R_Scores!$C41="Tool condition",ISNUMBER(R_Scores!L41)),COUNTIFS(R_Scores!$B$5:$B$44,1,R_Scores!$C$5:$C$44,"Paper condition",R_Scores!L$5:L$44,"&lt;"&amp;R_Scores!L41)+0.5*COUNTIFS(R_Scores!$B$5:$B$44,1,R_Scores!$C$5:$C$44,"Paper condition",R_Scores!L$5:L$44,R_Scores!L41),"")</f>
        <v/>
      </c>
      <c r="CT41" s="1" t="str">
        <f aca="false">IF(AND(R_Scores!$B41=1,OR(R_Scores!$C41="Tool condition",R_Scores!$C41="Paper condition"),ISNUMBER(R_Scores!L41)),(COUNTIFS(R_Scores!$B$5:$B$44,1,R_Scores!$C$5:$C$44,"Tool condition",R_Scores!L$5:L$44,R_Scores!L41)+COUNTIFS(R_Scores!$B$5:$B$44,1,R_Scores!$C$5:$C$44,"Paper condition",R_Scores!L$5:L$44,R_Scores!L41))^2-1,"")</f>
        <v/>
      </c>
      <c r="CU41" s="1" t="str">
        <f aca="false">IF(AND(R_Scores!$B41=2,R_Scores!$C41="Tool condition",ISNUMBER(R_Scores!L41)),COUNTIFS(R_Scores!$B$5:$B$44,2,R_Scores!$C$5:$C$44,"Paper condition",R_Scores!L$5:L$44,"&lt;"&amp;R_Scores!L41)+0.5*COUNTIFS(R_Scores!$B$5:$B$44,2,R_Scores!$C$5:$C$44,"Paper condition",R_Scores!L$5:L$44,R_Scores!L41),"")</f>
        <v/>
      </c>
      <c r="CV41" s="1" t="str">
        <f aca="false">IF(AND(R_Scores!$B41=2,OR(R_Scores!$C41="Tool condition",R_Scores!$C41="Paper condition"),ISNUMBER(R_Scores!L41)),(COUNTIFS(R_Scores!$B$5:$B$44,2,R_Scores!$C$5:$C$44,"Tool condition",R_Scores!L$5:L$44,R_Scores!L41)+COUNTIFS(R_Scores!$B$5:$B$44,2,R_Scores!$C$5:$C$44,"Paper condition",R_Scores!L$5:L$44,R_Scores!L41))^2-1,"")</f>
        <v/>
      </c>
      <c r="CW41" s="1" t="str">
        <f aca="false">IF(ISNUMBER(R_Scores!L41),R_Scores!L41^2,"")</f>
        <v/>
      </c>
      <c r="CX41" s="1" t="str">
        <f aca="false">IF(AND(R_Scores!$B41=1,R_Scores!$C41="Tool condition",ISNUMBER(R_Scores!M41)),COUNTIFS(R_Scores!$B$5:$B$44,1,R_Scores!$C$5:$C$44,"Paper condition",R_Scores!M$5:M$44,"&lt;"&amp;R_Scores!M41)+0.5*COUNTIFS(R_Scores!$B$5:$B$44,1,R_Scores!$C$5:$C$44,"Paper condition",R_Scores!M$5:M$44,R_Scores!M41),"")</f>
        <v/>
      </c>
      <c r="CY41" s="1" t="str">
        <f aca="false">IF(AND(R_Scores!$B41=1,OR(R_Scores!$C41="Tool condition",R_Scores!$C41="Paper condition"),ISNUMBER(R_Scores!M41)),(COUNTIFS(R_Scores!$B$5:$B$44,1,R_Scores!$C$5:$C$44,"Tool condition",R_Scores!M$5:M$44,R_Scores!M41)+COUNTIFS(R_Scores!$B$5:$B$44,1,R_Scores!$C$5:$C$44,"Paper condition",R_Scores!M$5:M$44,R_Scores!M41))^2-1,"")</f>
        <v/>
      </c>
      <c r="CZ41" s="1" t="str">
        <f aca="false">IF(AND(R_Scores!$B41=2,R_Scores!$C41="Tool condition",ISNUMBER(R_Scores!M41)),COUNTIFS(R_Scores!$B$5:$B$44,2,R_Scores!$C$5:$C$44,"Paper condition",R_Scores!M$5:M$44,"&lt;"&amp;R_Scores!M41)+0.5*COUNTIFS(R_Scores!$B$5:$B$44,2,R_Scores!$C$5:$C$44,"Paper condition",R_Scores!M$5:M$44,R_Scores!M41),"")</f>
        <v/>
      </c>
      <c r="DA41" s="1" t="str">
        <f aca="false">IF(AND(R_Scores!$B41=2,OR(R_Scores!$C41="Tool condition",R_Scores!$C41="Paper condition"),ISNUMBER(R_Scores!M41)),(COUNTIFS(R_Scores!$B$5:$B$44,2,R_Scores!$C$5:$C$44,"Tool condition",R_Scores!M$5:M$44,R_Scores!M41)+COUNTIFS(R_Scores!$B$5:$B$44,2,R_Scores!$C$5:$C$44,"Paper condition",R_Scores!M$5:M$44,R_Scores!M41))^2-1,"")</f>
        <v/>
      </c>
      <c r="DB41" s="1" t="str">
        <f aca="false">IF(ISNUMBER(R_Scores!M41),R_Scores!M41^2,"")</f>
        <v/>
      </c>
      <c r="DC41" s="1" t="str">
        <f aca="false">IF(AND(R_Scores!$B41=1,R_Scores!$C41="Tool condition",ISNUMBER(R_Scores!N41)),COUNTIFS(R_Scores!$B$5:$B$44,1,R_Scores!$C$5:$C$44,"Paper condition",R_Scores!N$5:N$44,"&lt;"&amp;R_Scores!N41)+0.5*COUNTIFS(R_Scores!$B$5:$B$44,1,R_Scores!$C$5:$C$44,"Paper condition",R_Scores!N$5:N$44,R_Scores!N41),"")</f>
        <v/>
      </c>
      <c r="DD41" s="1" t="str">
        <f aca="false">IF(AND(R_Scores!$B41=1,OR(R_Scores!$C41="Tool condition",R_Scores!$C41="Paper condition"),ISNUMBER(R_Scores!N41)),(COUNTIFS(R_Scores!$B$5:$B$44,1,R_Scores!$C$5:$C$44,"Tool condition",R_Scores!N$5:N$44,R_Scores!N41)+COUNTIFS(R_Scores!$B$5:$B$44,1,R_Scores!$C$5:$C$44,"Paper condition",R_Scores!N$5:N$44,R_Scores!N41))^2-1,"")</f>
        <v/>
      </c>
      <c r="DE41" s="1" t="str">
        <f aca="false">IF(AND(R_Scores!$B41=2,R_Scores!$C41="Tool condition",ISNUMBER(R_Scores!N41)),COUNTIFS(R_Scores!$B$5:$B$44,2,R_Scores!$C$5:$C$44,"Paper condition",R_Scores!N$5:N$44,"&lt;"&amp;R_Scores!N41)+0.5*COUNTIFS(R_Scores!$B$5:$B$44,2,R_Scores!$C$5:$C$44,"Paper condition",R_Scores!N$5:N$44,R_Scores!N41),"")</f>
        <v/>
      </c>
      <c r="DF41" s="1" t="n">
        <f aca="false">IF(AND(R_Scores!$B41=2,OR(R_Scores!$C41="Tool condition",R_Scores!$C41="Paper condition"),ISNUMBER(R_Scores!N41)),(COUNTIFS(R_Scores!$B$5:$B$44,2,R_Scores!$C$5:$C$44,"Tool condition",R_Scores!N$5:N$44,R_Scores!N41)+COUNTIFS(R_Scores!$B$5:$B$44,2,R_Scores!$C$5:$C$44,"Paper condition",R_Scores!N$5:N$44,R_Scores!N41))^2-1,"")</f>
        <v>63</v>
      </c>
      <c r="DG41" s="1" t="n">
        <f aca="false">IF(ISNUMBER(R_Scores!N41),R_Scores!N41^2,"")</f>
        <v>0</v>
      </c>
      <c r="DH41" s="1" t="str">
        <f aca="false">IF(AND(R_Scores!$B41=1,R_Scores!$C41="Tool condition",ISNUMBER(R_Scores!O41)),COUNTIFS(R_Scores!$B$5:$B$44,1,R_Scores!$C$5:$C$44,"Paper condition",R_Scores!O$5:O$44,"&lt;"&amp;R_Scores!O41)+0.5*COUNTIFS(R_Scores!$B$5:$B$44,1,R_Scores!$C$5:$C$44,"Paper condition",R_Scores!O$5:O$44,R_Scores!O41),"")</f>
        <v/>
      </c>
      <c r="DI41" s="1" t="str">
        <f aca="false">IF(AND(R_Scores!$B41=1,OR(R_Scores!$C41="Tool condition",R_Scores!$C41="Paper condition"),ISNUMBER(R_Scores!O41)),(COUNTIFS(R_Scores!$B$5:$B$44,1,R_Scores!$C$5:$C$44,"Tool condition",R_Scores!O$5:O$44,R_Scores!O41)+COUNTIFS(R_Scores!$B$5:$B$44,1,R_Scores!$C$5:$C$44,"Paper condition",R_Scores!O$5:O$44,R_Scores!O41))^2-1,"")</f>
        <v/>
      </c>
      <c r="DJ41" s="1" t="str">
        <f aca="false">IF(AND(R_Scores!$B41=2,R_Scores!$C41="Tool condition",ISNUMBER(R_Scores!O41)),COUNTIFS(R_Scores!$B$5:$B$44,2,R_Scores!$C$5:$C$44,"Paper condition",R_Scores!O$5:O$44,"&lt;"&amp;R_Scores!O41)+0.5*COUNTIFS(R_Scores!$B$5:$B$44,2,R_Scores!$C$5:$C$44,"Paper condition",R_Scores!O$5:O$44,R_Scores!O41),"")</f>
        <v/>
      </c>
      <c r="DK41" s="1" t="n">
        <f aca="false">IF(AND(R_Scores!$B41=2,OR(R_Scores!$C41="Tool condition",R_Scores!$C41="Paper condition"),ISNUMBER(R_Scores!O41)),(COUNTIFS(R_Scores!$B$5:$B$44,2,R_Scores!$C$5:$C$44,"Tool condition",R_Scores!O$5:O$44,R_Scores!O41)+COUNTIFS(R_Scores!$B$5:$B$44,2,R_Scores!$C$5:$C$44,"Paper condition",R_Scores!O$5:O$44,R_Scores!O41))^2-1,"")</f>
        <v>168</v>
      </c>
      <c r="DL41" s="1" t="n">
        <f aca="false">IF(ISNUMBER(R_Scores!O41),R_Scores!O41^2,"")</f>
        <v>1</v>
      </c>
      <c r="DM41" s="1" t="str">
        <f aca="false">IF(AND(R_Scores!$B41=1,R_Scores!$C41="Tool condition",ISNUMBER(R_Scores!P41)),COUNTIFS(R_Scores!$B$5:$B$44,1,R_Scores!$C$5:$C$44,"Paper condition",R_Scores!P$5:P$44,"&lt;"&amp;R_Scores!P41)+0.5*COUNTIFS(R_Scores!$B$5:$B$44,1,R_Scores!$C$5:$C$44,"Paper condition",R_Scores!P$5:P$44,R_Scores!P41),"")</f>
        <v/>
      </c>
      <c r="DN41" s="1" t="str">
        <f aca="false">IF(AND(R_Scores!$B41=1,OR(R_Scores!$C41="Tool condition",R_Scores!$C41="Paper condition"),ISNUMBER(R_Scores!P41)),(COUNTIFS(R_Scores!$B$5:$B$44,1,R_Scores!$C$5:$C$44,"Tool condition",R_Scores!P$5:P$44,R_Scores!P41)+COUNTIFS(R_Scores!$B$5:$B$44,1,R_Scores!$C$5:$C$44,"Paper condition",R_Scores!P$5:P$44,R_Scores!P41))^2-1,"")</f>
        <v/>
      </c>
      <c r="DO41" s="1" t="str">
        <f aca="false">IF(AND(R_Scores!$B41=2,R_Scores!$C41="Tool condition",ISNUMBER(R_Scores!P41)),COUNTIFS(R_Scores!$B$5:$B$44,2,R_Scores!$C$5:$C$44,"Paper condition",R_Scores!P$5:P$44,"&lt;"&amp;R_Scores!P41)+0.5*COUNTIFS(R_Scores!$B$5:$B$44,2,R_Scores!$C$5:$C$44,"Paper condition",R_Scores!P$5:P$44,R_Scores!P41),"")</f>
        <v/>
      </c>
      <c r="DP41" s="1" t="n">
        <f aca="false">IF(AND(R_Scores!$B41=2,OR(R_Scores!$C41="Tool condition",R_Scores!$C41="Paper condition"),ISNUMBER(R_Scores!P41)),(COUNTIFS(R_Scores!$B$5:$B$44,2,R_Scores!$C$5:$C$44,"Tool condition",R_Scores!P$5:P$44,R_Scores!P41)+COUNTIFS(R_Scores!$B$5:$B$44,2,R_Scores!$C$5:$C$44,"Paper condition",R_Scores!P$5:P$44,R_Scores!P41))^2-1,"")</f>
        <v>168</v>
      </c>
      <c r="DQ41" s="1" t="n">
        <f aca="false">IF(ISNUMBER(R_Scores!P41),R_Scores!P41^2,"")</f>
        <v>0</v>
      </c>
      <c r="DR41" s="1" t="str">
        <f aca="false">IF(AND(Scores!$B41=1,Scores!$C41="Tool condition",ISNUMBER(Scores!Q41)),COUNTIFS(Scores!$B$5:$B$44,1,Scores!$C$5:$C$44,"Paper condition",Scores!Q$5:Q$44,"&lt;"&amp;Scores!Q41)+0.5*COUNTIFS(Scores!$B$5:$B$44,1,Scores!$C$5:$C$44,"Paper condition",Scores!Q$5:Q$44,Scores!Q41),"")</f>
        <v/>
      </c>
      <c r="DS41" s="1" t="str">
        <f aca="false">IF(AND(Scores!$B41=1,OR(Scores!$C41="Tool condition",Scores!$C41="Paper condition"),ISNUMBER(Scores!Q41)),(COUNTIFS(Scores!$B$5:$B$44,1,Scores!$C$5:$C$44,"Tool condition",Scores!Q$5:Q$44,Scores!Q41)+COUNTIFS(Scores!$B$5:$B$44,1,Scores!$C$5:$C$44,"Paper condition",Scores!Q$5:Q$44,Scores!Q41))^2-1,"")</f>
        <v/>
      </c>
      <c r="DT41" s="1" t="str">
        <f aca="false">IF(AND(Scores!$B41=2,Scores!$C41="Tool condition",ISNUMBER(Scores!Q41)),COUNTIFS(Scores!$B$5:$B$44,2,Scores!$C$5:$C$44,"Paper condition",Scores!Q$5:Q$44,"&lt;"&amp;Scores!Q41)+0.5*COUNTIFS(Scores!$B$5:$B$44,2,Scores!$C$5:$C$44,"Paper condition",Scores!Q$5:Q$44,Scores!Q41),"")</f>
        <v/>
      </c>
      <c r="DU41" s="1" t="n">
        <f aca="false">IF(AND(Scores!$B41=2,OR(Scores!$C41="Tool condition",Scores!$C41="Paper condition"),ISNUMBER(Scores!Q41)),(COUNTIFS(Scores!$B$5:$B$44,2,Scores!$C$5:$C$44,"Tool condition",Scores!Q$5:Q$44,Scores!Q41)+COUNTIFS(Scores!$B$5:$B$44,2,Scores!$C$5:$C$44,"Paper condition",Scores!Q$5:Q$44,Scores!Q41))^2-1,"")</f>
        <v>3</v>
      </c>
      <c r="DV41" s="1" t="n">
        <f aca="false">IF(ISNUMBER(Scores!Q41),Scores!Q41^2,"")</f>
        <v>144</v>
      </c>
      <c r="DW41" s="1" t="str">
        <f aca="false">IF(AND(Scores!$B41=1,Scores!$C41="Tool condition",ISNUMBER(Scores!R41)),COUNTIFS(Scores!$B$5:$B$44,1,Scores!$C$5:$C$44,"Paper condition",Scores!R$5:R$44,"&lt;"&amp;Scores!R41)+0.5*COUNTIFS(Scores!$B$5:$B$44,1,Scores!$C$5:$C$44,"Paper condition",Scores!R$5:R$44,Scores!R41),"")</f>
        <v/>
      </c>
      <c r="DX41" s="1" t="str">
        <f aca="false">IF(AND(Scores!$B41=1,OR(Scores!$C41="Tool condition",Scores!$C41="Paper condition"),ISNUMBER(Scores!R41)),(COUNTIFS(Scores!$B$5:$B$44,1,Scores!$C$5:$C$44,"Tool condition",Scores!R$5:R$44,Scores!R41)+COUNTIFS(Scores!$B$5:$B$44,1,Scores!$C$5:$C$44,"Paper condition",Scores!R$5:R$44,Scores!R41))^2-1,"")</f>
        <v/>
      </c>
      <c r="DY41" s="1" t="str">
        <f aca="false">IF(AND(Scores!$B41=2,Scores!$C41="Tool condition",ISNUMBER(Scores!R41)),COUNTIFS(Scores!$B$5:$B$44,2,Scores!$C$5:$C$44,"Paper condition",Scores!R$5:R$44,"&lt;"&amp;Scores!R41)+0.5*COUNTIFS(Scores!$B$5:$B$44,2,Scores!$C$5:$C$44,"Paper condition",Scores!R$5:R$44,Scores!R41),"")</f>
        <v/>
      </c>
      <c r="DZ41" s="1" t="n">
        <f aca="false">IF(AND(Scores!$B41=2,OR(Scores!$C41="Tool condition",Scores!$C41="Paper condition"),ISNUMBER(Scores!R41)),(COUNTIFS(Scores!$B$5:$B$44,2,Scores!$C$5:$C$44,"Tool condition",Scores!R$5:R$44,Scores!R41)+COUNTIFS(Scores!$B$5:$B$44,2,Scores!$C$5:$C$44,"Paper condition",Scores!R$5:R$44,Scores!R41))^2-1,"")</f>
        <v>3</v>
      </c>
      <c r="EA41" s="1" t="n">
        <f aca="false">IF(ISNUMBER(Scores!R41),Scores!R41^2,"")</f>
        <v>49</v>
      </c>
      <c r="EB41" s="1" t="str">
        <f aca="false">IF(AND(Scores!$B41=1,Scores!$C41="Tool condition",ISNUMBER(Scores!S41)),COUNTIFS(Scores!$B$5:$B$44,1,Scores!$C$5:$C$44,"Paper condition",Scores!S$5:S$44,"&lt;"&amp;Scores!S41)+0.5*COUNTIFS(Scores!$B$5:$B$44,1,Scores!$C$5:$C$44,"Paper condition",Scores!S$5:S$44,Scores!S41),"")</f>
        <v/>
      </c>
      <c r="EC41" s="1" t="str">
        <f aca="false">IF(AND(Scores!$B41=1,OR(Scores!$C41="Tool condition",Scores!$C41="Paper condition"),ISNUMBER(Scores!S41)),(COUNTIFS(Scores!$B$5:$B$44,1,Scores!$C$5:$C$44,"Tool condition",Scores!S$5:S$44,Scores!S41)+COUNTIFS(Scores!$B$5:$B$44,1,Scores!$C$5:$C$44,"Paper condition",Scores!S$5:S$44,Scores!S41))^2-1,"")</f>
        <v/>
      </c>
      <c r="ED41" s="1" t="str">
        <f aca="false">IF(AND(Scores!$B41=2,Scores!$C41="Tool condition",ISNUMBER(Scores!S41)),COUNTIFS(Scores!$B$5:$B$44,2,Scores!$C$5:$C$44,"Paper condition",Scores!S$5:S$44,"&lt;"&amp;Scores!S41)+0.5*COUNTIFS(Scores!$B$5:$B$44,2,Scores!$C$5:$C$44,"Paper condition",Scores!S$5:S$44,Scores!S41),"")</f>
        <v/>
      </c>
      <c r="EE41" s="1" t="n">
        <f aca="false">IF(AND(Scores!$B41=2,OR(Scores!$C41="Tool condition",Scores!$C41="Paper condition"),ISNUMBER(Scores!S41)),(COUNTIFS(Scores!$B$5:$B$44,2,Scores!$C$5:$C$44,"Tool condition",Scores!S$5:S$44,Scores!S41)+COUNTIFS(Scores!$B$5:$B$44,2,Scores!$C$5:$C$44,"Paper condition",Scores!S$5:S$44,Scores!S41))^2-1,"")</f>
        <v>3</v>
      </c>
      <c r="EF41" s="1" t="n">
        <f aca="false">IF(ISNUMBER(Scores!S41),Scores!S41^2,"")</f>
        <v>25</v>
      </c>
      <c r="EG41" s="1" t="str">
        <f aca="false">IF(AND(Scores!$B41=1,Scores!$C41="Tool condition",ISNUMBER(Scores!T41)),COUNTIFS(Scores!$B$5:$B$44,1,Scores!$C$5:$C$44,"Paper condition",Scores!T$5:T$44,"&lt;"&amp;Scores!T41)+0.5*COUNTIFS(Scores!$B$5:$B$44,1,Scores!$C$5:$C$44,"Paper condition",Scores!T$5:T$44,Scores!T41),"")</f>
        <v/>
      </c>
      <c r="EH41" s="1" t="str">
        <f aca="false">IF(AND(Scores!$B41=1,OR(Scores!$C41="Tool condition",Scores!$C41="Paper condition"),ISNUMBER(Scores!T41)),(COUNTIFS(Scores!$B$5:$B$44,1,Scores!$C$5:$C$44,"Tool condition",Scores!T$5:T$44,Scores!T41)+COUNTIFS(Scores!$B$5:$B$44,1,Scores!$C$5:$C$44,"Paper condition",Scores!T$5:T$44,Scores!T41))^2-1,"")</f>
        <v/>
      </c>
      <c r="EI41" s="1" t="str">
        <f aca="false">IF(AND(Scores!$B41=2,Scores!$C41="Tool condition",ISNUMBER(Scores!T41)),COUNTIFS(Scores!$B$5:$B$44,2,Scores!$C$5:$C$44,"Paper condition",Scores!T$5:T$44,"&lt;"&amp;Scores!T41)+0.5*COUNTIFS(Scores!$B$5:$B$44,2,Scores!$C$5:$C$44,"Paper condition",Scores!T$5:T$44,Scores!T41),"")</f>
        <v/>
      </c>
      <c r="EJ41" s="1" t="n">
        <f aca="false">IF(AND(Scores!$B41=2,OR(Scores!$C41="Tool condition",Scores!$C41="Paper condition"),ISNUMBER(Scores!T41)),(COUNTIFS(Scores!$B$5:$B$44,2,Scores!$C$5:$C$44,"Tool condition",Scores!T$5:T$44,Scores!T41)+COUNTIFS(Scores!$B$5:$B$44,2,Scores!$C$5:$C$44,"Paper condition",Scores!T$5:T$44,Scores!T41))^2-1,"")</f>
        <v>0</v>
      </c>
      <c r="EK41" s="1" t="n">
        <f aca="false">IF(ISNUMBER(Scores!T41),Scores!T41^2,"")</f>
        <v>16</v>
      </c>
      <c r="EL41" s="1" t="str">
        <f aca="false">IF(AND(Scores!$B41=1,Scores!$C41="Tool condition",ISNUMBER(Scores!U41)),COUNTIFS(Scores!$B$5:$B$44,1,Scores!$C$5:$C$44,"Paper condition",Scores!U$5:U$44,"&lt;"&amp;Scores!U41)+0.5*COUNTIFS(Scores!$B$5:$B$44,1,Scores!$C$5:$C$44,"Paper condition",Scores!U$5:U$44,Scores!U41),"")</f>
        <v/>
      </c>
      <c r="EM41" s="1" t="str">
        <f aca="false">IF(AND(Scores!$B41=1,OR(Scores!$C41="Tool condition",Scores!$C41="Paper condition"),ISNUMBER(Scores!U41)),(COUNTIFS(Scores!$B$5:$B$44,1,Scores!$C$5:$C$44,"Tool condition",Scores!U$5:U$44,Scores!U41)+COUNTIFS(Scores!$B$5:$B$44,1,Scores!$C$5:$C$44,"Paper condition",Scores!U$5:U$44,Scores!U41))^2-1,"")</f>
        <v/>
      </c>
      <c r="EN41" s="1" t="str">
        <f aca="false">IF(AND(Scores!$B41=2,Scores!$C41="Tool condition",ISNUMBER(Scores!U41)),COUNTIFS(Scores!$B$5:$B$44,2,Scores!$C$5:$C$44,"Paper condition",Scores!U$5:U$44,"&lt;"&amp;Scores!U41)+0.5*COUNTIFS(Scores!$B$5:$B$44,2,Scores!$C$5:$C$44,"Paper condition",Scores!U$5:U$44,Scores!U41),"")</f>
        <v/>
      </c>
      <c r="EO41" s="1" t="n">
        <f aca="false">IF(AND(Scores!$B41=2,OR(Scores!$C41="Tool condition",Scores!$C41="Paper condition"),ISNUMBER(Scores!U41)),(COUNTIFS(Scores!$B$5:$B$44,2,Scores!$C$5:$C$44,"Tool condition",Scores!U$5:U$44,Scores!U41)+COUNTIFS(Scores!$B$5:$B$44,2,Scores!$C$5:$C$44,"Paper condition",Scores!U$5:U$44,Scores!U41))^2-1,"")</f>
        <v>35</v>
      </c>
      <c r="EP41" s="1" t="n">
        <f aca="false">IF(ISNUMBER(Scores!U41),Scores!U41^2,"")</f>
        <v>16</v>
      </c>
      <c r="EQ41" s="1" t="str">
        <f aca="false">IF(AND(Scores!$B41=1,Scores!$C41="Tool condition",ISNUMBER(Scores!V41)),COUNTIFS(Scores!$B$5:$B$44,1,Scores!$C$5:$C$44,"Paper condition",Scores!V$5:V$44,"&lt;"&amp;Scores!V41)+0.5*COUNTIFS(Scores!$B$5:$B$44,1,Scores!$C$5:$C$44,"Paper condition",Scores!V$5:V$44,Scores!V41),"")</f>
        <v/>
      </c>
      <c r="ER41" s="1" t="str">
        <f aca="false">IF(AND(Scores!$B41=1,OR(Scores!$C41="Tool condition",Scores!$C41="Paper condition"),ISNUMBER(Scores!V41)),(COUNTIFS(Scores!$B$5:$B$44,1,Scores!$C$5:$C$44,"Tool condition",Scores!V$5:V$44,Scores!V41)+COUNTIFS(Scores!$B$5:$B$44,1,Scores!$C$5:$C$44,"Paper condition",Scores!V$5:V$44,Scores!V41))^2-1,"")</f>
        <v/>
      </c>
      <c r="ES41" s="1" t="str">
        <f aca="false">IF(AND(Scores!$B41=2,Scores!$C41="Tool condition",ISNUMBER(Scores!V41)),COUNTIFS(Scores!$B$5:$B$44,2,Scores!$C$5:$C$44,"Paper condition",Scores!V$5:V$44,"&lt;"&amp;Scores!V41)+0.5*COUNTIFS(Scores!$B$5:$B$44,2,Scores!$C$5:$C$44,"Paper condition",Scores!V$5:V$44,Scores!V41),"")</f>
        <v/>
      </c>
      <c r="ET41" s="1" t="n">
        <f aca="false">IF(AND(Scores!$B41=2,OR(Scores!$C41="Tool condition",Scores!$C41="Paper condition"),ISNUMBER(Scores!V41)),(COUNTIFS(Scores!$B$5:$B$44,2,Scores!$C$5:$C$44,"Tool condition",Scores!V$5:V$44,Scores!V41)+COUNTIFS(Scores!$B$5:$B$44,2,Scores!$C$5:$C$44,"Paper condition",Scores!V$5:V$44,Scores!V41))^2-1,"")</f>
        <v>0</v>
      </c>
      <c r="EU41" s="1" t="n">
        <f aca="false">IF(ISNUMBER(Scores!V41),Scores!V41^2,"")</f>
        <v>16</v>
      </c>
      <c r="EV41" s="1" t="str">
        <f aca="false">IF(AND(R_Scores!$B41=1,R_Scores!$C41="Tool condition",ISNUMBER(R_Scores!Q41)),COUNTIFS(R_Scores!$B$5:$B$44,1,R_Scores!$C$5:$C$44,"Paper condition",R_Scores!Q$5:Q$44,"&lt;"&amp;R_Scores!Q41)+0.5*COUNTIFS(R_Scores!$B$5:$B$44,1,R_Scores!$C$5:$C$44,"Paper condition",R_Scores!Q$5:Q$44,R_Scores!Q41),"")</f>
        <v/>
      </c>
      <c r="EW41" s="1" t="str">
        <f aca="false">IF(AND(R_Scores!$B41=1,OR(R_Scores!$C41="Tool condition",R_Scores!$C41="Paper condition"),ISNUMBER(R_Scores!Q41)),(COUNTIFS(R_Scores!$B$5:$B$44,1,R_Scores!$C$5:$C$44,"Tool condition",R_Scores!Q$5:Q$44,R_Scores!Q41)+COUNTIFS(R_Scores!$B$5:$B$44,1,R_Scores!$C$5:$C$44,"Paper condition",R_Scores!Q$5:Q$44,R_Scores!Q41))^2-1,"")</f>
        <v/>
      </c>
      <c r="EX41" s="1" t="str">
        <f aca="false">IF(AND(R_Scores!$B41=2,R_Scores!$C41="Tool condition",ISNUMBER(R_Scores!Q41)),COUNTIFS(R_Scores!$B$5:$B$44,2,R_Scores!$C$5:$C$44,"Paper condition",R_Scores!Q$5:Q$44,"&lt;"&amp;R_Scores!Q41)+0.5*COUNTIFS(R_Scores!$B$5:$B$44,2,R_Scores!$C$5:$C$44,"Paper condition",R_Scores!Q$5:Q$44,R_Scores!Q41),"")</f>
        <v/>
      </c>
      <c r="EY41" s="1" t="n">
        <f aca="false">IF(AND(R_Scores!$B41=2,OR(R_Scores!$C41="Tool condition",R_Scores!$C41="Paper condition"),ISNUMBER(R_Scores!Q41)),(COUNTIFS(R_Scores!$B$5:$B$44,2,R_Scores!$C$5:$C$44,"Tool condition",R_Scores!Q$5:Q$44,R_Scores!Q41)+COUNTIFS(R_Scores!$B$5:$B$44,2,R_Scores!$C$5:$C$44,"Paper condition",R_Scores!Q$5:Q$44,R_Scores!Q41))^2-1,"")</f>
        <v>15</v>
      </c>
      <c r="EZ41" s="1" t="n">
        <f aca="false">IF(ISNUMBER(R_Scores!Q41),R_Scores!Q41^2,"")</f>
        <v>9</v>
      </c>
      <c r="FA41" s="1" t="str">
        <f aca="false">IF(AND(R_Scores!$B41=1,R_Scores!$C41="Tool condition",ISNUMBER(R_Scores!R41)),COUNTIFS(R_Scores!$B$5:$B$44,1,R_Scores!$C$5:$C$44,"Paper condition",R_Scores!R$5:R$44,"&lt;"&amp;R_Scores!R41)+0.5*COUNTIFS(R_Scores!$B$5:$B$44,1,R_Scores!$C$5:$C$44,"Paper condition",R_Scores!R$5:R$44,R_Scores!R41),"")</f>
        <v/>
      </c>
      <c r="FB41" s="1" t="str">
        <f aca="false">IF(AND(R_Scores!$B41=1,OR(R_Scores!$C41="Tool condition",R_Scores!$C41="Paper condition"),ISNUMBER(R_Scores!R41)),(COUNTIFS(R_Scores!$B$5:$B$44,1,R_Scores!$C$5:$C$44,"Tool condition",R_Scores!R$5:R$44,R_Scores!R41)+COUNTIFS(R_Scores!$B$5:$B$44,1,R_Scores!$C$5:$C$44,"Paper condition",R_Scores!R$5:R$44,R_Scores!R41))^2-1,"")</f>
        <v/>
      </c>
      <c r="FC41" s="1" t="str">
        <f aca="false">IF(AND(R_Scores!$B41=2,R_Scores!$C41="Tool condition",ISNUMBER(R_Scores!R41)),COUNTIFS(R_Scores!$B$5:$B$44,2,R_Scores!$C$5:$C$44,"Paper condition",R_Scores!R$5:R$44,"&lt;"&amp;R_Scores!R41)+0.5*COUNTIFS(R_Scores!$B$5:$B$44,2,R_Scores!$C$5:$C$44,"Paper condition",R_Scores!R$5:R$44,R_Scores!R41),"")</f>
        <v/>
      </c>
      <c r="FD41" s="1" t="n">
        <f aca="false">IF(AND(R_Scores!$B41=2,OR(R_Scores!$C41="Tool condition",R_Scores!$C41="Paper condition"),ISNUMBER(R_Scores!R41)),(COUNTIFS(R_Scores!$B$5:$B$44,2,R_Scores!$C$5:$C$44,"Tool condition",R_Scores!R$5:R$44,R_Scores!R41)+COUNTIFS(R_Scores!$B$5:$B$44,2,R_Scores!$C$5:$C$44,"Paper condition",R_Scores!R$5:R$44,R_Scores!R41))^2-1,"")</f>
        <v>3</v>
      </c>
      <c r="FE41" s="1" t="n">
        <f aca="false">IF(ISNUMBER(R_Scores!R41),R_Scores!R41^2,"")</f>
        <v>225</v>
      </c>
    </row>
    <row r="42" customFormat="false" ht="14.25" hidden="false" customHeight="true" outlineLevel="0" collapsed="false">
      <c r="B42" s="1" t="str">
        <f aca="false">IF(AND(Scores!$B42=1,Scores!$C42="Tool condition",ISNUMBER(Scores!E42)),COUNTIFS(Scores!$B$5:$B$44,1,Scores!$C$5:$C$44,"Paper condition",Scores!E$5:E$44,"&lt;"&amp;Scores!E42)+0.5*COUNTIFS(Scores!$B$5:$B$44,1,Scores!$C$5:$C$44,"Paper condition",Scores!E$5:E$44,Scores!E42),"")</f>
        <v/>
      </c>
      <c r="C42" s="1" t="str">
        <f aca="false">IF(AND(Scores!$B42=1,OR(Scores!$C42="Tool condition",Scores!$C42="Paper condition"),ISNUMBER(Scores!E42)),(COUNTIFS(Scores!$B$5:$B$44,1,Scores!$C$5:$C$44,"Tool condition",Scores!E$5:E$44,Scores!E42)+COUNTIFS(Scores!$B$5:$B$44,1,Scores!$C$5:$C$44,"Paper condition",Scores!E$5:E$44,Scores!E42))^2-1,"")</f>
        <v/>
      </c>
      <c r="D42" s="1" t="str">
        <f aca="false">IF(AND(Scores!$B42=2,Scores!$C42="Tool condition",ISNUMBER(Scores!E42)),COUNTIFS(Scores!$B$5:$B$44,2,Scores!$C$5:$C$44,"Paper condition",Scores!E$5:E$44,"&lt;"&amp;Scores!E42)+0.5*COUNTIFS(Scores!$B$5:$B$44,2,Scores!$C$5:$C$44,"Paper condition",Scores!E$5:E$44,Scores!E42),"")</f>
        <v/>
      </c>
      <c r="E42" s="1" t="n">
        <f aca="false">IF(AND(Scores!$B42=2,OR(Scores!$C42="Tool condition",Scores!$C42="Paper condition"),ISNUMBER(Scores!E42)),(COUNTIFS(Scores!$B$5:$B$44,2,Scores!$C$5:$C$44,"Tool condition",Scores!E$5:E$44,Scores!E42)+COUNTIFS(Scores!$B$5:$B$44,2,Scores!$C$5:$C$44,"Paper condition",Scores!E$5:E$44,Scores!E42))^2-1,"")</f>
        <v>143</v>
      </c>
      <c r="F42" s="1" t="n">
        <f aca="false">IF(ISNUMBER(Scores!E42),Scores!E42^2,"")</f>
        <v>4</v>
      </c>
      <c r="G42" s="1" t="str">
        <f aca="false">IF(AND(Scores!$B42=1,Scores!$C42="Tool condition",ISNUMBER(Scores!F42)),COUNTIFS(Scores!$B$5:$B$44,1,Scores!$C$5:$C$44,"Paper condition",Scores!F$5:F$44,"&lt;"&amp;Scores!F42)+0.5*COUNTIFS(Scores!$B$5:$B$44,1,Scores!$C$5:$C$44,"Paper condition",Scores!F$5:F$44,Scores!F42),"")</f>
        <v/>
      </c>
      <c r="H42" s="1" t="str">
        <f aca="false">IF(AND(Scores!$B42=1,OR(Scores!$C42="Tool condition",Scores!$C42="Paper condition"),ISNUMBER(Scores!F42)),(COUNTIFS(Scores!$B$5:$B$44,1,Scores!$C$5:$C$44,"Tool condition",Scores!F$5:F$44,Scores!F42)+COUNTIFS(Scores!$B$5:$B$44,1,Scores!$C$5:$C$44,"Paper condition",Scores!F$5:F$44,Scores!F42))^2-1,"")</f>
        <v/>
      </c>
      <c r="I42" s="1" t="str">
        <f aca="false">IF(AND(Scores!$B42=2,Scores!$C42="Tool condition",ISNUMBER(Scores!F42)),COUNTIFS(Scores!$B$5:$B$44,2,Scores!$C$5:$C$44,"Paper condition",Scores!F$5:F$44,"&lt;"&amp;Scores!F42)+0.5*COUNTIFS(Scores!$B$5:$B$44,2,Scores!$C$5:$C$44,"Paper condition",Scores!F$5:F$44,Scores!F42),"")</f>
        <v/>
      </c>
      <c r="J42" s="1" t="n">
        <f aca="false">IF(AND(Scores!$B42=2,OR(Scores!$C42="Tool condition",Scores!$C42="Paper condition"),ISNUMBER(Scores!F42)),(COUNTIFS(Scores!$B$5:$B$44,2,Scores!$C$5:$C$44,"Tool condition",Scores!F$5:F$44,Scores!F42)+COUNTIFS(Scores!$B$5:$B$44,2,Scores!$C$5:$C$44,"Paper condition",Scores!F$5:F$44,Scores!F42))^2-1,"")</f>
        <v>120</v>
      </c>
      <c r="K42" s="1" t="n">
        <f aca="false">IF(ISNUMBER(Scores!F42),Scores!F42^2,"")</f>
        <v>4</v>
      </c>
      <c r="L42" s="1" t="str">
        <f aca="false">IF(AND(Scores!$B42=1,Scores!$C42="Tool condition",ISNUMBER(Scores!G42)),COUNTIFS(Scores!$B$5:$B$44,1,Scores!$C$5:$C$44,"Paper condition",Scores!G$5:G$44,"&lt;"&amp;Scores!G42)+0.5*COUNTIFS(Scores!$B$5:$B$44,1,Scores!$C$5:$C$44,"Paper condition",Scores!G$5:G$44,Scores!G42),"")</f>
        <v/>
      </c>
      <c r="M42" s="1" t="str">
        <f aca="false">IF(AND(Scores!$B42=1,OR(Scores!$C42="Tool condition",Scores!$C42="Paper condition"),ISNUMBER(Scores!G42)),(COUNTIFS(Scores!$B$5:$B$44,1,Scores!$C$5:$C$44,"Tool condition",Scores!G$5:G$44,Scores!G42)+COUNTIFS(Scores!$B$5:$B$44,1,Scores!$C$5:$C$44,"Paper condition",Scores!G$5:G$44,Scores!G42))^2-1,"")</f>
        <v/>
      </c>
      <c r="N42" s="1" t="str">
        <f aca="false">IF(AND(Scores!$B42=2,Scores!$C42="Tool condition",ISNUMBER(Scores!G42)),COUNTIFS(Scores!$B$5:$B$44,2,Scores!$C$5:$C$44,"Paper condition",Scores!G$5:G$44,"&lt;"&amp;Scores!G42)+0.5*COUNTIFS(Scores!$B$5:$B$44,2,Scores!$C$5:$C$44,"Paper condition",Scores!G$5:G$44,Scores!G42),"")</f>
        <v/>
      </c>
      <c r="O42" s="1" t="n">
        <f aca="false">IF(AND(Scores!$B42=2,OR(Scores!$C42="Tool condition",Scores!$C42="Paper condition"),ISNUMBER(Scores!G42)),(COUNTIFS(Scores!$B$5:$B$44,2,Scores!$C$5:$C$44,"Tool condition",Scores!G$5:G$44,Scores!G42)+COUNTIFS(Scores!$B$5:$B$44,2,Scores!$C$5:$C$44,"Paper condition",Scores!G$5:G$44,Scores!G42))^2-1,"")</f>
        <v>195</v>
      </c>
      <c r="P42" s="1" t="n">
        <f aca="false">IF(ISNUMBER(Scores!G42),Scores!G42^2,"")</f>
        <v>4</v>
      </c>
      <c r="Q42" s="1" t="str">
        <f aca="false">IF(AND(Scores!$B42=1,Scores!$C42="Tool condition",ISNUMBER(Scores!H42)),COUNTIFS(Scores!$B$5:$B$44,1,Scores!$C$5:$C$44,"Paper condition",Scores!H$5:H$44,"&lt;"&amp;Scores!H42)+0.5*COUNTIFS(Scores!$B$5:$B$44,1,Scores!$C$5:$C$44,"Paper condition",Scores!H$5:H$44,Scores!H42),"")</f>
        <v/>
      </c>
      <c r="R42" s="1" t="str">
        <f aca="false">IF(AND(Scores!$B42=1,OR(Scores!$C42="Tool condition",Scores!$C42="Paper condition"),ISNUMBER(Scores!H42)),(COUNTIFS(Scores!$B$5:$B$44,1,Scores!$C$5:$C$44,"Tool condition",Scores!H$5:H$44,Scores!H42)+COUNTIFS(Scores!$B$5:$B$44,1,Scores!$C$5:$C$44,"Paper condition",Scores!H$5:H$44,Scores!H42))^2-1,"")</f>
        <v/>
      </c>
      <c r="S42" s="1" t="str">
        <f aca="false">IF(AND(Scores!$B42=2,Scores!$C42="Tool condition",ISNUMBER(Scores!H42)),COUNTIFS(Scores!$B$5:$B$44,2,Scores!$C$5:$C$44,"Paper condition",Scores!H$5:H$44,"&lt;"&amp;Scores!H42)+0.5*COUNTIFS(Scores!$B$5:$B$44,2,Scores!$C$5:$C$44,"Paper condition",Scores!H$5:H$44,Scores!H42),"")</f>
        <v/>
      </c>
      <c r="T42" s="1" t="n">
        <f aca="false">IF(AND(Scores!$B42=2,OR(Scores!$C42="Tool condition",Scores!$C42="Paper condition"),ISNUMBER(Scores!H42)),(COUNTIFS(Scores!$B$5:$B$44,2,Scores!$C$5:$C$44,"Tool condition",Scores!H$5:H$44,Scores!H42)+COUNTIFS(Scores!$B$5:$B$44,2,Scores!$C$5:$C$44,"Paper condition",Scores!H$5:H$44,Scores!H42))^2-1,"")</f>
        <v>99</v>
      </c>
      <c r="U42" s="1" t="n">
        <f aca="false">IF(ISNUMBER(Scores!H42),Scores!H42^2,"")</f>
        <v>1</v>
      </c>
      <c r="V42" s="1" t="str">
        <f aca="false">IF(AND(Scores!$B42=1,Scores!$C42="Tool condition",ISNUMBER(Scores!I42)),COUNTIFS(Scores!$B$5:$B$44,1,Scores!$C$5:$C$44,"Paper condition",Scores!I$5:I$44,"&lt;"&amp;Scores!I42)+0.5*COUNTIFS(Scores!$B$5:$B$44,1,Scores!$C$5:$C$44,"Paper condition",Scores!I$5:I$44,Scores!I42),"")</f>
        <v/>
      </c>
      <c r="W42" s="1" t="str">
        <f aca="false">IF(AND(Scores!$B42=1,OR(Scores!$C42="Tool condition",Scores!$C42="Paper condition"),ISNUMBER(Scores!I42)),(COUNTIFS(Scores!$B$5:$B$44,1,Scores!$C$5:$C$44,"Tool condition",Scores!I$5:I$44,Scores!I42)+COUNTIFS(Scores!$B$5:$B$44,1,Scores!$C$5:$C$44,"Paper condition",Scores!I$5:I$44,Scores!I42))^2-1,"")</f>
        <v/>
      </c>
      <c r="X42" s="1" t="str">
        <f aca="false">IF(AND(Scores!$B42=2,Scores!$C42="Tool condition",ISNUMBER(Scores!I42)),COUNTIFS(Scores!$B$5:$B$44,2,Scores!$C$5:$C$44,"Paper condition",Scores!I$5:I$44,"&lt;"&amp;Scores!I42)+0.5*COUNTIFS(Scores!$B$5:$B$44,2,Scores!$C$5:$C$44,"Paper condition",Scores!I$5:I$44,Scores!I42),"")</f>
        <v/>
      </c>
      <c r="Y42" s="1" t="n">
        <f aca="false">IF(AND(Scores!$B42=2,OR(Scores!$C42="Tool condition",Scores!$C42="Paper condition"),ISNUMBER(Scores!I42)),(COUNTIFS(Scores!$B$5:$B$44,2,Scores!$C$5:$C$44,"Tool condition",Scores!I$5:I$44,Scores!I42)+COUNTIFS(Scores!$B$5:$B$44,2,Scores!$C$5:$C$44,"Paper condition",Scores!I$5:I$44,Scores!I42))^2-1,"")</f>
        <v>99</v>
      </c>
      <c r="Z42" s="1" t="n">
        <f aca="false">IF(ISNUMBER(Scores!I42),Scores!I42^2,"")</f>
        <v>4</v>
      </c>
      <c r="AA42" s="1" t="str">
        <f aca="false">IF(AND(Scores!$B42=1,Scores!$C42="Tool condition",ISNUMBER(Scores!J42)),COUNTIFS(Scores!$B$5:$B$44,1,Scores!$C$5:$C$44,"Paper condition",Scores!J$5:J$44,"&lt;"&amp;Scores!J42)+0.5*COUNTIFS(Scores!$B$5:$B$44,1,Scores!$C$5:$C$44,"Paper condition",Scores!J$5:J$44,Scores!J42),"")</f>
        <v/>
      </c>
      <c r="AB42" s="1" t="str">
        <f aca="false">IF(AND(Scores!$B42=1,OR(Scores!$C42="Tool condition",Scores!$C42="Paper condition"),ISNUMBER(Scores!J42)),(COUNTIFS(Scores!$B$5:$B$44,1,Scores!$C$5:$C$44,"Tool condition",Scores!J$5:J$44,Scores!J42)+COUNTIFS(Scores!$B$5:$B$44,1,Scores!$C$5:$C$44,"Paper condition",Scores!J$5:J$44,Scores!J42))^2-1,"")</f>
        <v/>
      </c>
      <c r="AC42" s="1" t="str">
        <f aca="false">IF(AND(Scores!$B42=2,Scores!$C42="Tool condition",ISNUMBER(Scores!J42)),COUNTIFS(Scores!$B$5:$B$44,2,Scores!$C$5:$C$44,"Paper condition",Scores!J$5:J$44,"&lt;"&amp;Scores!J42)+0.5*COUNTIFS(Scores!$B$5:$B$44,2,Scores!$C$5:$C$44,"Paper condition",Scores!J$5:J$44,Scores!J42),"")</f>
        <v/>
      </c>
      <c r="AD42" s="1" t="n">
        <f aca="false">IF(AND(Scores!$B42=2,OR(Scores!$C42="Tool condition",Scores!$C42="Paper condition"),ISNUMBER(Scores!J42)),(COUNTIFS(Scores!$B$5:$B$44,2,Scores!$C$5:$C$44,"Tool condition",Scores!J$5:J$44,Scores!J42)+COUNTIFS(Scores!$B$5:$B$44,2,Scores!$C$5:$C$44,"Paper condition",Scores!J$5:J$44,Scores!J42))^2-1,"")</f>
        <v>120</v>
      </c>
      <c r="AE42" s="1" t="n">
        <f aca="false">IF(ISNUMBER(Scores!J42),Scores!J42^2,"")</f>
        <v>4</v>
      </c>
      <c r="AF42" s="1" t="str">
        <f aca="false">IF(AND(Scores!$B42=1,Scores!$C42="Tool condition",ISNUMBER(Scores!K42)),COUNTIFS(Scores!$B$5:$B$44,1,Scores!$C$5:$C$44,"Paper condition",Scores!K$5:K$44,"&lt;"&amp;Scores!K42)+0.5*COUNTIFS(Scores!$B$5:$B$44,1,Scores!$C$5:$C$44,"Paper condition",Scores!K$5:K$44,Scores!K42),"")</f>
        <v/>
      </c>
      <c r="AG42" s="1" t="str">
        <f aca="false">IF(AND(Scores!$B42=1,OR(Scores!$C42="Tool condition",Scores!$C42="Paper condition"),ISNUMBER(Scores!K42)),(COUNTIFS(Scores!$B$5:$B$44,1,Scores!$C$5:$C$44,"Tool condition",Scores!K$5:K$44,Scores!K42)+COUNTIFS(Scores!$B$5:$B$44,1,Scores!$C$5:$C$44,"Paper condition",Scores!K$5:K$44,Scores!K42))^2-1,"")</f>
        <v/>
      </c>
      <c r="AH42" s="1" t="str">
        <f aca="false">IF(AND(Scores!$B42=2,Scores!$C42="Tool condition",ISNUMBER(Scores!K42)),COUNTIFS(Scores!$B$5:$B$44,2,Scores!$C$5:$C$44,"Paper condition",Scores!K$5:K$44,"&lt;"&amp;Scores!K42)+0.5*COUNTIFS(Scores!$B$5:$B$44,2,Scores!$C$5:$C$44,"Paper condition",Scores!K$5:K$44,Scores!K42),"")</f>
        <v/>
      </c>
      <c r="AI42" s="1" t="n">
        <f aca="false">IF(AND(Scores!$B42=2,OR(Scores!$C42="Tool condition",Scores!$C42="Paper condition"),ISNUMBER(Scores!K42)),(COUNTIFS(Scores!$B$5:$B$44,2,Scores!$C$5:$C$44,"Tool condition",Scores!K$5:K$44,Scores!K42)+COUNTIFS(Scores!$B$5:$B$44,2,Scores!$C$5:$C$44,"Paper condition",Scores!K$5:K$44,Scores!K42))^2-1,"")</f>
        <v>120</v>
      </c>
      <c r="AJ42" s="1" t="n">
        <f aca="false">IF(ISNUMBER(Scores!K42),Scores!K42^2,"")</f>
        <v>1</v>
      </c>
      <c r="AK42" s="1" t="str">
        <f aca="false">IF(AND(Scores!$B42=1,Scores!$C42="Tool condition",ISNUMBER(Scores!L42)),COUNTIFS(Scores!$B$5:$B$44,1,Scores!$C$5:$C$44,"Paper condition",Scores!L$5:L$44,"&lt;"&amp;Scores!L42)+0.5*COUNTIFS(Scores!$B$5:$B$44,1,Scores!$C$5:$C$44,"Paper condition",Scores!L$5:L$44,Scores!L42),"")</f>
        <v/>
      </c>
      <c r="AL42" s="1" t="str">
        <f aca="false">IF(AND(Scores!$B42=1,OR(Scores!$C42="Tool condition",Scores!$C42="Paper condition"),ISNUMBER(Scores!L42)),(COUNTIFS(Scores!$B$5:$B$44,1,Scores!$C$5:$C$44,"Tool condition",Scores!L$5:L$44,Scores!L42)+COUNTIFS(Scores!$B$5:$B$44,1,Scores!$C$5:$C$44,"Paper condition",Scores!L$5:L$44,Scores!L42))^2-1,"")</f>
        <v/>
      </c>
      <c r="AM42" s="1" t="str">
        <f aca="false">IF(AND(Scores!$B42=2,Scores!$C42="Tool condition",ISNUMBER(Scores!L42)),COUNTIFS(Scores!$B$5:$B$44,2,Scores!$C$5:$C$44,"Paper condition",Scores!L$5:L$44,"&lt;"&amp;Scores!L42)+0.5*COUNTIFS(Scores!$B$5:$B$44,2,Scores!$C$5:$C$44,"Paper condition",Scores!L$5:L$44,Scores!L42),"")</f>
        <v/>
      </c>
      <c r="AN42" s="1" t="n">
        <f aca="false">IF(AND(Scores!$B42=2,OR(Scores!$C42="Tool condition",Scores!$C42="Paper condition"),ISNUMBER(Scores!L42)),(COUNTIFS(Scores!$B$5:$B$44,2,Scores!$C$5:$C$44,"Tool condition",Scores!L$5:L$44,Scores!L42)+COUNTIFS(Scores!$B$5:$B$44,2,Scores!$C$5:$C$44,"Paper condition",Scores!L$5:L$44,Scores!L42))^2-1,"")</f>
        <v>99</v>
      </c>
      <c r="AO42" s="1" t="n">
        <f aca="false">IF(ISNUMBER(Scores!L42),Scores!L42^2,"")</f>
        <v>4</v>
      </c>
      <c r="AP42" s="1" t="str">
        <f aca="false">IF(AND(Scores!$B42=1,Scores!$C42="Tool condition",ISNUMBER(Scores!M42)),COUNTIFS(Scores!$B$5:$B$44,1,Scores!$C$5:$C$44,"Paper condition",Scores!M$5:M$44,"&lt;"&amp;Scores!M42)+0.5*COUNTIFS(Scores!$B$5:$B$44,1,Scores!$C$5:$C$44,"Paper condition",Scores!M$5:M$44,Scores!M42),"")</f>
        <v/>
      </c>
      <c r="AQ42" s="1" t="str">
        <f aca="false">IF(AND(Scores!$B42=1,OR(Scores!$C42="Tool condition",Scores!$C42="Paper condition"),ISNUMBER(Scores!M42)),(COUNTIFS(Scores!$B$5:$B$44,1,Scores!$C$5:$C$44,"Tool condition",Scores!M$5:M$44,Scores!M42)+COUNTIFS(Scores!$B$5:$B$44,1,Scores!$C$5:$C$44,"Paper condition",Scores!M$5:M$44,Scores!M42))^2-1,"")</f>
        <v/>
      </c>
      <c r="AR42" s="1" t="str">
        <f aca="false">IF(AND(Scores!$B42=2,Scores!$C42="Tool condition",ISNUMBER(Scores!M42)),COUNTIFS(Scores!$B$5:$B$44,2,Scores!$C$5:$C$44,"Paper condition",Scores!M$5:M$44,"&lt;"&amp;Scores!M42)+0.5*COUNTIFS(Scores!$B$5:$B$44,2,Scores!$C$5:$C$44,"Paper condition",Scores!M$5:M$44,Scores!M42),"")</f>
        <v/>
      </c>
      <c r="AS42" s="1" t="n">
        <f aca="false">IF(AND(Scores!$B42=2,OR(Scores!$C42="Tool condition",Scores!$C42="Paper condition"),ISNUMBER(Scores!M42)),(COUNTIFS(Scores!$B$5:$B$44,2,Scores!$C$5:$C$44,"Tool condition",Scores!M$5:M$44,Scores!M42)+COUNTIFS(Scores!$B$5:$B$44,2,Scores!$C$5:$C$44,"Paper condition",Scores!M$5:M$44,Scores!M42))^2-1,"")</f>
        <v>80</v>
      </c>
      <c r="AT42" s="1" t="n">
        <f aca="false">IF(ISNUMBER(Scores!M42),Scores!M42^2,"")</f>
        <v>1</v>
      </c>
      <c r="AU42" s="1" t="str">
        <f aca="false">IF(AND(Scores!$B42=1,Scores!$C42="Tool condition",ISNUMBER(Scores!N42)),COUNTIFS(Scores!$B$5:$B$44,1,Scores!$C$5:$C$44,"Paper condition",Scores!N$5:N$44,"&lt;"&amp;Scores!N42)+0.5*COUNTIFS(Scores!$B$5:$B$44,1,Scores!$C$5:$C$44,"Paper condition",Scores!N$5:N$44,Scores!N42),"")</f>
        <v/>
      </c>
      <c r="AV42" s="1" t="str">
        <f aca="false">IF(AND(Scores!$B42=1,OR(Scores!$C42="Tool condition",Scores!$C42="Paper condition"),ISNUMBER(Scores!N42)),(COUNTIFS(Scores!$B$5:$B$44,1,Scores!$C$5:$C$44,"Tool condition",Scores!N$5:N$44,Scores!N42)+COUNTIFS(Scores!$B$5:$B$44,1,Scores!$C$5:$C$44,"Paper condition",Scores!N$5:N$44,Scores!N42))^2-1,"")</f>
        <v/>
      </c>
      <c r="AW42" s="1" t="str">
        <f aca="false">IF(AND(Scores!$B42=2,Scores!$C42="Tool condition",ISNUMBER(Scores!N42)),COUNTIFS(Scores!$B$5:$B$44,2,Scores!$C$5:$C$44,"Paper condition",Scores!N$5:N$44,"&lt;"&amp;Scores!N42)+0.5*COUNTIFS(Scores!$B$5:$B$44,2,Scores!$C$5:$C$44,"Paper condition",Scores!N$5:N$44,Scores!N42),"")</f>
        <v/>
      </c>
      <c r="AX42" s="1" t="n">
        <f aca="false">IF(AND(Scores!$B42=2,OR(Scores!$C42="Tool condition",Scores!$C42="Paper condition"),ISNUMBER(Scores!N42)),(COUNTIFS(Scores!$B$5:$B$44,2,Scores!$C$5:$C$44,"Tool condition",Scores!N$5:N$44,Scores!N42)+COUNTIFS(Scores!$B$5:$B$44,2,Scores!$C$5:$C$44,"Paper condition",Scores!N$5:N$44,Scores!N42))^2-1,"")</f>
        <v>35</v>
      </c>
      <c r="AY42" s="1" t="n">
        <f aca="false">IF(ISNUMBER(Scores!N42),Scores!N42^2,"")</f>
        <v>4</v>
      </c>
      <c r="AZ42" s="1" t="str">
        <f aca="false">IF(AND(Scores!$B42=1,Scores!$C42="Tool condition",ISNUMBER(Scores!O42)),COUNTIFS(Scores!$B$5:$B$44,1,Scores!$C$5:$C$44,"Paper condition",Scores!O$5:O$44,"&lt;"&amp;Scores!O42)+0.5*COUNTIFS(Scores!$B$5:$B$44,1,Scores!$C$5:$C$44,"Paper condition",Scores!O$5:O$44,Scores!O42),"")</f>
        <v/>
      </c>
      <c r="BA42" s="1" t="str">
        <f aca="false">IF(AND(Scores!$B42=1,OR(Scores!$C42="Tool condition",Scores!$C42="Paper condition"),ISNUMBER(Scores!O42)),(COUNTIFS(Scores!$B$5:$B$44,1,Scores!$C$5:$C$44,"Tool condition",Scores!O$5:O$44,Scores!O42)+COUNTIFS(Scores!$B$5:$B$44,1,Scores!$C$5:$C$44,"Paper condition",Scores!O$5:O$44,Scores!O42))^2-1,"")</f>
        <v/>
      </c>
      <c r="BB42" s="1" t="str">
        <f aca="false">IF(AND(Scores!$B42=2,Scores!$C42="Tool condition",ISNUMBER(Scores!O42)),COUNTIFS(Scores!$B$5:$B$44,2,Scores!$C$5:$C$44,"Paper condition",Scores!O$5:O$44,"&lt;"&amp;Scores!O42)+0.5*COUNTIFS(Scores!$B$5:$B$44,2,Scores!$C$5:$C$44,"Paper condition",Scores!O$5:O$44,Scores!O42),"")</f>
        <v/>
      </c>
      <c r="BC42" s="1" t="n">
        <f aca="false">IF(AND(Scores!$B42=2,OR(Scores!$C42="Tool condition",Scores!$C42="Paper condition"),ISNUMBER(Scores!O42)),(COUNTIFS(Scores!$B$5:$B$44,2,Scores!$C$5:$C$44,"Tool condition",Scores!O$5:O$44,Scores!O42)+COUNTIFS(Scores!$B$5:$B$44,2,Scores!$C$5:$C$44,"Paper condition",Scores!O$5:O$44,Scores!O42))^2-1,"")</f>
        <v>120</v>
      </c>
      <c r="BD42" s="1" t="n">
        <f aca="false">IF(ISNUMBER(Scores!O42),Scores!O42^2,"")</f>
        <v>1</v>
      </c>
      <c r="BE42" s="1" t="str">
        <f aca="false">IF(AND(Scores!$B42=1,Scores!$C42="Tool condition",ISNUMBER(Scores!P42)),COUNTIFS(Scores!$B$5:$B$44,1,Scores!$C$5:$C$44,"Paper condition",Scores!P$5:P$44,"&lt;"&amp;Scores!P42)+0.5*COUNTIFS(Scores!$B$5:$B$44,1,Scores!$C$5:$C$44,"Paper condition",Scores!P$5:P$44,Scores!P42),"")</f>
        <v/>
      </c>
      <c r="BF42" s="1" t="str">
        <f aca="false">IF(AND(Scores!$B42=1,OR(Scores!$C42="Tool condition",Scores!$C42="Paper condition"),ISNUMBER(Scores!P42)),(COUNTIFS(Scores!$B$5:$B$44,1,Scores!$C$5:$C$44,"Tool condition",Scores!P$5:P$44,Scores!P42)+COUNTIFS(Scores!$B$5:$B$44,1,Scores!$C$5:$C$44,"Paper condition",Scores!P$5:P$44,Scores!P42))^2-1,"")</f>
        <v/>
      </c>
      <c r="BG42" s="1" t="str">
        <f aca="false">IF(AND(Scores!$B42=2,Scores!$C42="Tool condition",ISNUMBER(Scores!P42)),COUNTIFS(Scores!$B$5:$B$44,2,Scores!$C$5:$C$44,"Paper condition",Scores!P$5:P$44,"&lt;"&amp;Scores!P42)+0.5*COUNTIFS(Scores!$B$5:$B$44,2,Scores!$C$5:$C$44,"Paper condition",Scores!P$5:P$44,Scores!P42),"")</f>
        <v/>
      </c>
      <c r="BH42" s="1" t="n">
        <f aca="false">IF(AND(Scores!$B42=2,OR(Scores!$C42="Tool condition",Scores!$C42="Paper condition"),ISNUMBER(Scores!P42)),(COUNTIFS(Scores!$B$5:$B$44,2,Scores!$C$5:$C$44,"Tool condition",Scores!P$5:P$44,Scores!P42)+COUNTIFS(Scores!$B$5:$B$44,2,Scores!$C$5:$C$44,"Paper condition",Scores!P$5:P$44,Scores!P42))^2-1,"")</f>
        <v>63</v>
      </c>
      <c r="BI42" s="1" t="n">
        <f aca="false">IF(ISNUMBER(Scores!P42),Scores!P42^2,"")</f>
        <v>0</v>
      </c>
      <c r="BJ42" s="1" t="str">
        <f aca="false">IF(AND(R_Scores!$B42=1,R_Scores!$C42="Tool condition",ISNUMBER(R_Scores!E42)),COUNTIFS(R_Scores!$B$5:$B$44,1,R_Scores!$C$5:$C$44,"Paper condition",R_Scores!E$5:E$44,"&lt;"&amp;R_Scores!E42)+0.5*COUNTIFS(R_Scores!$B$5:$B$44,1,R_Scores!$C$5:$C$44,"Paper condition",R_Scores!E$5:E$44,R_Scores!E42),"")</f>
        <v/>
      </c>
      <c r="BK42" s="1" t="str">
        <f aca="false">IF(AND(R_Scores!$B42=1,OR(R_Scores!$C42="Tool condition",R_Scores!$C42="Paper condition"),ISNUMBER(R_Scores!E42)),(COUNTIFS(R_Scores!$B$5:$B$44,1,R_Scores!$C$5:$C$44,"Tool condition",R_Scores!E$5:E$44,R_Scores!E42)+COUNTIFS(R_Scores!$B$5:$B$44,1,R_Scores!$C$5:$C$44,"Paper condition",R_Scores!E$5:E$44,R_Scores!E42))^2-1,"")</f>
        <v/>
      </c>
      <c r="BL42" s="1" t="str">
        <f aca="false">IF(AND(R_Scores!$B42=2,R_Scores!$C42="Tool condition",ISNUMBER(R_Scores!E42)),COUNTIFS(R_Scores!$B$5:$B$44,2,R_Scores!$C$5:$C$44,"Paper condition",R_Scores!E$5:E$44,"&lt;"&amp;R_Scores!E42)+0.5*COUNTIFS(R_Scores!$B$5:$B$44,2,R_Scores!$C$5:$C$44,"Paper condition",R_Scores!E$5:E$44,R_Scores!E42),"")</f>
        <v/>
      </c>
      <c r="BM42" s="1" t="n">
        <f aca="false">IF(AND(R_Scores!$B42=2,OR(R_Scores!$C42="Tool condition",R_Scores!$C42="Paper condition"),ISNUMBER(R_Scores!E42)),(COUNTIFS(R_Scores!$B$5:$B$44,2,R_Scores!$C$5:$C$44,"Tool condition",R_Scores!E$5:E$44,R_Scores!E42)+COUNTIFS(R_Scores!$B$5:$B$44,2,R_Scores!$C$5:$C$44,"Paper condition",R_Scores!E$5:E$44,R_Scores!E42))^2-1,"")</f>
        <v>224</v>
      </c>
      <c r="BN42" s="1" t="n">
        <f aca="false">IF(ISNUMBER(R_Scores!E42),R_Scores!E42^2,"")</f>
        <v>1</v>
      </c>
      <c r="BO42" s="1" t="str">
        <f aca="false">IF(AND(R_Scores!$B42=1,R_Scores!$C42="Tool condition",ISNUMBER(R_Scores!F42)),COUNTIFS(R_Scores!$B$5:$B$44,1,R_Scores!$C$5:$C$44,"Paper condition",R_Scores!F$5:F$44,"&lt;"&amp;R_Scores!F42)+0.5*COUNTIFS(R_Scores!$B$5:$B$44,1,R_Scores!$C$5:$C$44,"Paper condition",R_Scores!F$5:F$44,R_Scores!F42),"")</f>
        <v/>
      </c>
      <c r="BP42" s="1" t="str">
        <f aca="false">IF(AND(R_Scores!$B42=1,OR(R_Scores!$C42="Tool condition",R_Scores!$C42="Paper condition"),ISNUMBER(R_Scores!F42)),(COUNTIFS(R_Scores!$B$5:$B$44,1,R_Scores!$C$5:$C$44,"Tool condition",R_Scores!F$5:F$44,R_Scores!F42)+COUNTIFS(R_Scores!$B$5:$B$44,1,R_Scores!$C$5:$C$44,"Paper condition",R_Scores!F$5:F$44,R_Scores!F42))^2-1,"")</f>
        <v/>
      </c>
      <c r="BQ42" s="1" t="str">
        <f aca="false">IF(AND(R_Scores!$B42=2,R_Scores!$C42="Tool condition",ISNUMBER(R_Scores!F42)),COUNTIFS(R_Scores!$B$5:$B$44,2,R_Scores!$C$5:$C$44,"Paper condition",R_Scores!F$5:F$44,"&lt;"&amp;R_Scores!F42)+0.5*COUNTIFS(R_Scores!$B$5:$B$44,2,R_Scores!$C$5:$C$44,"Paper condition",R_Scores!F$5:F$44,R_Scores!F42),"")</f>
        <v/>
      </c>
      <c r="BR42" s="1" t="n">
        <f aca="false">IF(AND(R_Scores!$B42=2,OR(R_Scores!$C42="Tool condition",R_Scores!$C42="Paper condition"),ISNUMBER(R_Scores!F42)),(COUNTIFS(R_Scores!$B$5:$B$44,2,R_Scores!$C$5:$C$44,"Tool condition",R_Scores!F$5:F$44,R_Scores!F42)+COUNTIFS(R_Scores!$B$5:$B$44,2,R_Scores!$C$5:$C$44,"Paper condition",R_Scores!F$5:F$44,R_Scores!F42))^2-1,"")</f>
        <v>195</v>
      </c>
      <c r="BS42" s="1" t="n">
        <f aca="false">IF(ISNUMBER(R_Scores!F42),R_Scores!F42^2,"")</f>
        <v>1</v>
      </c>
      <c r="BT42" s="1" t="str">
        <f aca="false">IF(AND(R_Scores!$B42=1,R_Scores!$C42="Tool condition",ISNUMBER(R_Scores!G42)),COUNTIFS(R_Scores!$B$5:$B$44,1,R_Scores!$C$5:$C$44,"Paper condition",R_Scores!G$5:G$44,"&lt;"&amp;R_Scores!G42)+0.5*COUNTIFS(R_Scores!$B$5:$B$44,1,R_Scores!$C$5:$C$44,"Paper condition",R_Scores!G$5:G$44,R_Scores!G42),"")</f>
        <v/>
      </c>
      <c r="BU42" s="1" t="str">
        <f aca="false">IF(AND(R_Scores!$B42=1,OR(R_Scores!$C42="Tool condition",R_Scores!$C42="Paper condition"),ISNUMBER(R_Scores!G42)),(COUNTIFS(R_Scores!$B$5:$B$44,1,R_Scores!$C$5:$C$44,"Tool condition",R_Scores!G$5:G$44,R_Scores!G42)+COUNTIFS(R_Scores!$B$5:$B$44,1,R_Scores!$C$5:$C$44,"Paper condition",R_Scores!G$5:G$44,R_Scores!G42))^2-1,"")</f>
        <v/>
      </c>
      <c r="BV42" s="1" t="str">
        <f aca="false">IF(AND(R_Scores!$B42=2,R_Scores!$C42="Tool condition",ISNUMBER(R_Scores!G42)),COUNTIFS(R_Scores!$B$5:$B$44,2,R_Scores!$C$5:$C$44,"Paper condition",R_Scores!G$5:G$44,"&lt;"&amp;R_Scores!G42)+0.5*COUNTIFS(R_Scores!$B$5:$B$44,2,R_Scores!$C$5:$C$44,"Paper condition",R_Scores!G$5:G$44,R_Scores!G42),"")</f>
        <v/>
      </c>
      <c r="BW42" s="1" t="str">
        <f aca="false">IF(AND(R_Scores!$B42=2,OR(R_Scores!$C42="Tool condition",R_Scores!$C42="Paper condition"),ISNUMBER(R_Scores!G42)),(COUNTIFS(R_Scores!$B$5:$B$44,2,R_Scores!$C$5:$C$44,"Tool condition",R_Scores!G$5:G$44,R_Scores!G42)+COUNTIFS(R_Scores!$B$5:$B$44,2,R_Scores!$C$5:$C$44,"Paper condition",R_Scores!G$5:G$44,R_Scores!G42))^2-1,"")</f>
        <v/>
      </c>
      <c r="BX42" s="1" t="str">
        <f aca="false">IF(ISNUMBER(R_Scores!G42),R_Scores!G42^2,"")</f>
        <v/>
      </c>
      <c r="BY42" s="1" t="str">
        <f aca="false">IF(AND(R_Scores!$B42=1,R_Scores!$C42="Tool condition",ISNUMBER(R_Scores!H42)),COUNTIFS(R_Scores!$B$5:$B$44,1,R_Scores!$C$5:$C$44,"Paper condition",R_Scores!H$5:H$44,"&lt;"&amp;R_Scores!H42)+0.5*COUNTIFS(R_Scores!$B$5:$B$44,1,R_Scores!$C$5:$C$44,"Paper condition",R_Scores!H$5:H$44,R_Scores!H42),"")</f>
        <v/>
      </c>
      <c r="BZ42" s="1" t="str">
        <f aca="false">IF(AND(R_Scores!$B42=1,OR(R_Scores!$C42="Tool condition",R_Scores!$C42="Paper condition"),ISNUMBER(R_Scores!H42)),(COUNTIFS(R_Scores!$B$5:$B$44,1,R_Scores!$C$5:$C$44,"Tool condition",R_Scores!H$5:H$44,R_Scores!H42)+COUNTIFS(R_Scores!$B$5:$B$44,1,R_Scores!$C$5:$C$44,"Paper condition",R_Scores!H$5:H$44,R_Scores!H42))^2-1,"")</f>
        <v/>
      </c>
      <c r="CA42" s="1" t="str">
        <f aca="false">IF(AND(R_Scores!$B42=2,R_Scores!$C42="Tool condition",ISNUMBER(R_Scores!H42)),COUNTIFS(R_Scores!$B$5:$B$44,2,R_Scores!$C$5:$C$44,"Paper condition",R_Scores!H$5:H$44,"&lt;"&amp;R_Scores!H42)+0.5*COUNTIFS(R_Scores!$B$5:$B$44,2,R_Scores!$C$5:$C$44,"Paper condition",R_Scores!H$5:H$44,R_Scores!H42),"")</f>
        <v/>
      </c>
      <c r="CB42" s="1" t="str">
        <f aca="false">IF(AND(R_Scores!$B42=2,OR(R_Scores!$C42="Tool condition",R_Scores!$C42="Paper condition"),ISNUMBER(R_Scores!H42)),(COUNTIFS(R_Scores!$B$5:$B$44,2,R_Scores!$C$5:$C$44,"Tool condition",R_Scores!H$5:H$44,R_Scores!H42)+COUNTIFS(R_Scores!$B$5:$B$44,2,R_Scores!$C$5:$C$44,"Paper condition",R_Scores!H$5:H$44,R_Scores!H42))^2-1,"")</f>
        <v/>
      </c>
      <c r="CC42" s="1" t="str">
        <f aca="false">IF(ISNUMBER(R_Scores!H42),R_Scores!H42^2,"")</f>
        <v/>
      </c>
      <c r="CD42" s="1" t="str">
        <f aca="false">IF(AND(R_Scores!$B42=1,R_Scores!$C42="Tool condition",ISNUMBER(R_Scores!I42)),COUNTIFS(R_Scores!$B$5:$B$44,1,R_Scores!$C$5:$C$44,"Paper condition",R_Scores!I$5:I$44,"&lt;"&amp;R_Scores!I42)+0.5*COUNTIFS(R_Scores!$B$5:$B$44,1,R_Scores!$C$5:$C$44,"Paper condition",R_Scores!I$5:I$44,R_Scores!I42),"")</f>
        <v/>
      </c>
      <c r="CE42" s="1" t="str">
        <f aca="false">IF(AND(R_Scores!$B42=1,OR(R_Scores!$C42="Tool condition",R_Scores!$C42="Paper condition"),ISNUMBER(R_Scores!I42)),(COUNTIFS(R_Scores!$B$5:$B$44,1,R_Scores!$C$5:$C$44,"Tool condition",R_Scores!I$5:I$44,R_Scores!I42)+COUNTIFS(R_Scores!$B$5:$B$44,1,R_Scores!$C$5:$C$44,"Paper condition",R_Scores!I$5:I$44,R_Scores!I42))^2-1,"")</f>
        <v/>
      </c>
      <c r="CF42" s="1" t="str">
        <f aca="false">IF(AND(R_Scores!$B42=2,R_Scores!$C42="Tool condition",ISNUMBER(R_Scores!I42)),COUNTIFS(R_Scores!$B$5:$B$44,2,R_Scores!$C$5:$C$44,"Paper condition",R_Scores!I$5:I$44,"&lt;"&amp;R_Scores!I42)+0.5*COUNTIFS(R_Scores!$B$5:$B$44,2,R_Scores!$C$5:$C$44,"Paper condition",R_Scores!I$5:I$44,R_Scores!I42),"")</f>
        <v/>
      </c>
      <c r="CG42" s="1" t="n">
        <f aca="false">IF(AND(R_Scores!$B42=2,OR(R_Scores!$C42="Tool condition",R_Scores!$C42="Paper condition"),ISNUMBER(R_Scores!I42)),(COUNTIFS(R_Scores!$B$5:$B$44,2,R_Scores!$C$5:$C$44,"Tool condition",R_Scores!I$5:I$44,R_Scores!I42)+COUNTIFS(R_Scores!$B$5:$B$44,2,R_Scores!$C$5:$C$44,"Paper condition",R_Scores!I$5:I$44,R_Scores!I42))^2-1,"")</f>
        <v>255</v>
      </c>
      <c r="CH42" s="1" t="n">
        <f aca="false">IF(ISNUMBER(R_Scores!I42),R_Scores!I42^2,"")</f>
        <v>1</v>
      </c>
      <c r="CI42" s="1" t="str">
        <f aca="false">IF(AND(R_Scores!$B42=1,R_Scores!$C42="Tool condition",ISNUMBER(R_Scores!J42)),COUNTIFS(R_Scores!$B$5:$B$44,1,R_Scores!$C$5:$C$44,"Paper condition",R_Scores!J$5:J$44,"&lt;"&amp;R_Scores!J42)+0.5*COUNTIFS(R_Scores!$B$5:$B$44,1,R_Scores!$C$5:$C$44,"Paper condition",R_Scores!J$5:J$44,R_Scores!J42),"")</f>
        <v/>
      </c>
      <c r="CJ42" s="1" t="str">
        <f aca="false">IF(AND(R_Scores!$B42=1,OR(R_Scores!$C42="Tool condition",R_Scores!$C42="Paper condition"),ISNUMBER(R_Scores!J42)),(COUNTIFS(R_Scores!$B$5:$B$44,1,R_Scores!$C$5:$C$44,"Tool condition",R_Scores!J$5:J$44,R_Scores!J42)+COUNTIFS(R_Scores!$B$5:$B$44,1,R_Scores!$C$5:$C$44,"Paper condition",R_Scores!J$5:J$44,R_Scores!J42))^2-1,"")</f>
        <v/>
      </c>
      <c r="CK42" s="1" t="str">
        <f aca="false">IF(AND(R_Scores!$B42=2,R_Scores!$C42="Tool condition",ISNUMBER(R_Scores!J42)),COUNTIFS(R_Scores!$B$5:$B$44,2,R_Scores!$C$5:$C$44,"Paper condition",R_Scores!J$5:J$44,"&lt;"&amp;R_Scores!J42)+0.5*COUNTIFS(R_Scores!$B$5:$B$44,2,R_Scores!$C$5:$C$44,"Paper condition",R_Scores!J$5:J$44,R_Scores!J42),"")</f>
        <v/>
      </c>
      <c r="CL42" s="1" t="n">
        <f aca="false">IF(AND(R_Scores!$B42=2,OR(R_Scores!$C42="Tool condition",R_Scores!$C42="Paper condition"),ISNUMBER(R_Scores!J42)),(COUNTIFS(R_Scores!$B$5:$B$44,2,R_Scores!$C$5:$C$44,"Tool condition",R_Scores!J$5:J$44,R_Scores!J42)+COUNTIFS(R_Scores!$B$5:$B$44,2,R_Scores!$C$5:$C$44,"Paper condition",R_Scores!J$5:J$44,R_Scores!J42))^2-1,"")</f>
        <v>195</v>
      </c>
      <c r="CM42" s="1" t="n">
        <f aca="false">IF(ISNUMBER(R_Scores!J42),R_Scores!J42^2,"")</f>
        <v>1</v>
      </c>
      <c r="CN42" s="1" t="str">
        <f aca="false">IF(AND(R_Scores!$B42=1,R_Scores!$C42="Tool condition",ISNUMBER(R_Scores!K42)),COUNTIFS(R_Scores!$B$5:$B$44,1,R_Scores!$C$5:$C$44,"Paper condition",R_Scores!K$5:K$44,"&lt;"&amp;R_Scores!K42)+0.5*COUNTIFS(R_Scores!$B$5:$B$44,1,R_Scores!$C$5:$C$44,"Paper condition",R_Scores!K$5:K$44,R_Scores!K42),"")</f>
        <v/>
      </c>
      <c r="CO42" s="1" t="str">
        <f aca="false">IF(AND(R_Scores!$B42=1,OR(R_Scores!$C42="Tool condition",R_Scores!$C42="Paper condition"),ISNUMBER(R_Scores!K42)),(COUNTIFS(R_Scores!$B$5:$B$44,1,R_Scores!$C$5:$C$44,"Tool condition",R_Scores!K$5:K$44,R_Scores!K42)+COUNTIFS(R_Scores!$B$5:$B$44,1,R_Scores!$C$5:$C$44,"Paper condition",R_Scores!K$5:K$44,R_Scores!K42))^2-1,"")</f>
        <v/>
      </c>
      <c r="CP42" s="1" t="str">
        <f aca="false">IF(AND(R_Scores!$B42=2,R_Scores!$C42="Tool condition",ISNUMBER(R_Scores!K42)),COUNTIFS(R_Scores!$B$5:$B$44,2,R_Scores!$C$5:$C$44,"Paper condition",R_Scores!K$5:K$44,"&lt;"&amp;R_Scores!K42)+0.5*COUNTIFS(R_Scores!$B$5:$B$44,2,R_Scores!$C$5:$C$44,"Paper condition",R_Scores!K$5:K$44,R_Scores!K42),"")</f>
        <v/>
      </c>
      <c r="CQ42" s="1" t="str">
        <f aca="false">IF(AND(R_Scores!$B42=2,OR(R_Scores!$C42="Tool condition",R_Scores!$C42="Paper condition"),ISNUMBER(R_Scores!K42)),(COUNTIFS(R_Scores!$B$5:$B$44,2,R_Scores!$C$5:$C$44,"Tool condition",R_Scores!K$5:K$44,R_Scores!K42)+COUNTIFS(R_Scores!$B$5:$B$44,2,R_Scores!$C$5:$C$44,"Paper condition",R_Scores!K$5:K$44,R_Scores!K42))^2-1,"")</f>
        <v/>
      </c>
      <c r="CR42" s="1" t="str">
        <f aca="false">IF(ISNUMBER(R_Scores!K42),R_Scores!K42^2,"")</f>
        <v/>
      </c>
      <c r="CS42" s="1" t="str">
        <f aca="false">IF(AND(R_Scores!$B42=1,R_Scores!$C42="Tool condition",ISNUMBER(R_Scores!L42)),COUNTIFS(R_Scores!$B$5:$B$44,1,R_Scores!$C$5:$C$44,"Paper condition",R_Scores!L$5:L$44,"&lt;"&amp;R_Scores!L42)+0.5*COUNTIFS(R_Scores!$B$5:$B$44,1,R_Scores!$C$5:$C$44,"Paper condition",R_Scores!L$5:L$44,R_Scores!L42),"")</f>
        <v/>
      </c>
      <c r="CT42" s="1" t="str">
        <f aca="false">IF(AND(R_Scores!$B42=1,OR(R_Scores!$C42="Tool condition",R_Scores!$C42="Paper condition"),ISNUMBER(R_Scores!L42)),(COUNTIFS(R_Scores!$B$5:$B$44,1,R_Scores!$C$5:$C$44,"Tool condition",R_Scores!L$5:L$44,R_Scores!L42)+COUNTIFS(R_Scores!$B$5:$B$44,1,R_Scores!$C$5:$C$44,"Paper condition",R_Scores!L$5:L$44,R_Scores!L42))^2-1,"")</f>
        <v/>
      </c>
      <c r="CU42" s="1" t="str">
        <f aca="false">IF(AND(R_Scores!$B42=2,R_Scores!$C42="Tool condition",ISNUMBER(R_Scores!L42)),COUNTIFS(R_Scores!$B$5:$B$44,2,R_Scores!$C$5:$C$44,"Paper condition",R_Scores!L$5:L$44,"&lt;"&amp;R_Scores!L42)+0.5*COUNTIFS(R_Scores!$B$5:$B$44,2,R_Scores!$C$5:$C$44,"Paper condition",R_Scores!L$5:L$44,R_Scores!L42),"")</f>
        <v/>
      </c>
      <c r="CV42" s="1" t="str">
        <f aca="false">IF(AND(R_Scores!$B42=2,OR(R_Scores!$C42="Tool condition",R_Scores!$C42="Paper condition"),ISNUMBER(R_Scores!L42)),(COUNTIFS(R_Scores!$B$5:$B$44,2,R_Scores!$C$5:$C$44,"Tool condition",R_Scores!L$5:L$44,R_Scores!L42)+COUNTIFS(R_Scores!$B$5:$B$44,2,R_Scores!$C$5:$C$44,"Paper condition",R_Scores!L$5:L$44,R_Scores!L42))^2-1,"")</f>
        <v/>
      </c>
      <c r="CW42" s="1" t="str">
        <f aca="false">IF(ISNUMBER(R_Scores!L42),R_Scores!L42^2,"")</f>
        <v/>
      </c>
      <c r="CX42" s="1" t="str">
        <f aca="false">IF(AND(R_Scores!$B42=1,R_Scores!$C42="Tool condition",ISNUMBER(R_Scores!M42)),COUNTIFS(R_Scores!$B$5:$B$44,1,R_Scores!$C$5:$C$44,"Paper condition",R_Scores!M$5:M$44,"&lt;"&amp;R_Scores!M42)+0.5*COUNTIFS(R_Scores!$B$5:$B$44,1,R_Scores!$C$5:$C$44,"Paper condition",R_Scores!M$5:M$44,R_Scores!M42),"")</f>
        <v/>
      </c>
      <c r="CY42" s="1" t="str">
        <f aca="false">IF(AND(R_Scores!$B42=1,OR(R_Scores!$C42="Tool condition",R_Scores!$C42="Paper condition"),ISNUMBER(R_Scores!M42)),(COUNTIFS(R_Scores!$B$5:$B$44,1,R_Scores!$C$5:$C$44,"Tool condition",R_Scores!M$5:M$44,R_Scores!M42)+COUNTIFS(R_Scores!$B$5:$B$44,1,R_Scores!$C$5:$C$44,"Paper condition",R_Scores!M$5:M$44,R_Scores!M42))^2-1,"")</f>
        <v/>
      </c>
      <c r="CZ42" s="1" t="str">
        <f aca="false">IF(AND(R_Scores!$B42=2,R_Scores!$C42="Tool condition",ISNUMBER(R_Scores!M42)),COUNTIFS(R_Scores!$B$5:$B$44,2,R_Scores!$C$5:$C$44,"Paper condition",R_Scores!M$5:M$44,"&lt;"&amp;R_Scores!M42)+0.5*COUNTIFS(R_Scores!$B$5:$B$44,2,R_Scores!$C$5:$C$44,"Paper condition",R_Scores!M$5:M$44,R_Scores!M42),"")</f>
        <v/>
      </c>
      <c r="DA42" s="1" t="str">
        <f aca="false">IF(AND(R_Scores!$B42=2,OR(R_Scores!$C42="Tool condition",R_Scores!$C42="Paper condition"),ISNUMBER(R_Scores!M42)),(COUNTIFS(R_Scores!$B$5:$B$44,2,R_Scores!$C$5:$C$44,"Tool condition",R_Scores!M$5:M$44,R_Scores!M42)+COUNTIFS(R_Scores!$B$5:$B$44,2,R_Scores!$C$5:$C$44,"Paper condition",R_Scores!M$5:M$44,R_Scores!M42))^2-1,"")</f>
        <v/>
      </c>
      <c r="DB42" s="1" t="str">
        <f aca="false">IF(ISNUMBER(R_Scores!M42),R_Scores!M42^2,"")</f>
        <v/>
      </c>
      <c r="DC42" s="1" t="str">
        <f aca="false">IF(AND(R_Scores!$B42=1,R_Scores!$C42="Tool condition",ISNUMBER(R_Scores!N42)),COUNTIFS(R_Scores!$B$5:$B$44,1,R_Scores!$C$5:$C$44,"Paper condition",R_Scores!N$5:N$44,"&lt;"&amp;R_Scores!N42)+0.5*COUNTIFS(R_Scores!$B$5:$B$44,1,R_Scores!$C$5:$C$44,"Paper condition",R_Scores!N$5:N$44,R_Scores!N42),"")</f>
        <v/>
      </c>
      <c r="DD42" s="1" t="str">
        <f aca="false">IF(AND(R_Scores!$B42=1,OR(R_Scores!$C42="Tool condition",R_Scores!$C42="Paper condition"),ISNUMBER(R_Scores!N42)),(COUNTIFS(R_Scores!$B$5:$B$44,1,R_Scores!$C$5:$C$44,"Tool condition",R_Scores!N$5:N$44,R_Scores!N42)+COUNTIFS(R_Scores!$B$5:$B$44,1,R_Scores!$C$5:$C$44,"Paper condition",R_Scores!N$5:N$44,R_Scores!N42))^2-1,"")</f>
        <v/>
      </c>
      <c r="DE42" s="1" t="str">
        <f aca="false">IF(AND(R_Scores!$B42=2,R_Scores!$C42="Tool condition",ISNUMBER(R_Scores!N42)),COUNTIFS(R_Scores!$B$5:$B$44,2,R_Scores!$C$5:$C$44,"Paper condition",R_Scores!N$5:N$44,"&lt;"&amp;R_Scores!N42)+0.5*COUNTIFS(R_Scores!$B$5:$B$44,2,R_Scores!$C$5:$C$44,"Paper condition",R_Scores!N$5:N$44,R_Scores!N42),"")</f>
        <v/>
      </c>
      <c r="DF42" s="1" t="n">
        <f aca="false">IF(AND(R_Scores!$B42=2,OR(R_Scores!$C42="Tool condition",R_Scores!$C42="Paper condition"),ISNUMBER(R_Scores!N42)),(COUNTIFS(R_Scores!$B$5:$B$44,2,R_Scores!$C$5:$C$44,"Tool condition",R_Scores!N$5:N$44,R_Scores!N42)+COUNTIFS(R_Scores!$B$5:$B$44,2,R_Scores!$C$5:$C$44,"Paper condition",R_Scores!N$5:N$44,R_Scores!N42))^2-1,"")</f>
        <v>143</v>
      </c>
      <c r="DG42" s="1" t="n">
        <f aca="false">IF(ISNUMBER(R_Scores!N42),R_Scores!N42^2,"")</f>
        <v>1</v>
      </c>
      <c r="DH42" s="1" t="str">
        <f aca="false">IF(AND(R_Scores!$B42=1,R_Scores!$C42="Tool condition",ISNUMBER(R_Scores!O42)),COUNTIFS(R_Scores!$B$5:$B$44,1,R_Scores!$C$5:$C$44,"Paper condition",R_Scores!O$5:O$44,"&lt;"&amp;R_Scores!O42)+0.5*COUNTIFS(R_Scores!$B$5:$B$44,1,R_Scores!$C$5:$C$44,"Paper condition",R_Scores!O$5:O$44,R_Scores!O42),"")</f>
        <v/>
      </c>
      <c r="DI42" s="1" t="str">
        <f aca="false">IF(AND(R_Scores!$B42=1,OR(R_Scores!$C42="Tool condition",R_Scores!$C42="Paper condition"),ISNUMBER(R_Scores!O42)),(COUNTIFS(R_Scores!$B$5:$B$44,1,R_Scores!$C$5:$C$44,"Tool condition",R_Scores!O$5:O$44,R_Scores!O42)+COUNTIFS(R_Scores!$B$5:$B$44,1,R_Scores!$C$5:$C$44,"Paper condition",R_Scores!O$5:O$44,R_Scores!O42))^2-1,"")</f>
        <v/>
      </c>
      <c r="DJ42" s="1" t="str">
        <f aca="false">IF(AND(R_Scores!$B42=2,R_Scores!$C42="Tool condition",ISNUMBER(R_Scores!O42)),COUNTIFS(R_Scores!$B$5:$B$44,2,R_Scores!$C$5:$C$44,"Paper condition",R_Scores!O$5:O$44,"&lt;"&amp;R_Scores!O42)+0.5*COUNTIFS(R_Scores!$B$5:$B$44,2,R_Scores!$C$5:$C$44,"Paper condition",R_Scores!O$5:O$44,R_Scores!O42),"")</f>
        <v/>
      </c>
      <c r="DK42" s="1" t="n">
        <f aca="false">IF(AND(R_Scores!$B42=2,OR(R_Scores!$C42="Tool condition",R_Scores!$C42="Paper condition"),ISNUMBER(R_Scores!O42)),(COUNTIFS(R_Scores!$B$5:$B$44,2,R_Scores!$C$5:$C$44,"Tool condition",R_Scores!O$5:O$44,R_Scores!O42)+COUNTIFS(R_Scores!$B$5:$B$44,2,R_Scores!$C$5:$C$44,"Paper condition",R_Scores!O$5:O$44,R_Scores!O42))^2-1,"")</f>
        <v>48</v>
      </c>
      <c r="DL42" s="1" t="n">
        <f aca="false">IF(ISNUMBER(R_Scores!O42),R_Scores!O42^2,"")</f>
        <v>0</v>
      </c>
      <c r="DM42" s="1" t="str">
        <f aca="false">IF(AND(R_Scores!$B42=1,R_Scores!$C42="Tool condition",ISNUMBER(R_Scores!P42)),COUNTIFS(R_Scores!$B$5:$B$44,1,R_Scores!$C$5:$C$44,"Paper condition",R_Scores!P$5:P$44,"&lt;"&amp;R_Scores!P42)+0.5*COUNTIFS(R_Scores!$B$5:$B$44,1,R_Scores!$C$5:$C$44,"Paper condition",R_Scores!P$5:P$44,R_Scores!P42),"")</f>
        <v/>
      </c>
      <c r="DN42" s="1" t="str">
        <f aca="false">IF(AND(R_Scores!$B42=1,OR(R_Scores!$C42="Tool condition",R_Scores!$C42="Paper condition"),ISNUMBER(R_Scores!P42)),(COUNTIFS(R_Scores!$B$5:$B$44,1,R_Scores!$C$5:$C$44,"Tool condition",R_Scores!P$5:P$44,R_Scores!P42)+COUNTIFS(R_Scores!$B$5:$B$44,1,R_Scores!$C$5:$C$44,"Paper condition",R_Scores!P$5:P$44,R_Scores!P42))^2-1,"")</f>
        <v/>
      </c>
      <c r="DO42" s="1" t="str">
        <f aca="false">IF(AND(R_Scores!$B42=2,R_Scores!$C42="Tool condition",ISNUMBER(R_Scores!P42)),COUNTIFS(R_Scores!$B$5:$B$44,2,R_Scores!$C$5:$C$44,"Paper condition",R_Scores!P$5:P$44,"&lt;"&amp;R_Scores!P42)+0.5*COUNTIFS(R_Scores!$B$5:$B$44,2,R_Scores!$C$5:$C$44,"Paper condition",R_Scores!P$5:P$44,R_Scores!P42),"")</f>
        <v/>
      </c>
      <c r="DP42" s="1" t="n">
        <f aca="false">IF(AND(R_Scores!$B42=2,OR(R_Scores!$C42="Tool condition",R_Scores!$C42="Paper condition"),ISNUMBER(R_Scores!P42)),(COUNTIFS(R_Scores!$B$5:$B$44,2,R_Scores!$C$5:$C$44,"Tool condition",R_Scores!P$5:P$44,R_Scores!P42)+COUNTIFS(R_Scores!$B$5:$B$44,2,R_Scores!$C$5:$C$44,"Paper condition",R_Scores!P$5:P$44,R_Scores!P42))^2-1,"")</f>
        <v>168</v>
      </c>
      <c r="DQ42" s="1" t="n">
        <f aca="false">IF(ISNUMBER(R_Scores!P42),R_Scores!P42^2,"")</f>
        <v>0</v>
      </c>
      <c r="DR42" s="1" t="str">
        <f aca="false">IF(AND(Scores!$B42=1,Scores!$C42="Tool condition",ISNUMBER(Scores!Q42)),COUNTIFS(Scores!$B$5:$B$44,1,Scores!$C$5:$C$44,"Paper condition",Scores!Q$5:Q$44,"&lt;"&amp;Scores!Q42)+0.5*COUNTIFS(Scores!$B$5:$B$44,1,Scores!$C$5:$C$44,"Paper condition",Scores!Q$5:Q$44,Scores!Q42),"")</f>
        <v/>
      </c>
      <c r="DS42" s="1" t="str">
        <f aca="false">IF(AND(Scores!$B42=1,OR(Scores!$C42="Tool condition",Scores!$C42="Paper condition"),ISNUMBER(Scores!Q42)),(COUNTIFS(Scores!$B$5:$B$44,1,Scores!$C$5:$C$44,"Tool condition",Scores!Q$5:Q$44,Scores!Q42)+COUNTIFS(Scores!$B$5:$B$44,1,Scores!$C$5:$C$44,"Paper condition",Scores!Q$5:Q$44,Scores!Q42))^2-1,"")</f>
        <v/>
      </c>
      <c r="DT42" s="1" t="str">
        <f aca="false">IF(AND(Scores!$B42=2,Scores!$C42="Tool condition",ISNUMBER(Scores!Q42)),COUNTIFS(Scores!$B$5:$B$44,2,Scores!$C$5:$C$44,"Paper condition",Scores!Q$5:Q$44,"&lt;"&amp;Scores!Q42)+0.5*COUNTIFS(Scores!$B$5:$B$44,2,Scores!$C$5:$C$44,"Paper condition",Scores!Q$5:Q$44,Scores!Q42),"")</f>
        <v/>
      </c>
      <c r="DU42" s="1" t="n">
        <f aca="false">IF(AND(Scores!$B42=2,OR(Scores!$C42="Tool condition",Scores!$C42="Paper condition"),ISNUMBER(Scores!Q42)),(COUNTIFS(Scores!$B$5:$B$44,2,Scores!$C$5:$C$44,"Tool condition",Scores!Q$5:Q$44,Scores!Q42)+COUNTIFS(Scores!$B$5:$B$44,2,Scores!$C$5:$C$44,"Paper condition",Scores!Q$5:Q$44,Scores!Q42))^2-1,"")</f>
        <v>15</v>
      </c>
      <c r="DV42" s="1" t="n">
        <f aca="false">IF(ISNUMBER(Scores!Q42),Scores!Q42^2,"")</f>
        <v>324</v>
      </c>
      <c r="DW42" s="1" t="str">
        <f aca="false">IF(AND(Scores!$B42=1,Scores!$C42="Tool condition",ISNUMBER(Scores!R42)),COUNTIFS(Scores!$B$5:$B$44,1,Scores!$C$5:$C$44,"Paper condition",Scores!R$5:R$44,"&lt;"&amp;Scores!R42)+0.5*COUNTIFS(Scores!$B$5:$B$44,1,Scores!$C$5:$C$44,"Paper condition",Scores!R$5:R$44,Scores!R42),"")</f>
        <v/>
      </c>
      <c r="DX42" s="1" t="str">
        <f aca="false">IF(AND(Scores!$B42=1,OR(Scores!$C42="Tool condition",Scores!$C42="Paper condition"),ISNUMBER(Scores!R42)),(COUNTIFS(Scores!$B$5:$B$44,1,Scores!$C$5:$C$44,"Tool condition",Scores!R$5:R$44,Scores!R42)+COUNTIFS(Scores!$B$5:$B$44,1,Scores!$C$5:$C$44,"Paper condition",Scores!R$5:R$44,Scores!R42))^2-1,"")</f>
        <v/>
      </c>
      <c r="DY42" s="1" t="str">
        <f aca="false">IF(AND(Scores!$B42=2,Scores!$C42="Tool condition",ISNUMBER(Scores!R42)),COUNTIFS(Scores!$B$5:$B$44,2,Scores!$C$5:$C$44,"Paper condition",Scores!R$5:R$44,"&lt;"&amp;Scores!R42)+0.5*COUNTIFS(Scores!$B$5:$B$44,2,Scores!$C$5:$C$44,"Paper condition",Scores!R$5:R$44,Scores!R42),"")</f>
        <v/>
      </c>
      <c r="DZ42" s="1" t="n">
        <f aca="false">IF(AND(Scores!$B42=2,OR(Scores!$C42="Tool condition",Scores!$C42="Paper condition"),ISNUMBER(Scores!R42)),(COUNTIFS(Scores!$B$5:$B$44,2,Scores!$C$5:$C$44,"Tool condition",Scores!R$5:R$44,Scores!R42)+COUNTIFS(Scores!$B$5:$B$44,2,Scores!$C$5:$C$44,"Paper condition",Scores!R$5:R$44,Scores!R42))^2-1,"")</f>
        <v>80</v>
      </c>
      <c r="EA42" s="1" t="n">
        <f aca="false">IF(ISNUMBER(Scores!R42),Scores!R42^2,"")</f>
        <v>100</v>
      </c>
      <c r="EB42" s="1" t="str">
        <f aca="false">IF(AND(Scores!$B42=1,Scores!$C42="Tool condition",ISNUMBER(Scores!S42)),COUNTIFS(Scores!$B$5:$B$44,1,Scores!$C$5:$C$44,"Paper condition",Scores!S$5:S$44,"&lt;"&amp;Scores!S42)+0.5*COUNTIFS(Scores!$B$5:$B$44,1,Scores!$C$5:$C$44,"Paper condition",Scores!S$5:S$44,Scores!S42),"")</f>
        <v/>
      </c>
      <c r="EC42" s="1" t="str">
        <f aca="false">IF(AND(Scores!$B42=1,OR(Scores!$C42="Tool condition",Scores!$C42="Paper condition"),ISNUMBER(Scores!S42)),(COUNTIFS(Scores!$B$5:$B$44,1,Scores!$C$5:$C$44,"Tool condition",Scores!S$5:S$44,Scores!S42)+COUNTIFS(Scores!$B$5:$B$44,1,Scores!$C$5:$C$44,"Paper condition",Scores!S$5:S$44,Scores!S42))^2-1,"")</f>
        <v/>
      </c>
      <c r="ED42" s="1" t="str">
        <f aca="false">IF(AND(Scores!$B42=2,Scores!$C42="Tool condition",ISNUMBER(Scores!S42)),COUNTIFS(Scores!$B$5:$B$44,2,Scores!$C$5:$C$44,"Paper condition",Scores!S$5:S$44,"&lt;"&amp;Scores!S42)+0.5*COUNTIFS(Scores!$B$5:$B$44,2,Scores!$C$5:$C$44,"Paper condition",Scores!S$5:S$44,Scores!S42),"")</f>
        <v/>
      </c>
      <c r="EE42" s="1" t="n">
        <f aca="false">IF(AND(Scores!$B42=2,OR(Scores!$C42="Tool condition",Scores!$C42="Paper condition"),ISNUMBER(Scores!S42)),(COUNTIFS(Scores!$B$5:$B$44,2,Scores!$C$5:$C$44,"Tool condition",Scores!S$5:S$44,Scores!S42)+COUNTIFS(Scores!$B$5:$B$44,2,Scores!$C$5:$C$44,"Paper condition",Scores!S$5:S$44,Scores!S42))^2-1,"")</f>
        <v>63</v>
      </c>
      <c r="EF42" s="1" t="n">
        <f aca="false">IF(ISNUMBER(Scores!S42),Scores!S42^2,"")</f>
        <v>64</v>
      </c>
      <c r="EG42" s="1" t="str">
        <f aca="false">IF(AND(Scores!$B42=1,Scores!$C42="Tool condition",ISNUMBER(Scores!T42)),COUNTIFS(Scores!$B$5:$B$44,1,Scores!$C$5:$C$44,"Paper condition",Scores!T$5:T$44,"&lt;"&amp;Scores!T42)+0.5*COUNTIFS(Scores!$B$5:$B$44,1,Scores!$C$5:$C$44,"Paper condition",Scores!T$5:T$44,Scores!T42),"")</f>
        <v/>
      </c>
      <c r="EH42" s="1" t="str">
        <f aca="false">IF(AND(Scores!$B42=1,OR(Scores!$C42="Tool condition",Scores!$C42="Paper condition"),ISNUMBER(Scores!T42)),(COUNTIFS(Scores!$B$5:$B$44,1,Scores!$C$5:$C$44,"Tool condition",Scores!T$5:T$44,Scores!T42)+COUNTIFS(Scores!$B$5:$B$44,1,Scores!$C$5:$C$44,"Paper condition",Scores!T$5:T$44,Scores!T42))^2-1,"")</f>
        <v/>
      </c>
      <c r="EI42" s="1" t="str">
        <f aca="false">IF(AND(Scores!$B42=2,Scores!$C42="Tool condition",ISNUMBER(Scores!T42)),COUNTIFS(Scores!$B$5:$B$44,2,Scores!$C$5:$C$44,"Paper condition",Scores!T$5:T$44,"&lt;"&amp;Scores!T42)+0.5*COUNTIFS(Scores!$B$5:$B$44,2,Scores!$C$5:$C$44,"Paper condition",Scores!T$5:T$44,Scores!T42),"")</f>
        <v/>
      </c>
      <c r="EJ42" s="1" t="n">
        <f aca="false">IF(AND(Scores!$B42=2,OR(Scores!$C42="Tool condition",Scores!$C42="Paper condition"),ISNUMBER(Scores!T42)),(COUNTIFS(Scores!$B$5:$B$44,2,Scores!$C$5:$C$44,"Tool condition",Scores!T$5:T$44,Scores!T42)+COUNTIFS(Scores!$B$5:$B$44,2,Scores!$C$5:$C$44,"Paper condition",Scores!T$5:T$44,Scores!T42))^2-1,"")</f>
        <v>80</v>
      </c>
      <c r="EK42" s="1" t="n">
        <f aca="false">IF(ISNUMBER(Scores!T42),Scores!T42^2,"")</f>
        <v>36</v>
      </c>
      <c r="EL42" s="1" t="str">
        <f aca="false">IF(AND(Scores!$B42=1,Scores!$C42="Tool condition",ISNUMBER(Scores!U42)),COUNTIFS(Scores!$B$5:$B$44,1,Scores!$C$5:$C$44,"Paper condition",Scores!U$5:U$44,"&lt;"&amp;Scores!U42)+0.5*COUNTIFS(Scores!$B$5:$B$44,1,Scores!$C$5:$C$44,"Paper condition",Scores!U$5:U$44,Scores!U42),"")</f>
        <v/>
      </c>
      <c r="EM42" s="1" t="str">
        <f aca="false">IF(AND(Scores!$B42=1,OR(Scores!$C42="Tool condition",Scores!$C42="Paper condition"),ISNUMBER(Scores!U42)),(COUNTIFS(Scores!$B$5:$B$44,1,Scores!$C$5:$C$44,"Tool condition",Scores!U$5:U$44,Scores!U42)+COUNTIFS(Scores!$B$5:$B$44,1,Scores!$C$5:$C$44,"Paper condition",Scores!U$5:U$44,Scores!U42))^2-1,"")</f>
        <v/>
      </c>
      <c r="EN42" s="1" t="str">
        <f aca="false">IF(AND(Scores!$B42=2,Scores!$C42="Tool condition",ISNUMBER(Scores!U42)),COUNTIFS(Scores!$B$5:$B$44,2,Scores!$C$5:$C$44,"Paper condition",Scores!U$5:U$44,"&lt;"&amp;Scores!U42)+0.5*COUNTIFS(Scores!$B$5:$B$44,2,Scores!$C$5:$C$44,"Paper condition",Scores!U$5:U$44,Scores!U42),"")</f>
        <v/>
      </c>
      <c r="EO42" s="1" t="n">
        <f aca="false">IF(AND(Scores!$B42=2,OR(Scores!$C42="Tool condition",Scores!$C42="Paper condition"),ISNUMBER(Scores!U42)),(COUNTIFS(Scores!$B$5:$B$44,2,Scores!$C$5:$C$44,"Tool condition",Scores!U$5:U$44,Scores!U42)+COUNTIFS(Scores!$B$5:$B$44,2,Scores!$C$5:$C$44,"Paper condition",Scores!U$5:U$44,Scores!U42))^2-1,"")</f>
        <v>15</v>
      </c>
      <c r="EP42" s="1" t="n">
        <f aca="false">IF(ISNUMBER(Scores!U42),Scores!U42^2,"")</f>
        <v>25</v>
      </c>
      <c r="EQ42" s="1" t="str">
        <f aca="false">IF(AND(Scores!$B42=1,Scores!$C42="Tool condition",ISNUMBER(Scores!V42)),COUNTIFS(Scores!$B$5:$B$44,1,Scores!$C$5:$C$44,"Paper condition",Scores!V$5:V$44,"&lt;"&amp;Scores!V42)+0.5*COUNTIFS(Scores!$B$5:$B$44,1,Scores!$C$5:$C$44,"Paper condition",Scores!V$5:V$44,Scores!V42),"")</f>
        <v/>
      </c>
      <c r="ER42" s="1" t="str">
        <f aca="false">IF(AND(Scores!$B42=1,OR(Scores!$C42="Tool condition",Scores!$C42="Paper condition"),ISNUMBER(Scores!V42)),(COUNTIFS(Scores!$B$5:$B$44,1,Scores!$C$5:$C$44,"Tool condition",Scores!V$5:V$44,Scores!V42)+COUNTIFS(Scores!$B$5:$B$44,1,Scores!$C$5:$C$44,"Paper condition",Scores!V$5:V$44,Scores!V42))^2-1,"")</f>
        <v/>
      </c>
      <c r="ES42" s="1" t="str">
        <f aca="false">IF(AND(Scores!$B42=2,Scores!$C42="Tool condition",ISNUMBER(Scores!V42)),COUNTIFS(Scores!$B$5:$B$44,2,Scores!$C$5:$C$44,"Paper condition",Scores!V$5:V$44,"&lt;"&amp;Scores!V42)+0.5*COUNTIFS(Scores!$B$5:$B$44,2,Scores!$C$5:$C$44,"Paper condition",Scores!V$5:V$44,Scores!V42),"")</f>
        <v/>
      </c>
      <c r="ET42" s="1" t="n">
        <f aca="false">IF(AND(Scores!$B42=2,OR(Scores!$C42="Tool condition",Scores!$C42="Paper condition"),ISNUMBER(Scores!V42)),(COUNTIFS(Scores!$B$5:$B$44,2,Scores!$C$5:$C$44,"Tool condition",Scores!V$5:V$44,Scores!V42)+COUNTIFS(Scores!$B$5:$B$44,2,Scores!$C$5:$C$44,"Paper condition",Scores!V$5:V$44,Scores!V42))^2-1,"")</f>
        <v>48</v>
      </c>
      <c r="EU42" s="1" t="n">
        <f aca="false">IF(ISNUMBER(Scores!V42),Scores!V42^2,"")</f>
        <v>49</v>
      </c>
      <c r="EV42" s="1" t="str">
        <f aca="false">IF(AND(R_Scores!$B42=1,R_Scores!$C42="Tool condition",ISNUMBER(R_Scores!Q42)),COUNTIFS(R_Scores!$B$5:$B$44,1,R_Scores!$C$5:$C$44,"Paper condition",R_Scores!Q$5:Q$44,"&lt;"&amp;R_Scores!Q42)+0.5*COUNTIFS(R_Scores!$B$5:$B$44,1,R_Scores!$C$5:$C$44,"Paper condition",R_Scores!Q$5:Q$44,R_Scores!Q42),"")</f>
        <v/>
      </c>
      <c r="EW42" s="1" t="str">
        <f aca="false">IF(AND(R_Scores!$B42=1,OR(R_Scores!$C42="Tool condition",R_Scores!$C42="Paper condition"),ISNUMBER(R_Scores!Q42)),(COUNTIFS(R_Scores!$B$5:$B$44,1,R_Scores!$C$5:$C$44,"Tool condition",R_Scores!Q$5:Q$44,R_Scores!Q42)+COUNTIFS(R_Scores!$B$5:$B$44,1,R_Scores!$C$5:$C$44,"Paper condition",R_Scores!Q$5:Q$44,R_Scores!Q42))^2-1,"")</f>
        <v/>
      </c>
      <c r="EX42" s="1" t="str">
        <f aca="false">IF(AND(R_Scores!$B42=2,R_Scores!$C42="Tool condition",ISNUMBER(R_Scores!Q42)),COUNTIFS(R_Scores!$B$5:$B$44,2,R_Scores!$C$5:$C$44,"Paper condition",R_Scores!Q$5:Q$44,"&lt;"&amp;R_Scores!Q42)+0.5*COUNTIFS(R_Scores!$B$5:$B$44,2,R_Scores!$C$5:$C$44,"Paper condition",R_Scores!Q$5:Q$44,R_Scores!Q42),"")</f>
        <v/>
      </c>
      <c r="EY42" s="1" t="n">
        <f aca="false">IF(AND(R_Scores!$B42=2,OR(R_Scores!$C42="Tool condition",R_Scores!$C42="Paper condition"),ISNUMBER(R_Scores!Q42)),(COUNTIFS(R_Scores!$B$5:$B$44,2,R_Scores!$C$5:$C$44,"Tool condition",R_Scores!Q$5:Q$44,R_Scores!Q42)+COUNTIFS(R_Scores!$B$5:$B$44,2,R_Scores!$C$5:$C$44,"Paper condition",R_Scores!Q$5:Q$44,R_Scores!Q42))^2-1,"")</f>
        <v>143</v>
      </c>
      <c r="EZ42" s="1" t="n">
        <f aca="false">IF(ISNUMBER(R_Scores!Q42),R_Scores!Q42^2,"")</f>
        <v>25</v>
      </c>
      <c r="FA42" s="1" t="str">
        <f aca="false">IF(AND(R_Scores!$B42=1,R_Scores!$C42="Tool condition",ISNUMBER(R_Scores!R42)),COUNTIFS(R_Scores!$B$5:$B$44,1,R_Scores!$C$5:$C$44,"Paper condition",R_Scores!R$5:R$44,"&lt;"&amp;R_Scores!R42)+0.5*COUNTIFS(R_Scores!$B$5:$B$44,1,R_Scores!$C$5:$C$44,"Paper condition",R_Scores!R$5:R$44,R_Scores!R42),"")</f>
        <v/>
      </c>
      <c r="FB42" s="1" t="str">
        <f aca="false">IF(AND(R_Scores!$B42=1,OR(R_Scores!$C42="Tool condition",R_Scores!$C42="Paper condition"),ISNUMBER(R_Scores!R42)),(COUNTIFS(R_Scores!$B$5:$B$44,1,R_Scores!$C$5:$C$44,"Tool condition",R_Scores!R$5:R$44,R_Scores!R42)+COUNTIFS(R_Scores!$B$5:$B$44,1,R_Scores!$C$5:$C$44,"Paper condition",R_Scores!R$5:R$44,R_Scores!R42))^2-1,"")</f>
        <v/>
      </c>
      <c r="FC42" s="1" t="str">
        <f aca="false">IF(AND(R_Scores!$B42=2,R_Scores!$C42="Tool condition",ISNUMBER(R_Scores!R42)),COUNTIFS(R_Scores!$B$5:$B$44,2,R_Scores!$C$5:$C$44,"Paper condition",R_Scores!R$5:R$44,"&lt;"&amp;R_Scores!R42)+0.5*COUNTIFS(R_Scores!$B$5:$B$44,2,R_Scores!$C$5:$C$44,"Paper condition",R_Scores!R$5:R$44,R_Scores!R42),"")</f>
        <v/>
      </c>
      <c r="FD42" s="1" t="n">
        <f aca="false">IF(AND(R_Scores!$B42=2,OR(R_Scores!$C42="Tool condition",R_Scores!$C42="Paper condition"),ISNUMBER(R_Scores!R42)),(COUNTIFS(R_Scores!$B$5:$B$44,2,R_Scores!$C$5:$C$44,"Tool condition",R_Scores!R$5:R$44,R_Scores!R42)+COUNTIFS(R_Scores!$B$5:$B$44,2,R_Scores!$C$5:$C$44,"Paper condition",R_Scores!R$5:R$44,R_Scores!R42))^2-1,"")</f>
        <v>8</v>
      </c>
      <c r="FE42" s="1" t="n">
        <f aca="false">IF(ISNUMBER(R_Scores!R42),R_Scores!R42^2,"")</f>
        <v>529</v>
      </c>
    </row>
    <row r="43" customFormat="false" ht="14.25" hidden="false" customHeight="true" outlineLevel="0" collapsed="false">
      <c r="B43" s="1" t="str">
        <f aca="false">IF(AND(Scores!$B43=1,Scores!$C43="Tool condition",ISNUMBER(Scores!E43)),COUNTIFS(Scores!$B$5:$B$44,1,Scores!$C$5:$C$44,"Paper condition",Scores!E$5:E$44,"&lt;"&amp;Scores!E43)+0.5*COUNTIFS(Scores!$B$5:$B$44,1,Scores!$C$5:$C$44,"Paper condition",Scores!E$5:E$44,Scores!E43),"")</f>
        <v/>
      </c>
      <c r="C43" s="1" t="str">
        <f aca="false">IF(AND(Scores!$B43=1,OR(Scores!$C43="Tool condition",Scores!$C43="Paper condition"),ISNUMBER(Scores!E43)),(COUNTIFS(Scores!$B$5:$B$44,1,Scores!$C$5:$C$44,"Tool condition",Scores!E$5:E$44,Scores!E43)+COUNTIFS(Scores!$B$5:$B$44,1,Scores!$C$5:$C$44,"Paper condition",Scores!E$5:E$44,Scores!E43))^2-1,"")</f>
        <v/>
      </c>
      <c r="D43" s="1" t="str">
        <f aca="false">IF(AND(Scores!$B43=2,Scores!$C43="Tool condition",ISNUMBER(Scores!E43)),COUNTIFS(Scores!$B$5:$B$44,2,Scores!$C$5:$C$44,"Paper condition",Scores!E$5:E$44,"&lt;"&amp;Scores!E43)+0.5*COUNTIFS(Scores!$B$5:$B$44,2,Scores!$C$5:$C$44,"Paper condition",Scores!E$5:E$44,Scores!E43),"")</f>
        <v/>
      </c>
      <c r="E43" s="1" t="n">
        <f aca="false">IF(AND(Scores!$B43=2,OR(Scores!$C43="Tool condition",Scores!$C43="Paper condition"),ISNUMBER(Scores!E43)),(COUNTIFS(Scores!$B$5:$B$44,2,Scores!$C$5:$C$44,"Tool condition",Scores!E$5:E$44,Scores!E43)+COUNTIFS(Scores!$B$5:$B$44,2,Scores!$C$5:$C$44,"Paper condition",Scores!E$5:E$44,Scores!E43))^2-1,"")</f>
        <v>63</v>
      </c>
      <c r="F43" s="1" t="n">
        <f aca="false">IF(ISNUMBER(Scores!E43),Scores!E43^2,"")</f>
        <v>1</v>
      </c>
      <c r="G43" s="1" t="str">
        <f aca="false">IF(AND(Scores!$B43=1,Scores!$C43="Tool condition",ISNUMBER(Scores!F43)),COUNTIFS(Scores!$B$5:$B$44,1,Scores!$C$5:$C$44,"Paper condition",Scores!F$5:F$44,"&lt;"&amp;Scores!F43)+0.5*COUNTIFS(Scores!$B$5:$B$44,1,Scores!$C$5:$C$44,"Paper condition",Scores!F$5:F$44,Scores!F43),"")</f>
        <v/>
      </c>
      <c r="H43" s="1" t="str">
        <f aca="false">IF(AND(Scores!$B43=1,OR(Scores!$C43="Tool condition",Scores!$C43="Paper condition"),ISNUMBER(Scores!F43)),(COUNTIFS(Scores!$B$5:$B$44,1,Scores!$C$5:$C$44,"Tool condition",Scores!F$5:F$44,Scores!F43)+COUNTIFS(Scores!$B$5:$B$44,1,Scores!$C$5:$C$44,"Paper condition",Scores!F$5:F$44,Scores!F43))^2-1,"")</f>
        <v/>
      </c>
      <c r="I43" s="1" t="str">
        <f aca="false">IF(AND(Scores!$B43=2,Scores!$C43="Tool condition",ISNUMBER(Scores!F43)),COUNTIFS(Scores!$B$5:$B$44,2,Scores!$C$5:$C$44,"Paper condition",Scores!F$5:F$44,"&lt;"&amp;Scores!F43)+0.5*COUNTIFS(Scores!$B$5:$B$44,2,Scores!$C$5:$C$44,"Paper condition",Scores!F$5:F$44,Scores!F43),"")</f>
        <v/>
      </c>
      <c r="J43" s="1" t="n">
        <f aca="false">IF(AND(Scores!$B43=2,OR(Scores!$C43="Tool condition",Scores!$C43="Paper condition"),ISNUMBER(Scores!F43)),(COUNTIFS(Scores!$B$5:$B$44,2,Scores!$C$5:$C$44,"Tool condition",Scores!F$5:F$44,Scores!F43)+COUNTIFS(Scores!$B$5:$B$44,2,Scores!$C$5:$C$44,"Paper condition",Scores!F$5:F$44,Scores!F43))^2-1,"")</f>
        <v>63</v>
      </c>
      <c r="K43" s="1" t="n">
        <f aca="false">IF(ISNUMBER(Scores!F43),Scores!F43^2,"")</f>
        <v>1</v>
      </c>
      <c r="L43" s="1" t="str">
        <f aca="false">IF(AND(Scores!$B43=1,Scores!$C43="Tool condition",ISNUMBER(Scores!G43)),COUNTIFS(Scores!$B$5:$B$44,1,Scores!$C$5:$C$44,"Paper condition",Scores!G$5:G$44,"&lt;"&amp;Scores!G43)+0.5*COUNTIFS(Scores!$B$5:$B$44,1,Scores!$C$5:$C$44,"Paper condition",Scores!G$5:G$44,Scores!G43),"")</f>
        <v/>
      </c>
      <c r="M43" s="1" t="str">
        <f aca="false">IF(AND(Scores!$B43=1,OR(Scores!$C43="Tool condition",Scores!$C43="Paper condition"),ISNUMBER(Scores!G43)),(COUNTIFS(Scores!$B$5:$B$44,1,Scores!$C$5:$C$44,"Tool condition",Scores!G$5:G$44,Scores!G43)+COUNTIFS(Scores!$B$5:$B$44,1,Scores!$C$5:$C$44,"Paper condition",Scores!G$5:G$44,Scores!G43))^2-1,"")</f>
        <v/>
      </c>
      <c r="N43" s="1" t="str">
        <f aca="false">IF(AND(Scores!$B43=2,Scores!$C43="Tool condition",ISNUMBER(Scores!G43)),COUNTIFS(Scores!$B$5:$B$44,2,Scores!$C$5:$C$44,"Paper condition",Scores!G$5:G$44,"&lt;"&amp;Scores!G43)+0.5*COUNTIFS(Scores!$B$5:$B$44,2,Scores!$C$5:$C$44,"Paper condition",Scores!G$5:G$44,Scores!G43),"")</f>
        <v/>
      </c>
      <c r="O43" s="1" t="n">
        <f aca="false">IF(AND(Scores!$B43=2,OR(Scores!$C43="Tool condition",Scores!$C43="Paper condition"),ISNUMBER(Scores!G43)),(COUNTIFS(Scores!$B$5:$B$44,2,Scores!$C$5:$C$44,"Tool condition",Scores!G$5:G$44,Scores!G43)+COUNTIFS(Scores!$B$5:$B$44,2,Scores!$C$5:$C$44,"Paper condition",Scores!G$5:G$44,Scores!G43))^2-1,"")</f>
        <v>35</v>
      </c>
      <c r="P43" s="1" t="n">
        <f aca="false">IF(ISNUMBER(Scores!G43),Scores!G43^2,"")</f>
        <v>1</v>
      </c>
      <c r="Q43" s="1" t="str">
        <f aca="false">IF(AND(Scores!$B43=1,Scores!$C43="Tool condition",ISNUMBER(Scores!H43)),COUNTIFS(Scores!$B$5:$B$44,1,Scores!$C$5:$C$44,"Paper condition",Scores!H$5:H$44,"&lt;"&amp;Scores!H43)+0.5*COUNTIFS(Scores!$B$5:$B$44,1,Scores!$C$5:$C$44,"Paper condition",Scores!H$5:H$44,Scores!H43),"")</f>
        <v/>
      </c>
      <c r="R43" s="1" t="str">
        <f aca="false">IF(AND(Scores!$B43=1,OR(Scores!$C43="Tool condition",Scores!$C43="Paper condition"),ISNUMBER(Scores!H43)),(COUNTIFS(Scores!$B$5:$B$44,1,Scores!$C$5:$C$44,"Tool condition",Scores!H$5:H$44,Scores!H43)+COUNTIFS(Scores!$B$5:$B$44,1,Scores!$C$5:$C$44,"Paper condition",Scores!H$5:H$44,Scores!H43))^2-1,"")</f>
        <v/>
      </c>
      <c r="S43" s="1" t="str">
        <f aca="false">IF(AND(Scores!$B43=2,Scores!$C43="Tool condition",ISNUMBER(Scores!H43)),COUNTIFS(Scores!$B$5:$B$44,2,Scores!$C$5:$C$44,"Paper condition",Scores!H$5:H$44,"&lt;"&amp;Scores!H43)+0.5*COUNTIFS(Scores!$B$5:$B$44,2,Scores!$C$5:$C$44,"Paper condition",Scores!H$5:H$44,Scores!H43),"")</f>
        <v/>
      </c>
      <c r="T43" s="1" t="n">
        <f aca="false">IF(AND(Scores!$B43=2,OR(Scores!$C43="Tool condition",Scores!$C43="Paper condition"),ISNUMBER(Scores!H43)),(COUNTIFS(Scores!$B$5:$B$44,2,Scores!$C$5:$C$44,"Tool condition",Scores!H$5:H$44,Scores!H43)+COUNTIFS(Scores!$B$5:$B$44,2,Scores!$C$5:$C$44,"Paper condition",Scores!H$5:H$44,Scores!H43))^2-1,"")</f>
        <v>99</v>
      </c>
      <c r="U43" s="1" t="n">
        <f aca="false">IF(ISNUMBER(Scores!H43),Scores!H43^2,"")</f>
        <v>4</v>
      </c>
      <c r="V43" s="1" t="str">
        <f aca="false">IF(AND(Scores!$B43=1,Scores!$C43="Tool condition",ISNUMBER(Scores!I43)),COUNTIFS(Scores!$B$5:$B$44,1,Scores!$C$5:$C$44,"Paper condition",Scores!I$5:I$44,"&lt;"&amp;Scores!I43)+0.5*COUNTIFS(Scores!$B$5:$B$44,1,Scores!$C$5:$C$44,"Paper condition",Scores!I$5:I$44,Scores!I43),"")</f>
        <v/>
      </c>
      <c r="W43" s="1" t="str">
        <f aca="false">IF(AND(Scores!$B43=1,OR(Scores!$C43="Tool condition",Scores!$C43="Paper condition"),ISNUMBER(Scores!I43)),(COUNTIFS(Scores!$B$5:$B$44,1,Scores!$C$5:$C$44,"Tool condition",Scores!I$5:I$44,Scores!I43)+COUNTIFS(Scores!$B$5:$B$44,1,Scores!$C$5:$C$44,"Paper condition",Scores!I$5:I$44,Scores!I43))^2-1,"")</f>
        <v/>
      </c>
      <c r="X43" s="1" t="str">
        <f aca="false">IF(AND(Scores!$B43=2,Scores!$C43="Tool condition",ISNUMBER(Scores!I43)),COUNTIFS(Scores!$B$5:$B$44,2,Scores!$C$5:$C$44,"Paper condition",Scores!I$5:I$44,"&lt;"&amp;Scores!I43)+0.5*COUNTIFS(Scores!$B$5:$B$44,2,Scores!$C$5:$C$44,"Paper condition",Scores!I$5:I$44,Scores!I43),"")</f>
        <v/>
      </c>
      <c r="Y43" s="1" t="n">
        <f aca="false">IF(AND(Scores!$B43=2,OR(Scores!$C43="Tool condition",Scores!$C43="Paper condition"),ISNUMBER(Scores!I43)),(COUNTIFS(Scores!$B$5:$B$44,2,Scores!$C$5:$C$44,"Tool condition",Scores!I$5:I$44,Scores!I43)+COUNTIFS(Scores!$B$5:$B$44,2,Scores!$C$5:$C$44,"Paper condition",Scores!I$5:I$44,Scores!I43))^2-1,"")</f>
        <v>80</v>
      </c>
      <c r="Z43" s="1" t="n">
        <f aca="false">IF(ISNUMBER(Scores!I43),Scores!I43^2,"")</f>
        <v>1</v>
      </c>
      <c r="AA43" s="1" t="str">
        <f aca="false">IF(AND(Scores!$B43=1,Scores!$C43="Tool condition",ISNUMBER(Scores!J43)),COUNTIFS(Scores!$B$5:$B$44,1,Scores!$C$5:$C$44,"Paper condition",Scores!J$5:J$44,"&lt;"&amp;Scores!J43)+0.5*COUNTIFS(Scores!$B$5:$B$44,1,Scores!$C$5:$C$44,"Paper condition",Scores!J$5:J$44,Scores!J43),"")</f>
        <v/>
      </c>
      <c r="AB43" s="1" t="str">
        <f aca="false">IF(AND(Scores!$B43=1,OR(Scores!$C43="Tool condition",Scores!$C43="Paper condition"),ISNUMBER(Scores!J43)),(COUNTIFS(Scores!$B$5:$B$44,1,Scores!$C$5:$C$44,"Tool condition",Scores!J$5:J$44,Scores!J43)+COUNTIFS(Scores!$B$5:$B$44,1,Scores!$C$5:$C$44,"Paper condition",Scores!J$5:J$44,Scores!J43))^2-1,"")</f>
        <v/>
      </c>
      <c r="AC43" s="1" t="str">
        <f aca="false">IF(AND(Scores!$B43=2,Scores!$C43="Tool condition",ISNUMBER(Scores!J43)),COUNTIFS(Scores!$B$5:$B$44,2,Scores!$C$5:$C$44,"Paper condition",Scores!J$5:J$44,"&lt;"&amp;Scores!J43)+0.5*COUNTIFS(Scores!$B$5:$B$44,2,Scores!$C$5:$C$44,"Paper condition",Scores!J$5:J$44,Scores!J43),"")</f>
        <v/>
      </c>
      <c r="AD43" s="1" t="n">
        <f aca="false">IF(AND(Scores!$B43=2,OR(Scores!$C43="Tool condition",Scores!$C43="Paper condition"),ISNUMBER(Scores!J43)),(COUNTIFS(Scores!$B$5:$B$44,2,Scores!$C$5:$C$44,"Tool condition",Scores!J$5:J$44,Scores!J43)+COUNTIFS(Scores!$B$5:$B$44,2,Scores!$C$5:$C$44,"Paper condition",Scores!J$5:J$44,Scores!J43))^2-1,"")</f>
        <v>80</v>
      </c>
      <c r="AE43" s="1" t="n">
        <f aca="false">IF(ISNUMBER(Scores!J43),Scores!J43^2,"")</f>
        <v>1</v>
      </c>
      <c r="AF43" s="1" t="str">
        <f aca="false">IF(AND(Scores!$B43=1,Scores!$C43="Tool condition",ISNUMBER(Scores!K43)),COUNTIFS(Scores!$B$5:$B$44,1,Scores!$C$5:$C$44,"Paper condition",Scores!K$5:K$44,"&lt;"&amp;Scores!K43)+0.5*COUNTIFS(Scores!$B$5:$B$44,1,Scores!$C$5:$C$44,"Paper condition",Scores!K$5:K$44,Scores!K43),"")</f>
        <v/>
      </c>
      <c r="AG43" s="1" t="str">
        <f aca="false">IF(AND(Scores!$B43=1,OR(Scores!$C43="Tool condition",Scores!$C43="Paper condition"),ISNUMBER(Scores!K43)),(COUNTIFS(Scores!$B$5:$B$44,1,Scores!$C$5:$C$44,"Tool condition",Scores!K$5:K$44,Scores!K43)+COUNTIFS(Scores!$B$5:$B$44,1,Scores!$C$5:$C$44,"Paper condition",Scores!K$5:K$44,Scores!K43))^2-1,"")</f>
        <v/>
      </c>
      <c r="AH43" s="1" t="str">
        <f aca="false">IF(AND(Scores!$B43=2,Scores!$C43="Tool condition",ISNUMBER(Scores!K43)),COUNTIFS(Scores!$B$5:$B$44,2,Scores!$C$5:$C$44,"Paper condition",Scores!K$5:K$44,"&lt;"&amp;Scores!K43)+0.5*COUNTIFS(Scores!$B$5:$B$44,2,Scores!$C$5:$C$44,"Paper condition",Scores!K$5:K$44,Scores!K43),"")</f>
        <v/>
      </c>
      <c r="AI43" s="1" t="n">
        <f aca="false">IF(AND(Scores!$B43=2,OR(Scores!$C43="Tool condition",Scores!$C43="Paper condition"),ISNUMBER(Scores!K43)),(COUNTIFS(Scores!$B$5:$B$44,2,Scores!$C$5:$C$44,"Tool condition",Scores!K$5:K$44,Scores!K43)+COUNTIFS(Scores!$B$5:$B$44,2,Scores!$C$5:$C$44,"Paper condition",Scores!K$5:K$44,Scores!K43))^2-1,"")</f>
        <v>80</v>
      </c>
      <c r="AJ43" s="1" t="n">
        <f aca="false">IF(ISNUMBER(Scores!K43),Scores!K43^2,"")</f>
        <v>4</v>
      </c>
      <c r="AK43" s="1" t="str">
        <f aca="false">IF(AND(Scores!$B43=1,Scores!$C43="Tool condition",ISNUMBER(Scores!L43)),COUNTIFS(Scores!$B$5:$B$44,1,Scores!$C$5:$C$44,"Paper condition",Scores!L$5:L$44,"&lt;"&amp;Scores!L43)+0.5*COUNTIFS(Scores!$B$5:$B$44,1,Scores!$C$5:$C$44,"Paper condition",Scores!L$5:L$44,Scores!L43),"")</f>
        <v/>
      </c>
      <c r="AL43" s="1" t="str">
        <f aca="false">IF(AND(Scores!$B43=1,OR(Scores!$C43="Tool condition",Scores!$C43="Paper condition"),ISNUMBER(Scores!L43)),(COUNTIFS(Scores!$B$5:$B$44,1,Scores!$C$5:$C$44,"Tool condition",Scores!L$5:L$44,Scores!L43)+COUNTIFS(Scores!$B$5:$B$44,1,Scores!$C$5:$C$44,"Paper condition",Scores!L$5:L$44,Scores!L43))^2-1,"")</f>
        <v/>
      </c>
      <c r="AM43" s="1" t="str">
        <f aca="false">IF(AND(Scores!$B43=2,Scores!$C43="Tool condition",ISNUMBER(Scores!L43)),COUNTIFS(Scores!$B$5:$B$44,2,Scores!$C$5:$C$44,"Paper condition",Scores!L$5:L$44,"&lt;"&amp;Scores!L43)+0.5*COUNTIFS(Scores!$B$5:$B$44,2,Scores!$C$5:$C$44,"Paper condition",Scores!L$5:L$44,Scores!L43),"")</f>
        <v/>
      </c>
      <c r="AN43" s="1" t="n">
        <f aca="false">IF(AND(Scores!$B43=2,OR(Scores!$C43="Tool condition",Scores!$C43="Paper condition"),ISNUMBER(Scores!L43)),(COUNTIFS(Scores!$B$5:$B$44,2,Scores!$C$5:$C$44,"Tool condition",Scores!L$5:L$44,Scores!L43)+COUNTIFS(Scores!$B$5:$B$44,2,Scores!$C$5:$C$44,"Paper condition",Scores!L$5:L$44,Scores!L43))^2-1,"")</f>
        <v>99</v>
      </c>
      <c r="AO43" s="1" t="n">
        <f aca="false">IF(ISNUMBER(Scores!L43),Scores!L43^2,"")</f>
        <v>1</v>
      </c>
      <c r="AP43" s="1" t="str">
        <f aca="false">IF(AND(Scores!$B43=1,Scores!$C43="Tool condition",ISNUMBER(Scores!M43)),COUNTIFS(Scores!$B$5:$B$44,1,Scores!$C$5:$C$44,"Paper condition",Scores!M$5:M$44,"&lt;"&amp;Scores!M43)+0.5*COUNTIFS(Scores!$B$5:$B$44,1,Scores!$C$5:$C$44,"Paper condition",Scores!M$5:M$44,Scores!M43),"")</f>
        <v/>
      </c>
      <c r="AQ43" s="1" t="str">
        <f aca="false">IF(AND(Scores!$B43=1,OR(Scores!$C43="Tool condition",Scores!$C43="Paper condition"),ISNUMBER(Scores!M43)),(COUNTIFS(Scores!$B$5:$B$44,1,Scores!$C$5:$C$44,"Tool condition",Scores!M$5:M$44,Scores!M43)+COUNTIFS(Scores!$B$5:$B$44,1,Scores!$C$5:$C$44,"Paper condition",Scores!M$5:M$44,Scores!M43))^2-1,"")</f>
        <v/>
      </c>
      <c r="AR43" s="1" t="str">
        <f aca="false">IF(AND(Scores!$B43=2,Scores!$C43="Tool condition",ISNUMBER(Scores!M43)),COUNTIFS(Scores!$B$5:$B$44,2,Scores!$C$5:$C$44,"Paper condition",Scores!M$5:M$44,"&lt;"&amp;Scores!M43)+0.5*COUNTIFS(Scores!$B$5:$B$44,2,Scores!$C$5:$C$44,"Paper condition",Scores!M$5:M$44,Scores!M43),"")</f>
        <v/>
      </c>
      <c r="AS43" s="1" t="n">
        <f aca="false">IF(AND(Scores!$B43=2,OR(Scores!$C43="Tool condition",Scores!$C43="Paper condition"),ISNUMBER(Scores!M43)),(COUNTIFS(Scores!$B$5:$B$44,2,Scores!$C$5:$C$44,"Tool condition",Scores!M$5:M$44,Scores!M43)+COUNTIFS(Scores!$B$5:$B$44,2,Scores!$C$5:$C$44,"Paper condition",Scores!M$5:M$44,Scores!M43))^2-1,"")</f>
        <v>8</v>
      </c>
      <c r="AT43" s="1" t="n">
        <f aca="false">IF(ISNUMBER(Scores!M43),Scores!M43^2,"")</f>
        <v>0</v>
      </c>
      <c r="AU43" s="1" t="str">
        <f aca="false">IF(AND(Scores!$B43=1,Scores!$C43="Tool condition",ISNUMBER(Scores!N43)),COUNTIFS(Scores!$B$5:$B$44,1,Scores!$C$5:$C$44,"Paper condition",Scores!N$5:N$44,"&lt;"&amp;Scores!N43)+0.5*COUNTIFS(Scores!$B$5:$B$44,1,Scores!$C$5:$C$44,"Paper condition",Scores!N$5:N$44,Scores!N43),"")</f>
        <v/>
      </c>
      <c r="AV43" s="1" t="str">
        <f aca="false">IF(AND(Scores!$B43=1,OR(Scores!$C43="Tool condition",Scores!$C43="Paper condition"),ISNUMBER(Scores!N43)),(COUNTIFS(Scores!$B$5:$B$44,1,Scores!$C$5:$C$44,"Tool condition",Scores!N$5:N$44,Scores!N43)+COUNTIFS(Scores!$B$5:$B$44,1,Scores!$C$5:$C$44,"Paper condition",Scores!N$5:N$44,Scores!N43))^2-1,"")</f>
        <v/>
      </c>
      <c r="AW43" s="1" t="str">
        <f aca="false">IF(AND(Scores!$B43=2,Scores!$C43="Tool condition",ISNUMBER(Scores!N43)),COUNTIFS(Scores!$B$5:$B$44,2,Scores!$C$5:$C$44,"Paper condition",Scores!N$5:N$44,"&lt;"&amp;Scores!N43)+0.5*COUNTIFS(Scores!$B$5:$B$44,2,Scores!$C$5:$C$44,"Paper condition",Scores!N$5:N$44,Scores!N43),"")</f>
        <v/>
      </c>
      <c r="AX43" s="1" t="n">
        <f aca="false">IF(AND(Scores!$B43=2,OR(Scores!$C43="Tool condition",Scores!$C43="Paper condition"),ISNUMBER(Scores!N43)),(COUNTIFS(Scores!$B$5:$B$44,2,Scores!$C$5:$C$44,"Tool condition",Scores!N$5:N$44,Scores!N43)+COUNTIFS(Scores!$B$5:$B$44,2,Scores!$C$5:$C$44,"Paper condition",Scores!N$5:N$44,Scores!N43))^2-1,"")</f>
        <v>80</v>
      </c>
      <c r="AY43" s="1" t="n">
        <f aca="false">IF(ISNUMBER(Scores!N43),Scores!N43^2,"")</f>
        <v>1</v>
      </c>
      <c r="AZ43" s="1" t="str">
        <f aca="false">IF(AND(Scores!$B43=1,Scores!$C43="Tool condition",ISNUMBER(Scores!O43)),COUNTIFS(Scores!$B$5:$B$44,1,Scores!$C$5:$C$44,"Paper condition",Scores!O$5:O$44,"&lt;"&amp;Scores!O43)+0.5*COUNTIFS(Scores!$B$5:$B$44,1,Scores!$C$5:$C$44,"Paper condition",Scores!O$5:O$44,Scores!O43),"")</f>
        <v/>
      </c>
      <c r="BA43" s="1" t="str">
        <f aca="false">IF(AND(Scores!$B43=1,OR(Scores!$C43="Tool condition",Scores!$C43="Paper condition"),ISNUMBER(Scores!O43)),(COUNTIFS(Scores!$B$5:$B$44,1,Scores!$C$5:$C$44,"Tool condition",Scores!O$5:O$44,Scores!O43)+COUNTIFS(Scores!$B$5:$B$44,1,Scores!$C$5:$C$44,"Paper condition",Scores!O$5:O$44,Scores!O43))^2-1,"")</f>
        <v/>
      </c>
      <c r="BB43" s="1" t="str">
        <f aca="false">IF(AND(Scores!$B43=2,Scores!$C43="Tool condition",ISNUMBER(Scores!O43)),COUNTIFS(Scores!$B$5:$B$44,2,Scores!$C$5:$C$44,"Paper condition",Scores!O$5:O$44,"&lt;"&amp;Scores!O43)+0.5*COUNTIFS(Scores!$B$5:$B$44,2,Scores!$C$5:$C$44,"Paper condition",Scores!O$5:O$44,Scores!O43),"")</f>
        <v/>
      </c>
      <c r="BC43" s="1" t="n">
        <f aca="false">IF(AND(Scores!$B43=2,OR(Scores!$C43="Tool condition",Scores!$C43="Paper condition"),ISNUMBER(Scores!O43)),(COUNTIFS(Scores!$B$5:$B$44,2,Scores!$C$5:$C$44,"Tool condition",Scores!O$5:O$44,Scores!O43)+COUNTIFS(Scores!$B$5:$B$44,2,Scores!$C$5:$C$44,"Paper condition",Scores!O$5:O$44,Scores!O43))^2-1,"")</f>
        <v>120</v>
      </c>
      <c r="BD43" s="1" t="n">
        <f aca="false">IF(ISNUMBER(Scores!O43),Scores!O43^2,"")</f>
        <v>1</v>
      </c>
      <c r="BE43" s="1" t="str">
        <f aca="false">IF(AND(Scores!$B43=1,Scores!$C43="Tool condition",ISNUMBER(Scores!P43)),COUNTIFS(Scores!$B$5:$B$44,1,Scores!$C$5:$C$44,"Paper condition",Scores!P$5:P$44,"&lt;"&amp;Scores!P43)+0.5*COUNTIFS(Scores!$B$5:$B$44,1,Scores!$C$5:$C$44,"Paper condition",Scores!P$5:P$44,Scores!P43),"")</f>
        <v/>
      </c>
      <c r="BF43" s="1" t="str">
        <f aca="false">IF(AND(Scores!$B43=1,OR(Scores!$C43="Tool condition",Scores!$C43="Paper condition"),ISNUMBER(Scores!P43)),(COUNTIFS(Scores!$B$5:$B$44,1,Scores!$C$5:$C$44,"Tool condition",Scores!P$5:P$44,Scores!P43)+COUNTIFS(Scores!$B$5:$B$44,1,Scores!$C$5:$C$44,"Paper condition",Scores!P$5:P$44,Scores!P43))^2-1,"")</f>
        <v/>
      </c>
      <c r="BG43" s="1" t="str">
        <f aca="false">IF(AND(Scores!$B43=2,Scores!$C43="Tool condition",ISNUMBER(Scores!P43)),COUNTIFS(Scores!$B$5:$B$44,2,Scores!$C$5:$C$44,"Paper condition",Scores!P$5:P$44,"&lt;"&amp;Scores!P43)+0.5*COUNTIFS(Scores!$B$5:$B$44,2,Scores!$C$5:$C$44,"Paper condition",Scores!P$5:P$44,Scores!P43),"")</f>
        <v/>
      </c>
      <c r="BH43" s="1" t="n">
        <f aca="false">IF(AND(Scores!$B43=2,OR(Scores!$C43="Tool condition",Scores!$C43="Paper condition"),ISNUMBER(Scores!P43)),(COUNTIFS(Scores!$B$5:$B$44,2,Scores!$C$5:$C$44,"Tool condition",Scores!P$5:P$44,Scores!P43)+COUNTIFS(Scores!$B$5:$B$44,2,Scores!$C$5:$C$44,"Paper condition",Scores!P$5:P$44,Scores!P43))^2-1,"")</f>
        <v>63</v>
      </c>
      <c r="BI43" s="1" t="n">
        <f aca="false">IF(ISNUMBER(Scores!P43),Scores!P43^2,"")</f>
        <v>0</v>
      </c>
      <c r="BJ43" s="1" t="str">
        <f aca="false">IF(AND(R_Scores!$B43=1,R_Scores!$C43="Tool condition",ISNUMBER(R_Scores!E43)),COUNTIFS(R_Scores!$B$5:$B$44,1,R_Scores!$C$5:$C$44,"Paper condition",R_Scores!E$5:E$44,"&lt;"&amp;R_Scores!E43)+0.5*COUNTIFS(R_Scores!$B$5:$B$44,1,R_Scores!$C$5:$C$44,"Paper condition",R_Scores!E$5:E$44,R_Scores!E43),"")</f>
        <v/>
      </c>
      <c r="BK43" s="1" t="str">
        <f aca="false">IF(AND(R_Scores!$B43=1,OR(R_Scores!$C43="Tool condition",R_Scores!$C43="Paper condition"),ISNUMBER(R_Scores!E43)),(COUNTIFS(R_Scores!$B$5:$B$44,1,R_Scores!$C$5:$C$44,"Tool condition",R_Scores!E$5:E$44,R_Scores!E43)+COUNTIFS(R_Scores!$B$5:$B$44,1,R_Scores!$C$5:$C$44,"Paper condition",R_Scores!E$5:E$44,R_Scores!E43))^2-1,"")</f>
        <v/>
      </c>
      <c r="BL43" s="1" t="str">
        <f aca="false">IF(AND(R_Scores!$B43=2,R_Scores!$C43="Tool condition",ISNUMBER(R_Scores!E43)),COUNTIFS(R_Scores!$B$5:$B$44,2,R_Scores!$C$5:$C$44,"Paper condition",R_Scores!E$5:E$44,"&lt;"&amp;R_Scores!E43)+0.5*COUNTIFS(R_Scores!$B$5:$B$44,2,R_Scores!$C$5:$C$44,"Paper condition",R_Scores!E$5:E$44,R_Scores!E43),"")</f>
        <v/>
      </c>
      <c r="BM43" s="1" t="n">
        <f aca="false">IF(AND(R_Scores!$B43=2,OR(R_Scores!$C43="Tool condition",R_Scores!$C43="Paper condition"),ISNUMBER(R_Scores!E43)),(COUNTIFS(R_Scores!$B$5:$B$44,2,R_Scores!$C$5:$C$44,"Tool condition",R_Scores!E$5:E$44,R_Scores!E43)+COUNTIFS(R_Scores!$B$5:$B$44,2,R_Scores!$C$5:$C$44,"Paper condition",R_Scores!E$5:E$44,R_Scores!E43))^2-1,"")</f>
        <v>24</v>
      </c>
      <c r="BN43" s="1" t="n">
        <f aca="false">IF(ISNUMBER(R_Scores!E43),R_Scores!E43^2,"")</f>
        <v>0</v>
      </c>
      <c r="BO43" s="1" t="str">
        <f aca="false">IF(AND(R_Scores!$B43=1,R_Scores!$C43="Tool condition",ISNUMBER(R_Scores!F43)),COUNTIFS(R_Scores!$B$5:$B$44,1,R_Scores!$C$5:$C$44,"Paper condition",R_Scores!F$5:F$44,"&lt;"&amp;R_Scores!F43)+0.5*COUNTIFS(R_Scores!$B$5:$B$44,1,R_Scores!$C$5:$C$44,"Paper condition",R_Scores!F$5:F$44,R_Scores!F43),"")</f>
        <v/>
      </c>
      <c r="BP43" s="1" t="str">
        <f aca="false">IF(AND(R_Scores!$B43=1,OR(R_Scores!$C43="Tool condition",R_Scores!$C43="Paper condition"),ISNUMBER(R_Scores!F43)),(COUNTIFS(R_Scores!$B$5:$B$44,1,R_Scores!$C$5:$C$44,"Tool condition",R_Scores!F$5:F$44,R_Scores!F43)+COUNTIFS(R_Scores!$B$5:$B$44,1,R_Scores!$C$5:$C$44,"Paper condition",R_Scores!F$5:F$44,R_Scores!F43))^2-1,"")</f>
        <v/>
      </c>
      <c r="BQ43" s="1" t="str">
        <f aca="false">IF(AND(R_Scores!$B43=2,R_Scores!$C43="Tool condition",ISNUMBER(R_Scores!F43)),COUNTIFS(R_Scores!$B$5:$B$44,2,R_Scores!$C$5:$C$44,"Paper condition",R_Scores!F$5:F$44,"&lt;"&amp;R_Scores!F43)+0.5*COUNTIFS(R_Scores!$B$5:$B$44,2,R_Scores!$C$5:$C$44,"Paper condition",R_Scores!F$5:F$44,R_Scores!F43),"")</f>
        <v/>
      </c>
      <c r="BR43" s="1" t="n">
        <f aca="false">IF(AND(R_Scores!$B43=2,OR(R_Scores!$C43="Tool condition",R_Scores!$C43="Paper condition"),ISNUMBER(R_Scores!F43)),(COUNTIFS(R_Scores!$B$5:$B$44,2,R_Scores!$C$5:$C$44,"Tool condition",R_Scores!F$5:F$44,R_Scores!F43)+COUNTIFS(R_Scores!$B$5:$B$44,2,R_Scores!$C$5:$C$44,"Paper condition",R_Scores!F$5:F$44,R_Scores!F43))^2-1,"")</f>
        <v>195</v>
      </c>
      <c r="BS43" s="1" t="n">
        <f aca="false">IF(ISNUMBER(R_Scores!F43),R_Scores!F43^2,"")</f>
        <v>1</v>
      </c>
      <c r="BT43" s="1" t="str">
        <f aca="false">IF(AND(R_Scores!$B43=1,R_Scores!$C43="Tool condition",ISNUMBER(R_Scores!G43)),COUNTIFS(R_Scores!$B$5:$B$44,1,R_Scores!$C$5:$C$44,"Paper condition",R_Scores!G$5:G$44,"&lt;"&amp;R_Scores!G43)+0.5*COUNTIFS(R_Scores!$B$5:$B$44,1,R_Scores!$C$5:$C$44,"Paper condition",R_Scores!G$5:G$44,R_Scores!G43),"")</f>
        <v/>
      </c>
      <c r="BU43" s="1" t="str">
        <f aca="false">IF(AND(R_Scores!$B43=1,OR(R_Scores!$C43="Tool condition",R_Scores!$C43="Paper condition"),ISNUMBER(R_Scores!G43)),(COUNTIFS(R_Scores!$B$5:$B$44,1,R_Scores!$C$5:$C$44,"Tool condition",R_Scores!G$5:G$44,R_Scores!G43)+COUNTIFS(R_Scores!$B$5:$B$44,1,R_Scores!$C$5:$C$44,"Paper condition",R_Scores!G$5:G$44,R_Scores!G43))^2-1,"")</f>
        <v/>
      </c>
      <c r="BV43" s="1" t="str">
        <f aca="false">IF(AND(R_Scores!$B43=2,R_Scores!$C43="Tool condition",ISNUMBER(R_Scores!G43)),COUNTIFS(R_Scores!$B$5:$B$44,2,R_Scores!$C$5:$C$44,"Paper condition",R_Scores!G$5:G$44,"&lt;"&amp;R_Scores!G43)+0.5*COUNTIFS(R_Scores!$B$5:$B$44,2,R_Scores!$C$5:$C$44,"Paper condition",R_Scores!G$5:G$44,R_Scores!G43),"")</f>
        <v/>
      </c>
      <c r="BW43" s="1" t="str">
        <f aca="false">IF(AND(R_Scores!$B43=2,OR(R_Scores!$C43="Tool condition",R_Scores!$C43="Paper condition"),ISNUMBER(R_Scores!G43)),(COUNTIFS(R_Scores!$B$5:$B$44,2,R_Scores!$C$5:$C$44,"Tool condition",R_Scores!G$5:G$44,R_Scores!G43)+COUNTIFS(R_Scores!$B$5:$B$44,2,R_Scores!$C$5:$C$44,"Paper condition",R_Scores!G$5:G$44,R_Scores!G43))^2-1,"")</f>
        <v/>
      </c>
      <c r="BX43" s="1" t="str">
        <f aca="false">IF(ISNUMBER(R_Scores!G43),R_Scores!G43^2,"")</f>
        <v/>
      </c>
      <c r="BY43" s="1" t="str">
        <f aca="false">IF(AND(R_Scores!$B43=1,R_Scores!$C43="Tool condition",ISNUMBER(R_Scores!H43)),COUNTIFS(R_Scores!$B$5:$B$44,1,R_Scores!$C$5:$C$44,"Paper condition",R_Scores!H$5:H$44,"&lt;"&amp;R_Scores!H43)+0.5*COUNTIFS(R_Scores!$B$5:$B$44,1,R_Scores!$C$5:$C$44,"Paper condition",R_Scores!H$5:H$44,R_Scores!H43),"")</f>
        <v/>
      </c>
      <c r="BZ43" s="1" t="str">
        <f aca="false">IF(AND(R_Scores!$B43=1,OR(R_Scores!$C43="Tool condition",R_Scores!$C43="Paper condition"),ISNUMBER(R_Scores!H43)),(COUNTIFS(R_Scores!$B$5:$B$44,1,R_Scores!$C$5:$C$44,"Tool condition",R_Scores!H$5:H$44,R_Scores!H43)+COUNTIFS(R_Scores!$B$5:$B$44,1,R_Scores!$C$5:$C$44,"Paper condition",R_Scores!H$5:H$44,R_Scores!H43))^2-1,"")</f>
        <v/>
      </c>
      <c r="CA43" s="1" t="str">
        <f aca="false">IF(AND(R_Scores!$B43=2,R_Scores!$C43="Tool condition",ISNUMBER(R_Scores!H43)),COUNTIFS(R_Scores!$B$5:$B$44,2,R_Scores!$C$5:$C$44,"Paper condition",R_Scores!H$5:H$44,"&lt;"&amp;R_Scores!H43)+0.5*COUNTIFS(R_Scores!$B$5:$B$44,2,R_Scores!$C$5:$C$44,"Paper condition",R_Scores!H$5:H$44,R_Scores!H43),"")</f>
        <v/>
      </c>
      <c r="CB43" s="1" t="str">
        <f aca="false">IF(AND(R_Scores!$B43=2,OR(R_Scores!$C43="Tool condition",R_Scores!$C43="Paper condition"),ISNUMBER(R_Scores!H43)),(COUNTIFS(R_Scores!$B$5:$B$44,2,R_Scores!$C$5:$C$44,"Tool condition",R_Scores!H$5:H$44,R_Scores!H43)+COUNTIFS(R_Scores!$B$5:$B$44,2,R_Scores!$C$5:$C$44,"Paper condition",R_Scores!H$5:H$44,R_Scores!H43))^2-1,"")</f>
        <v/>
      </c>
      <c r="CC43" s="1" t="str">
        <f aca="false">IF(ISNUMBER(R_Scores!H43),R_Scores!H43^2,"")</f>
        <v/>
      </c>
      <c r="CD43" s="1" t="str">
        <f aca="false">IF(AND(R_Scores!$B43=1,R_Scores!$C43="Tool condition",ISNUMBER(R_Scores!I43)),COUNTIFS(R_Scores!$B$5:$B$44,1,R_Scores!$C$5:$C$44,"Paper condition",R_Scores!I$5:I$44,"&lt;"&amp;R_Scores!I43)+0.5*COUNTIFS(R_Scores!$B$5:$B$44,1,R_Scores!$C$5:$C$44,"Paper condition",R_Scores!I$5:I$44,R_Scores!I43),"")</f>
        <v/>
      </c>
      <c r="CE43" s="1" t="str">
        <f aca="false">IF(AND(R_Scores!$B43=1,OR(R_Scores!$C43="Tool condition",R_Scores!$C43="Paper condition"),ISNUMBER(R_Scores!I43)),(COUNTIFS(R_Scores!$B$5:$B$44,1,R_Scores!$C$5:$C$44,"Tool condition",R_Scores!I$5:I$44,R_Scores!I43)+COUNTIFS(R_Scores!$B$5:$B$44,1,R_Scores!$C$5:$C$44,"Paper condition",R_Scores!I$5:I$44,R_Scores!I43))^2-1,"")</f>
        <v/>
      </c>
      <c r="CF43" s="1" t="str">
        <f aca="false">IF(AND(R_Scores!$B43=2,R_Scores!$C43="Tool condition",ISNUMBER(R_Scores!I43)),COUNTIFS(R_Scores!$B$5:$B$44,2,R_Scores!$C$5:$C$44,"Paper condition",R_Scores!I$5:I$44,"&lt;"&amp;R_Scores!I43)+0.5*COUNTIFS(R_Scores!$B$5:$B$44,2,R_Scores!$C$5:$C$44,"Paper condition",R_Scores!I$5:I$44,R_Scores!I43),"")</f>
        <v/>
      </c>
      <c r="CG43" s="1" t="n">
        <f aca="false">IF(AND(R_Scores!$B43=2,OR(R_Scores!$C43="Tool condition",R_Scores!$C43="Paper condition"),ISNUMBER(R_Scores!I43)),(COUNTIFS(R_Scores!$B$5:$B$44,2,R_Scores!$C$5:$C$44,"Tool condition",R_Scores!I$5:I$44,R_Scores!I43)+COUNTIFS(R_Scores!$B$5:$B$44,2,R_Scores!$C$5:$C$44,"Paper condition",R_Scores!I$5:I$44,R_Scores!I43))^2-1,"")</f>
        <v>255</v>
      </c>
      <c r="CH43" s="1" t="n">
        <f aca="false">IF(ISNUMBER(R_Scores!I43),R_Scores!I43^2,"")</f>
        <v>1</v>
      </c>
      <c r="CI43" s="1" t="str">
        <f aca="false">IF(AND(R_Scores!$B43=1,R_Scores!$C43="Tool condition",ISNUMBER(R_Scores!J43)),COUNTIFS(R_Scores!$B$5:$B$44,1,R_Scores!$C$5:$C$44,"Paper condition",R_Scores!J$5:J$44,"&lt;"&amp;R_Scores!J43)+0.5*COUNTIFS(R_Scores!$B$5:$B$44,1,R_Scores!$C$5:$C$44,"Paper condition",R_Scores!J$5:J$44,R_Scores!J43),"")</f>
        <v/>
      </c>
      <c r="CJ43" s="1" t="str">
        <f aca="false">IF(AND(R_Scores!$B43=1,OR(R_Scores!$C43="Tool condition",R_Scores!$C43="Paper condition"),ISNUMBER(R_Scores!J43)),(COUNTIFS(R_Scores!$B$5:$B$44,1,R_Scores!$C$5:$C$44,"Tool condition",R_Scores!J$5:J$44,R_Scores!J43)+COUNTIFS(R_Scores!$B$5:$B$44,1,R_Scores!$C$5:$C$44,"Paper condition",R_Scores!J$5:J$44,R_Scores!J43))^2-1,"")</f>
        <v/>
      </c>
      <c r="CK43" s="1" t="str">
        <f aca="false">IF(AND(R_Scores!$B43=2,R_Scores!$C43="Tool condition",ISNUMBER(R_Scores!J43)),COUNTIFS(R_Scores!$B$5:$B$44,2,R_Scores!$C$5:$C$44,"Paper condition",R_Scores!J$5:J$44,"&lt;"&amp;R_Scores!J43)+0.5*COUNTIFS(R_Scores!$B$5:$B$44,2,R_Scores!$C$5:$C$44,"Paper condition",R_Scores!J$5:J$44,R_Scores!J43),"")</f>
        <v/>
      </c>
      <c r="CL43" s="1" t="n">
        <f aca="false">IF(AND(R_Scores!$B43=2,OR(R_Scores!$C43="Tool condition",R_Scores!$C43="Paper condition"),ISNUMBER(R_Scores!J43)),(COUNTIFS(R_Scores!$B$5:$B$44,2,R_Scores!$C$5:$C$44,"Tool condition",R_Scores!J$5:J$44,R_Scores!J43)+COUNTIFS(R_Scores!$B$5:$B$44,2,R_Scores!$C$5:$C$44,"Paper condition",R_Scores!J$5:J$44,R_Scores!J43))^2-1,"")</f>
        <v>35</v>
      </c>
      <c r="CM43" s="1" t="n">
        <f aca="false">IF(ISNUMBER(R_Scores!J43),R_Scores!J43^2,"")</f>
        <v>0</v>
      </c>
      <c r="CN43" s="1" t="str">
        <f aca="false">IF(AND(R_Scores!$B43=1,R_Scores!$C43="Tool condition",ISNUMBER(R_Scores!K43)),COUNTIFS(R_Scores!$B$5:$B$44,1,R_Scores!$C$5:$C$44,"Paper condition",R_Scores!K$5:K$44,"&lt;"&amp;R_Scores!K43)+0.5*COUNTIFS(R_Scores!$B$5:$B$44,1,R_Scores!$C$5:$C$44,"Paper condition",R_Scores!K$5:K$44,R_Scores!K43),"")</f>
        <v/>
      </c>
      <c r="CO43" s="1" t="str">
        <f aca="false">IF(AND(R_Scores!$B43=1,OR(R_Scores!$C43="Tool condition",R_Scores!$C43="Paper condition"),ISNUMBER(R_Scores!K43)),(COUNTIFS(R_Scores!$B$5:$B$44,1,R_Scores!$C$5:$C$44,"Tool condition",R_Scores!K$5:K$44,R_Scores!K43)+COUNTIFS(R_Scores!$B$5:$B$44,1,R_Scores!$C$5:$C$44,"Paper condition",R_Scores!K$5:K$44,R_Scores!K43))^2-1,"")</f>
        <v/>
      </c>
      <c r="CP43" s="1" t="str">
        <f aca="false">IF(AND(R_Scores!$B43=2,R_Scores!$C43="Tool condition",ISNUMBER(R_Scores!K43)),COUNTIFS(R_Scores!$B$5:$B$44,2,R_Scores!$C$5:$C$44,"Paper condition",R_Scores!K$5:K$44,"&lt;"&amp;R_Scores!K43)+0.5*COUNTIFS(R_Scores!$B$5:$B$44,2,R_Scores!$C$5:$C$44,"Paper condition",R_Scores!K$5:K$44,R_Scores!K43),"")</f>
        <v/>
      </c>
      <c r="CQ43" s="1" t="str">
        <f aca="false">IF(AND(R_Scores!$B43=2,OR(R_Scores!$C43="Tool condition",R_Scores!$C43="Paper condition"),ISNUMBER(R_Scores!K43)),(COUNTIFS(R_Scores!$B$5:$B$44,2,R_Scores!$C$5:$C$44,"Tool condition",R_Scores!K$5:K$44,R_Scores!K43)+COUNTIFS(R_Scores!$B$5:$B$44,2,R_Scores!$C$5:$C$44,"Paper condition",R_Scores!K$5:K$44,R_Scores!K43))^2-1,"")</f>
        <v/>
      </c>
      <c r="CR43" s="1" t="str">
        <f aca="false">IF(ISNUMBER(R_Scores!K43),R_Scores!K43^2,"")</f>
        <v/>
      </c>
      <c r="CS43" s="1" t="str">
        <f aca="false">IF(AND(R_Scores!$B43=1,R_Scores!$C43="Tool condition",ISNUMBER(R_Scores!L43)),COUNTIFS(R_Scores!$B$5:$B$44,1,R_Scores!$C$5:$C$44,"Paper condition",R_Scores!L$5:L$44,"&lt;"&amp;R_Scores!L43)+0.5*COUNTIFS(R_Scores!$B$5:$B$44,1,R_Scores!$C$5:$C$44,"Paper condition",R_Scores!L$5:L$44,R_Scores!L43),"")</f>
        <v/>
      </c>
      <c r="CT43" s="1" t="str">
        <f aca="false">IF(AND(R_Scores!$B43=1,OR(R_Scores!$C43="Tool condition",R_Scores!$C43="Paper condition"),ISNUMBER(R_Scores!L43)),(COUNTIFS(R_Scores!$B$5:$B$44,1,R_Scores!$C$5:$C$44,"Tool condition",R_Scores!L$5:L$44,R_Scores!L43)+COUNTIFS(R_Scores!$B$5:$B$44,1,R_Scores!$C$5:$C$44,"Paper condition",R_Scores!L$5:L$44,R_Scores!L43))^2-1,"")</f>
        <v/>
      </c>
      <c r="CU43" s="1" t="str">
        <f aca="false">IF(AND(R_Scores!$B43=2,R_Scores!$C43="Tool condition",ISNUMBER(R_Scores!L43)),COUNTIFS(R_Scores!$B$5:$B$44,2,R_Scores!$C$5:$C$44,"Paper condition",R_Scores!L$5:L$44,"&lt;"&amp;R_Scores!L43)+0.5*COUNTIFS(R_Scores!$B$5:$B$44,2,R_Scores!$C$5:$C$44,"Paper condition",R_Scores!L$5:L$44,R_Scores!L43),"")</f>
        <v/>
      </c>
      <c r="CV43" s="1" t="str">
        <f aca="false">IF(AND(R_Scores!$B43=2,OR(R_Scores!$C43="Tool condition",R_Scores!$C43="Paper condition"),ISNUMBER(R_Scores!L43)),(COUNTIFS(R_Scores!$B$5:$B$44,2,R_Scores!$C$5:$C$44,"Tool condition",R_Scores!L$5:L$44,R_Scores!L43)+COUNTIFS(R_Scores!$B$5:$B$44,2,R_Scores!$C$5:$C$44,"Paper condition",R_Scores!L$5:L$44,R_Scores!L43))^2-1,"")</f>
        <v/>
      </c>
      <c r="CW43" s="1" t="str">
        <f aca="false">IF(ISNUMBER(R_Scores!L43),R_Scores!L43^2,"")</f>
        <v/>
      </c>
      <c r="CX43" s="1" t="str">
        <f aca="false">IF(AND(R_Scores!$B43=1,R_Scores!$C43="Tool condition",ISNUMBER(R_Scores!M43)),COUNTIFS(R_Scores!$B$5:$B$44,1,R_Scores!$C$5:$C$44,"Paper condition",R_Scores!M$5:M$44,"&lt;"&amp;R_Scores!M43)+0.5*COUNTIFS(R_Scores!$B$5:$B$44,1,R_Scores!$C$5:$C$44,"Paper condition",R_Scores!M$5:M$44,R_Scores!M43),"")</f>
        <v/>
      </c>
      <c r="CY43" s="1" t="str">
        <f aca="false">IF(AND(R_Scores!$B43=1,OR(R_Scores!$C43="Tool condition",R_Scores!$C43="Paper condition"),ISNUMBER(R_Scores!M43)),(COUNTIFS(R_Scores!$B$5:$B$44,1,R_Scores!$C$5:$C$44,"Tool condition",R_Scores!M$5:M$44,R_Scores!M43)+COUNTIFS(R_Scores!$B$5:$B$44,1,R_Scores!$C$5:$C$44,"Paper condition",R_Scores!M$5:M$44,R_Scores!M43))^2-1,"")</f>
        <v/>
      </c>
      <c r="CZ43" s="1" t="str">
        <f aca="false">IF(AND(R_Scores!$B43=2,R_Scores!$C43="Tool condition",ISNUMBER(R_Scores!M43)),COUNTIFS(R_Scores!$B$5:$B$44,2,R_Scores!$C$5:$C$44,"Paper condition",R_Scores!M$5:M$44,"&lt;"&amp;R_Scores!M43)+0.5*COUNTIFS(R_Scores!$B$5:$B$44,2,R_Scores!$C$5:$C$44,"Paper condition",R_Scores!M$5:M$44,R_Scores!M43),"")</f>
        <v/>
      </c>
      <c r="DA43" s="1" t="str">
        <f aca="false">IF(AND(R_Scores!$B43=2,OR(R_Scores!$C43="Tool condition",R_Scores!$C43="Paper condition"),ISNUMBER(R_Scores!M43)),(COUNTIFS(R_Scores!$B$5:$B$44,2,R_Scores!$C$5:$C$44,"Tool condition",R_Scores!M$5:M$44,R_Scores!M43)+COUNTIFS(R_Scores!$B$5:$B$44,2,R_Scores!$C$5:$C$44,"Paper condition",R_Scores!M$5:M$44,R_Scores!M43))^2-1,"")</f>
        <v/>
      </c>
      <c r="DB43" s="1" t="str">
        <f aca="false">IF(ISNUMBER(R_Scores!M43),R_Scores!M43^2,"")</f>
        <v/>
      </c>
      <c r="DC43" s="1" t="str">
        <f aca="false">IF(AND(R_Scores!$B43=1,R_Scores!$C43="Tool condition",ISNUMBER(R_Scores!N43)),COUNTIFS(R_Scores!$B$5:$B$44,1,R_Scores!$C$5:$C$44,"Paper condition",R_Scores!N$5:N$44,"&lt;"&amp;R_Scores!N43)+0.5*COUNTIFS(R_Scores!$B$5:$B$44,1,R_Scores!$C$5:$C$44,"Paper condition",R_Scores!N$5:N$44,R_Scores!N43),"")</f>
        <v/>
      </c>
      <c r="DD43" s="1" t="str">
        <f aca="false">IF(AND(R_Scores!$B43=1,OR(R_Scores!$C43="Tool condition",R_Scores!$C43="Paper condition"),ISNUMBER(R_Scores!N43)),(COUNTIFS(R_Scores!$B$5:$B$44,1,R_Scores!$C$5:$C$44,"Tool condition",R_Scores!N$5:N$44,R_Scores!N43)+COUNTIFS(R_Scores!$B$5:$B$44,1,R_Scores!$C$5:$C$44,"Paper condition",R_Scores!N$5:N$44,R_Scores!N43))^2-1,"")</f>
        <v/>
      </c>
      <c r="DE43" s="1" t="str">
        <f aca="false">IF(AND(R_Scores!$B43=2,R_Scores!$C43="Tool condition",ISNUMBER(R_Scores!N43)),COUNTIFS(R_Scores!$B$5:$B$44,2,R_Scores!$C$5:$C$44,"Paper condition",R_Scores!N$5:N$44,"&lt;"&amp;R_Scores!N43)+0.5*COUNTIFS(R_Scores!$B$5:$B$44,2,R_Scores!$C$5:$C$44,"Paper condition",R_Scores!N$5:N$44,R_Scores!N43),"")</f>
        <v/>
      </c>
      <c r="DF43" s="1" t="n">
        <f aca="false">IF(AND(R_Scores!$B43=2,OR(R_Scores!$C43="Tool condition",R_Scores!$C43="Paper condition"),ISNUMBER(R_Scores!N43)),(COUNTIFS(R_Scores!$B$5:$B$44,2,R_Scores!$C$5:$C$44,"Tool condition",R_Scores!N$5:N$44,R_Scores!N43)+COUNTIFS(R_Scores!$B$5:$B$44,2,R_Scores!$C$5:$C$44,"Paper condition",R_Scores!N$5:N$44,R_Scores!N43))^2-1,"")</f>
        <v>63</v>
      </c>
      <c r="DG43" s="1" t="n">
        <f aca="false">IF(ISNUMBER(R_Scores!N43),R_Scores!N43^2,"")</f>
        <v>0</v>
      </c>
      <c r="DH43" s="1" t="str">
        <f aca="false">IF(AND(R_Scores!$B43=1,R_Scores!$C43="Tool condition",ISNUMBER(R_Scores!O43)),COUNTIFS(R_Scores!$B$5:$B$44,1,R_Scores!$C$5:$C$44,"Paper condition",R_Scores!O$5:O$44,"&lt;"&amp;R_Scores!O43)+0.5*COUNTIFS(R_Scores!$B$5:$B$44,1,R_Scores!$C$5:$C$44,"Paper condition",R_Scores!O$5:O$44,R_Scores!O43),"")</f>
        <v/>
      </c>
      <c r="DI43" s="1" t="str">
        <f aca="false">IF(AND(R_Scores!$B43=1,OR(R_Scores!$C43="Tool condition",R_Scores!$C43="Paper condition"),ISNUMBER(R_Scores!O43)),(COUNTIFS(R_Scores!$B$5:$B$44,1,R_Scores!$C$5:$C$44,"Tool condition",R_Scores!O$5:O$44,R_Scores!O43)+COUNTIFS(R_Scores!$B$5:$B$44,1,R_Scores!$C$5:$C$44,"Paper condition",R_Scores!O$5:O$44,R_Scores!O43))^2-1,"")</f>
        <v/>
      </c>
      <c r="DJ43" s="1" t="str">
        <f aca="false">IF(AND(R_Scores!$B43=2,R_Scores!$C43="Tool condition",ISNUMBER(R_Scores!O43)),COUNTIFS(R_Scores!$B$5:$B$44,2,R_Scores!$C$5:$C$44,"Paper condition",R_Scores!O$5:O$44,"&lt;"&amp;R_Scores!O43)+0.5*COUNTIFS(R_Scores!$B$5:$B$44,2,R_Scores!$C$5:$C$44,"Paper condition",R_Scores!O$5:O$44,R_Scores!O43),"")</f>
        <v/>
      </c>
      <c r="DK43" s="1" t="n">
        <f aca="false">IF(AND(R_Scores!$B43=2,OR(R_Scores!$C43="Tool condition",R_Scores!$C43="Paper condition"),ISNUMBER(R_Scores!O43)),(COUNTIFS(R_Scores!$B$5:$B$44,2,R_Scores!$C$5:$C$44,"Tool condition",R_Scores!O$5:O$44,R_Scores!O43)+COUNTIFS(R_Scores!$B$5:$B$44,2,R_Scores!$C$5:$C$44,"Paper condition",R_Scores!O$5:O$44,R_Scores!O43))^2-1,"")</f>
        <v>168</v>
      </c>
      <c r="DL43" s="1" t="n">
        <f aca="false">IF(ISNUMBER(R_Scores!O43),R_Scores!O43^2,"")</f>
        <v>1</v>
      </c>
      <c r="DM43" s="1" t="str">
        <f aca="false">IF(AND(R_Scores!$B43=1,R_Scores!$C43="Tool condition",ISNUMBER(R_Scores!P43)),COUNTIFS(R_Scores!$B$5:$B$44,1,R_Scores!$C$5:$C$44,"Paper condition",R_Scores!P$5:P$44,"&lt;"&amp;R_Scores!P43)+0.5*COUNTIFS(R_Scores!$B$5:$B$44,1,R_Scores!$C$5:$C$44,"Paper condition",R_Scores!P$5:P$44,R_Scores!P43),"")</f>
        <v/>
      </c>
      <c r="DN43" s="1" t="str">
        <f aca="false">IF(AND(R_Scores!$B43=1,OR(R_Scores!$C43="Tool condition",R_Scores!$C43="Paper condition"),ISNUMBER(R_Scores!P43)),(COUNTIFS(R_Scores!$B$5:$B$44,1,R_Scores!$C$5:$C$44,"Tool condition",R_Scores!P$5:P$44,R_Scores!P43)+COUNTIFS(R_Scores!$B$5:$B$44,1,R_Scores!$C$5:$C$44,"Paper condition",R_Scores!P$5:P$44,R_Scores!P43))^2-1,"")</f>
        <v/>
      </c>
      <c r="DO43" s="1" t="str">
        <f aca="false">IF(AND(R_Scores!$B43=2,R_Scores!$C43="Tool condition",ISNUMBER(R_Scores!P43)),COUNTIFS(R_Scores!$B$5:$B$44,2,R_Scores!$C$5:$C$44,"Paper condition",R_Scores!P$5:P$44,"&lt;"&amp;R_Scores!P43)+0.5*COUNTIFS(R_Scores!$B$5:$B$44,2,R_Scores!$C$5:$C$44,"Paper condition",R_Scores!P$5:P$44,R_Scores!P43),"")</f>
        <v/>
      </c>
      <c r="DP43" s="1" t="n">
        <f aca="false">IF(AND(R_Scores!$B43=2,OR(R_Scores!$C43="Tool condition",R_Scores!$C43="Paper condition"),ISNUMBER(R_Scores!P43)),(COUNTIFS(R_Scores!$B$5:$B$44,2,R_Scores!$C$5:$C$44,"Tool condition",R_Scores!P$5:P$44,R_Scores!P43)+COUNTIFS(R_Scores!$B$5:$B$44,2,R_Scores!$C$5:$C$44,"Paper condition",R_Scores!P$5:P$44,R_Scores!P43))^2-1,"")</f>
        <v>168</v>
      </c>
      <c r="DQ43" s="1" t="n">
        <f aca="false">IF(ISNUMBER(R_Scores!P43),R_Scores!P43^2,"")</f>
        <v>0</v>
      </c>
      <c r="DR43" s="1" t="str">
        <f aca="false">IF(AND(Scores!$B43=1,Scores!$C43="Tool condition",ISNUMBER(Scores!Q43)),COUNTIFS(Scores!$B$5:$B$44,1,Scores!$C$5:$C$44,"Paper condition",Scores!Q$5:Q$44,"&lt;"&amp;Scores!Q43)+0.5*COUNTIFS(Scores!$B$5:$B$44,1,Scores!$C$5:$C$44,"Paper condition",Scores!Q$5:Q$44,Scores!Q43),"")</f>
        <v/>
      </c>
      <c r="DS43" s="1" t="str">
        <f aca="false">IF(AND(Scores!$B43=1,OR(Scores!$C43="Tool condition",Scores!$C43="Paper condition"),ISNUMBER(Scores!Q43)),(COUNTIFS(Scores!$B$5:$B$44,1,Scores!$C$5:$C$44,"Tool condition",Scores!Q$5:Q$44,Scores!Q43)+COUNTIFS(Scores!$B$5:$B$44,1,Scores!$C$5:$C$44,"Paper condition",Scores!Q$5:Q$44,Scores!Q43))^2-1,"")</f>
        <v/>
      </c>
      <c r="DT43" s="1" t="str">
        <f aca="false">IF(AND(Scores!$B43=2,Scores!$C43="Tool condition",ISNUMBER(Scores!Q43)),COUNTIFS(Scores!$B$5:$B$44,2,Scores!$C$5:$C$44,"Paper condition",Scores!Q$5:Q$44,"&lt;"&amp;Scores!Q43)+0.5*COUNTIFS(Scores!$B$5:$B$44,2,Scores!$C$5:$C$44,"Paper condition",Scores!Q$5:Q$44,Scores!Q43),"")</f>
        <v/>
      </c>
      <c r="DU43" s="1" t="n">
        <f aca="false">IF(AND(Scores!$B43=2,OR(Scores!$C43="Tool condition",Scores!$C43="Paper condition"),ISNUMBER(Scores!Q43)),(COUNTIFS(Scores!$B$5:$B$44,2,Scores!$C$5:$C$44,"Tool condition",Scores!Q$5:Q$44,Scores!Q43)+COUNTIFS(Scores!$B$5:$B$44,2,Scores!$C$5:$C$44,"Paper condition",Scores!Q$5:Q$44,Scores!Q43))^2-1,"")</f>
        <v>3</v>
      </c>
      <c r="DV43" s="1" t="n">
        <f aca="false">IF(ISNUMBER(Scores!Q43),Scores!Q43^2,"")</f>
        <v>144</v>
      </c>
      <c r="DW43" s="1" t="str">
        <f aca="false">IF(AND(Scores!$B43=1,Scores!$C43="Tool condition",ISNUMBER(Scores!R43)),COUNTIFS(Scores!$B$5:$B$44,1,Scores!$C$5:$C$44,"Paper condition",Scores!R$5:R$44,"&lt;"&amp;Scores!R43)+0.5*COUNTIFS(Scores!$B$5:$B$44,1,Scores!$C$5:$C$44,"Paper condition",Scores!R$5:R$44,Scores!R43),"")</f>
        <v/>
      </c>
      <c r="DX43" s="1" t="str">
        <f aca="false">IF(AND(Scores!$B43=1,OR(Scores!$C43="Tool condition",Scores!$C43="Paper condition"),ISNUMBER(Scores!R43)),(COUNTIFS(Scores!$B$5:$B$44,1,Scores!$C$5:$C$44,"Tool condition",Scores!R$5:R$44,Scores!R43)+COUNTIFS(Scores!$B$5:$B$44,1,Scores!$C$5:$C$44,"Paper condition",Scores!R$5:R$44,Scores!R43))^2-1,"")</f>
        <v/>
      </c>
      <c r="DY43" s="1" t="str">
        <f aca="false">IF(AND(Scores!$B43=2,Scores!$C43="Tool condition",ISNUMBER(Scores!R43)),COUNTIFS(Scores!$B$5:$B$44,2,Scores!$C$5:$C$44,"Paper condition",Scores!R$5:R$44,"&lt;"&amp;Scores!R43)+0.5*COUNTIFS(Scores!$B$5:$B$44,2,Scores!$C$5:$C$44,"Paper condition",Scores!R$5:R$44,Scores!R43),"")</f>
        <v/>
      </c>
      <c r="DZ43" s="1" t="n">
        <f aca="false">IF(AND(Scores!$B43=2,OR(Scores!$C43="Tool condition",Scores!$C43="Paper condition"),ISNUMBER(Scores!R43)),(COUNTIFS(Scores!$B$5:$B$44,2,Scores!$C$5:$C$44,"Tool condition",Scores!R$5:R$44,Scores!R43)+COUNTIFS(Scores!$B$5:$B$44,2,Scores!$C$5:$C$44,"Paper condition",Scores!R$5:R$44,Scores!R43))^2-1,"")</f>
        <v>3</v>
      </c>
      <c r="EA43" s="1" t="n">
        <f aca="false">IF(ISNUMBER(Scores!R43),Scores!R43^2,"")</f>
        <v>49</v>
      </c>
      <c r="EB43" s="1" t="str">
        <f aca="false">IF(AND(Scores!$B43=1,Scores!$C43="Tool condition",ISNUMBER(Scores!S43)),COUNTIFS(Scores!$B$5:$B$44,1,Scores!$C$5:$C$44,"Paper condition",Scores!S$5:S$44,"&lt;"&amp;Scores!S43)+0.5*COUNTIFS(Scores!$B$5:$B$44,1,Scores!$C$5:$C$44,"Paper condition",Scores!S$5:S$44,Scores!S43),"")</f>
        <v/>
      </c>
      <c r="EC43" s="1" t="str">
        <f aca="false">IF(AND(Scores!$B43=1,OR(Scores!$C43="Tool condition",Scores!$C43="Paper condition"),ISNUMBER(Scores!S43)),(COUNTIFS(Scores!$B$5:$B$44,1,Scores!$C$5:$C$44,"Tool condition",Scores!S$5:S$44,Scores!S43)+COUNTIFS(Scores!$B$5:$B$44,1,Scores!$C$5:$C$44,"Paper condition",Scores!S$5:S$44,Scores!S43))^2-1,"")</f>
        <v/>
      </c>
      <c r="ED43" s="1" t="str">
        <f aca="false">IF(AND(Scores!$B43=2,Scores!$C43="Tool condition",ISNUMBER(Scores!S43)),COUNTIFS(Scores!$B$5:$B$44,2,Scores!$C$5:$C$44,"Paper condition",Scores!S$5:S$44,"&lt;"&amp;Scores!S43)+0.5*COUNTIFS(Scores!$B$5:$B$44,2,Scores!$C$5:$C$44,"Paper condition",Scores!S$5:S$44,Scores!S43),"")</f>
        <v/>
      </c>
      <c r="EE43" s="1" t="n">
        <f aca="false">IF(AND(Scores!$B43=2,OR(Scores!$C43="Tool condition",Scores!$C43="Paper condition"),ISNUMBER(Scores!S43)),(COUNTIFS(Scores!$B$5:$B$44,2,Scores!$C$5:$C$44,"Tool condition",Scores!S$5:S$44,Scores!S43)+COUNTIFS(Scores!$B$5:$B$44,2,Scores!$C$5:$C$44,"Paper condition",Scores!S$5:S$44,Scores!S43))^2-1,"")</f>
        <v>3</v>
      </c>
      <c r="EF43" s="1" t="n">
        <f aca="false">IF(ISNUMBER(Scores!S43),Scores!S43^2,"")</f>
        <v>25</v>
      </c>
      <c r="EG43" s="1" t="str">
        <f aca="false">IF(AND(Scores!$B43=1,Scores!$C43="Tool condition",ISNUMBER(Scores!T43)),COUNTIFS(Scores!$B$5:$B$44,1,Scores!$C$5:$C$44,"Paper condition",Scores!T$5:T$44,"&lt;"&amp;Scores!T43)+0.5*COUNTIFS(Scores!$B$5:$B$44,1,Scores!$C$5:$C$44,"Paper condition",Scores!T$5:T$44,Scores!T43),"")</f>
        <v/>
      </c>
      <c r="EH43" s="1" t="str">
        <f aca="false">IF(AND(Scores!$B43=1,OR(Scores!$C43="Tool condition",Scores!$C43="Paper condition"),ISNUMBER(Scores!T43)),(COUNTIFS(Scores!$B$5:$B$44,1,Scores!$C$5:$C$44,"Tool condition",Scores!T$5:T$44,Scores!T43)+COUNTIFS(Scores!$B$5:$B$44,1,Scores!$C$5:$C$44,"Paper condition",Scores!T$5:T$44,Scores!T43))^2-1,"")</f>
        <v/>
      </c>
      <c r="EI43" s="1" t="str">
        <f aca="false">IF(AND(Scores!$B43=2,Scores!$C43="Tool condition",ISNUMBER(Scores!T43)),COUNTIFS(Scores!$B$5:$B$44,2,Scores!$C$5:$C$44,"Paper condition",Scores!T$5:T$44,"&lt;"&amp;Scores!T43)+0.5*COUNTIFS(Scores!$B$5:$B$44,2,Scores!$C$5:$C$44,"Paper condition",Scores!T$5:T$44,Scores!T43),"")</f>
        <v/>
      </c>
      <c r="EJ43" s="1" t="n">
        <f aca="false">IF(AND(Scores!$B43=2,OR(Scores!$C43="Tool condition",Scores!$C43="Paper condition"),ISNUMBER(Scores!T43)),(COUNTIFS(Scores!$B$5:$B$44,2,Scores!$C$5:$C$44,"Tool condition",Scores!T$5:T$44,Scores!T43)+COUNTIFS(Scores!$B$5:$B$44,2,Scores!$C$5:$C$44,"Paper condition",Scores!T$5:T$44,Scores!T43))^2-1,"")</f>
        <v>80</v>
      </c>
      <c r="EK43" s="1" t="n">
        <f aca="false">IF(ISNUMBER(Scores!T43),Scores!T43^2,"")</f>
        <v>36</v>
      </c>
      <c r="EL43" s="1" t="str">
        <f aca="false">IF(AND(Scores!$B43=1,Scores!$C43="Tool condition",ISNUMBER(Scores!U43)),COUNTIFS(Scores!$B$5:$B$44,1,Scores!$C$5:$C$44,"Paper condition",Scores!U$5:U$44,"&lt;"&amp;Scores!U43)+0.5*COUNTIFS(Scores!$B$5:$B$44,1,Scores!$C$5:$C$44,"Paper condition",Scores!U$5:U$44,Scores!U43),"")</f>
        <v/>
      </c>
      <c r="EM43" s="1" t="str">
        <f aca="false">IF(AND(Scores!$B43=1,OR(Scores!$C43="Tool condition",Scores!$C43="Paper condition"),ISNUMBER(Scores!U43)),(COUNTIFS(Scores!$B$5:$B$44,1,Scores!$C$5:$C$44,"Tool condition",Scores!U$5:U$44,Scores!U43)+COUNTIFS(Scores!$B$5:$B$44,1,Scores!$C$5:$C$44,"Paper condition",Scores!U$5:U$44,Scores!U43))^2-1,"")</f>
        <v/>
      </c>
      <c r="EN43" s="1" t="str">
        <f aca="false">IF(AND(Scores!$B43=2,Scores!$C43="Tool condition",ISNUMBER(Scores!U43)),COUNTIFS(Scores!$B$5:$B$44,2,Scores!$C$5:$C$44,"Paper condition",Scores!U$5:U$44,"&lt;"&amp;Scores!U43)+0.5*COUNTIFS(Scores!$B$5:$B$44,2,Scores!$C$5:$C$44,"Paper condition",Scores!U$5:U$44,Scores!U43),"")</f>
        <v/>
      </c>
      <c r="EO43" s="1" t="n">
        <f aca="false">IF(AND(Scores!$B43=2,OR(Scores!$C43="Tool condition",Scores!$C43="Paper condition"),ISNUMBER(Scores!U43)),(COUNTIFS(Scores!$B$5:$B$44,2,Scores!$C$5:$C$44,"Tool condition",Scores!U$5:U$44,Scores!U43)+COUNTIFS(Scores!$B$5:$B$44,2,Scores!$C$5:$C$44,"Paper condition",Scores!U$5:U$44,Scores!U43))^2-1,"")</f>
        <v>35</v>
      </c>
      <c r="EP43" s="1" t="n">
        <f aca="false">IF(ISNUMBER(Scores!U43),Scores!U43^2,"")</f>
        <v>9</v>
      </c>
      <c r="EQ43" s="1" t="str">
        <f aca="false">IF(AND(Scores!$B43=1,Scores!$C43="Tool condition",ISNUMBER(Scores!V43)),COUNTIFS(Scores!$B$5:$B$44,1,Scores!$C$5:$C$44,"Paper condition",Scores!V$5:V$44,"&lt;"&amp;Scores!V43)+0.5*COUNTIFS(Scores!$B$5:$B$44,1,Scores!$C$5:$C$44,"Paper condition",Scores!V$5:V$44,Scores!V43),"")</f>
        <v/>
      </c>
      <c r="ER43" s="1" t="str">
        <f aca="false">IF(AND(Scores!$B43=1,OR(Scores!$C43="Tool condition",Scores!$C43="Paper condition"),ISNUMBER(Scores!V43)),(COUNTIFS(Scores!$B$5:$B$44,1,Scores!$C$5:$C$44,"Tool condition",Scores!V$5:V$44,Scores!V43)+COUNTIFS(Scores!$B$5:$B$44,1,Scores!$C$5:$C$44,"Paper condition",Scores!V$5:V$44,Scores!V43))^2-1,"")</f>
        <v/>
      </c>
      <c r="ES43" s="1" t="str">
        <f aca="false">IF(AND(Scores!$B43=2,Scores!$C43="Tool condition",ISNUMBER(Scores!V43)),COUNTIFS(Scores!$B$5:$B$44,2,Scores!$C$5:$C$44,"Paper condition",Scores!V$5:V$44,"&lt;"&amp;Scores!V43)+0.5*COUNTIFS(Scores!$B$5:$B$44,2,Scores!$C$5:$C$44,"Paper condition",Scores!V$5:V$44,Scores!V43),"")</f>
        <v/>
      </c>
      <c r="ET43" s="1" t="n">
        <f aca="false">IF(AND(Scores!$B43=2,OR(Scores!$C43="Tool condition",Scores!$C43="Paper condition"),ISNUMBER(Scores!V43)),(COUNTIFS(Scores!$B$5:$B$44,2,Scores!$C$5:$C$44,"Tool condition",Scores!V$5:V$44,Scores!V43)+COUNTIFS(Scores!$B$5:$B$44,2,Scores!$C$5:$C$44,"Paper condition",Scores!V$5:V$44,Scores!V43))^2-1,"")</f>
        <v>3</v>
      </c>
      <c r="EU43" s="1" t="n">
        <f aca="false">IF(ISNUMBER(Scores!V43),Scores!V43^2,"")</f>
        <v>9</v>
      </c>
      <c r="EV43" s="1" t="str">
        <f aca="false">IF(AND(R_Scores!$B43=1,R_Scores!$C43="Tool condition",ISNUMBER(R_Scores!Q43)),COUNTIFS(R_Scores!$B$5:$B$44,1,R_Scores!$C$5:$C$44,"Paper condition",R_Scores!Q$5:Q$44,"&lt;"&amp;R_Scores!Q43)+0.5*COUNTIFS(R_Scores!$B$5:$B$44,1,R_Scores!$C$5:$C$44,"Paper condition",R_Scores!Q$5:Q$44,R_Scores!Q43),"")</f>
        <v/>
      </c>
      <c r="EW43" s="1" t="str">
        <f aca="false">IF(AND(R_Scores!$B43=1,OR(R_Scores!$C43="Tool condition",R_Scores!$C43="Paper condition"),ISNUMBER(R_Scores!Q43)),(COUNTIFS(R_Scores!$B$5:$B$44,1,R_Scores!$C$5:$C$44,"Tool condition",R_Scores!Q$5:Q$44,R_Scores!Q43)+COUNTIFS(R_Scores!$B$5:$B$44,1,R_Scores!$C$5:$C$44,"Paper condition",R_Scores!Q$5:Q$44,R_Scores!Q43))^2-1,"")</f>
        <v/>
      </c>
      <c r="EX43" s="1" t="str">
        <f aca="false">IF(AND(R_Scores!$B43=2,R_Scores!$C43="Tool condition",ISNUMBER(R_Scores!Q43)),COUNTIFS(R_Scores!$B$5:$B$44,2,R_Scores!$C$5:$C$44,"Paper condition",R_Scores!Q$5:Q$44,"&lt;"&amp;R_Scores!Q43)+0.5*COUNTIFS(R_Scores!$B$5:$B$44,2,R_Scores!$C$5:$C$44,"Paper condition",R_Scores!Q$5:Q$44,R_Scores!Q43),"")</f>
        <v/>
      </c>
      <c r="EY43" s="1" t="n">
        <f aca="false">IF(AND(R_Scores!$B43=2,OR(R_Scores!$C43="Tool condition",R_Scores!$C43="Paper condition"),ISNUMBER(R_Scores!Q43)),(COUNTIFS(R_Scores!$B$5:$B$44,2,R_Scores!$C$5:$C$44,"Tool condition",R_Scores!Q$5:Q$44,R_Scores!Q43)+COUNTIFS(R_Scores!$B$5:$B$44,2,R_Scores!$C$5:$C$44,"Paper condition",R_Scores!Q$5:Q$44,R_Scores!Q43))^2-1,"")</f>
        <v>15</v>
      </c>
      <c r="EZ43" s="1" t="n">
        <f aca="false">IF(ISNUMBER(R_Scores!Q43),R_Scores!Q43^2,"")</f>
        <v>9</v>
      </c>
      <c r="FA43" s="1" t="str">
        <f aca="false">IF(AND(R_Scores!$B43=1,R_Scores!$C43="Tool condition",ISNUMBER(R_Scores!R43)),COUNTIFS(R_Scores!$B$5:$B$44,1,R_Scores!$C$5:$C$44,"Paper condition",R_Scores!R$5:R$44,"&lt;"&amp;R_Scores!R43)+0.5*COUNTIFS(R_Scores!$B$5:$B$44,1,R_Scores!$C$5:$C$44,"Paper condition",R_Scores!R$5:R$44,R_Scores!R43),"")</f>
        <v/>
      </c>
      <c r="FB43" s="1" t="str">
        <f aca="false">IF(AND(R_Scores!$B43=1,OR(R_Scores!$C43="Tool condition",R_Scores!$C43="Paper condition"),ISNUMBER(R_Scores!R43)),(COUNTIFS(R_Scores!$B$5:$B$44,1,R_Scores!$C$5:$C$44,"Tool condition",R_Scores!R$5:R$44,R_Scores!R43)+COUNTIFS(R_Scores!$B$5:$B$44,1,R_Scores!$C$5:$C$44,"Paper condition",R_Scores!R$5:R$44,R_Scores!R43))^2-1,"")</f>
        <v/>
      </c>
      <c r="FC43" s="1" t="str">
        <f aca="false">IF(AND(R_Scores!$B43=2,R_Scores!$C43="Tool condition",ISNUMBER(R_Scores!R43)),COUNTIFS(R_Scores!$B$5:$B$44,2,R_Scores!$C$5:$C$44,"Paper condition",R_Scores!R$5:R$44,"&lt;"&amp;R_Scores!R43)+0.5*COUNTIFS(R_Scores!$B$5:$B$44,2,R_Scores!$C$5:$C$44,"Paper condition",R_Scores!R$5:R$44,R_Scores!R43),"")</f>
        <v/>
      </c>
      <c r="FD43" s="1" t="n">
        <f aca="false">IF(AND(R_Scores!$B43=2,OR(R_Scores!$C43="Tool condition",R_Scores!$C43="Paper condition"),ISNUMBER(R_Scores!R43)),(COUNTIFS(R_Scores!$B$5:$B$44,2,R_Scores!$C$5:$C$44,"Tool condition",R_Scores!R$5:R$44,R_Scores!R43)+COUNTIFS(R_Scores!$B$5:$B$44,2,R_Scores!$C$5:$C$44,"Paper condition",R_Scores!R$5:R$44,R_Scores!R43))^2-1,"")</f>
        <v>3</v>
      </c>
      <c r="FE43" s="1" t="n">
        <f aca="false">IF(ISNUMBER(R_Scores!R43),R_Scores!R43^2,"")</f>
        <v>225</v>
      </c>
    </row>
    <row r="44" customFormat="false" ht="14.25" hidden="false" customHeight="true" outlineLevel="0" collapsed="false">
      <c r="B44" s="1" t="str">
        <f aca="false">IF(AND(Scores!$B44=1,Scores!$C44="Tool condition",ISNUMBER(Scores!E44)),COUNTIFS(Scores!$B$5:$B$44,1,Scores!$C$5:$C$44,"Paper condition",Scores!E$5:E$44,"&lt;"&amp;Scores!E44)+0.5*COUNTIFS(Scores!$B$5:$B$44,1,Scores!$C$5:$C$44,"Paper condition",Scores!E$5:E$44,Scores!E44),"")</f>
        <v/>
      </c>
      <c r="C44" s="1" t="str">
        <f aca="false">IF(AND(Scores!$B44=1,OR(Scores!$C44="Tool condition",Scores!$C44="Paper condition"),ISNUMBER(Scores!E44)),(COUNTIFS(Scores!$B$5:$B$44,1,Scores!$C$5:$C$44,"Tool condition",Scores!E$5:E$44,Scores!E44)+COUNTIFS(Scores!$B$5:$B$44,1,Scores!$C$5:$C$44,"Paper condition",Scores!E$5:E$44,Scores!E44))^2-1,"")</f>
        <v/>
      </c>
      <c r="D44" s="1" t="str">
        <f aca="false">IF(AND(Scores!$B44=2,Scores!$C44="Tool condition",ISNUMBER(Scores!E44)),COUNTIFS(Scores!$B$5:$B$44,2,Scores!$C$5:$C$44,"Paper condition",Scores!E$5:E$44,"&lt;"&amp;Scores!E44)+0.5*COUNTIFS(Scores!$B$5:$B$44,2,Scores!$C$5:$C$44,"Paper condition",Scores!E$5:E$44,Scores!E44),"")</f>
        <v/>
      </c>
      <c r="E44" s="1" t="n">
        <f aca="false">IF(AND(Scores!$B44=2,OR(Scores!$C44="Tool condition",Scores!$C44="Paper condition"),ISNUMBER(Scores!E44)),(COUNTIFS(Scores!$B$5:$B$44,2,Scores!$C$5:$C$44,"Tool condition",Scores!E$5:E$44,Scores!E44)+COUNTIFS(Scores!$B$5:$B$44,2,Scores!$C$5:$C$44,"Paper condition",Scores!E$5:E$44,Scores!E44))^2-1,"")</f>
        <v>143</v>
      </c>
      <c r="F44" s="1" t="n">
        <f aca="false">IF(ISNUMBER(Scores!E44),Scores!E44^2,"")</f>
        <v>4</v>
      </c>
      <c r="G44" s="1" t="str">
        <f aca="false">IF(AND(Scores!$B44=1,Scores!$C44="Tool condition",ISNUMBER(Scores!F44)),COUNTIFS(Scores!$B$5:$B$44,1,Scores!$C$5:$C$44,"Paper condition",Scores!F$5:F$44,"&lt;"&amp;Scores!F44)+0.5*COUNTIFS(Scores!$B$5:$B$44,1,Scores!$C$5:$C$44,"Paper condition",Scores!F$5:F$44,Scores!F44),"")</f>
        <v/>
      </c>
      <c r="H44" s="1" t="str">
        <f aca="false">IF(AND(Scores!$B44=1,OR(Scores!$C44="Tool condition",Scores!$C44="Paper condition"),ISNUMBER(Scores!F44)),(COUNTIFS(Scores!$B$5:$B$44,1,Scores!$C$5:$C$44,"Tool condition",Scores!F$5:F$44,Scores!F44)+COUNTIFS(Scores!$B$5:$B$44,1,Scores!$C$5:$C$44,"Paper condition",Scores!F$5:F$44,Scores!F44))^2-1,"")</f>
        <v/>
      </c>
      <c r="I44" s="1" t="str">
        <f aca="false">IF(AND(Scores!$B44=2,Scores!$C44="Tool condition",ISNUMBER(Scores!F44)),COUNTIFS(Scores!$B$5:$B$44,2,Scores!$C$5:$C$44,"Paper condition",Scores!F$5:F$44,"&lt;"&amp;Scores!F44)+0.5*COUNTIFS(Scores!$B$5:$B$44,2,Scores!$C$5:$C$44,"Paper condition",Scores!F$5:F$44,Scores!F44),"")</f>
        <v/>
      </c>
      <c r="J44" s="1" t="n">
        <f aca="false">IF(AND(Scores!$B44=2,OR(Scores!$C44="Tool condition",Scores!$C44="Paper condition"),ISNUMBER(Scores!F44)),(COUNTIFS(Scores!$B$5:$B$44,2,Scores!$C$5:$C$44,"Tool condition",Scores!F$5:F$44,Scores!F44)+COUNTIFS(Scores!$B$5:$B$44,2,Scores!$C$5:$C$44,"Paper condition",Scores!F$5:F$44,Scores!F44))^2-1,"")</f>
        <v>120</v>
      </c>
      <c r="K44" s="1" t="n">
        <f aca="false">IF(ISNUMBER(Scores!F44),Scores!F44^2,"")</f>
        <v>4</v>
      </c>
      <c r="L44" s="1" t="str">
        <f aca="false">IF(AND(Scores!$B44=1,Scores!$C44="Tool condition",ISNUMBER(Scores!G44)),COUNTIFS(Scores!$B$5:$B$44,1,Scores!$C$5:$C$44,"Paper condition",Scores!G$5:G$44,"&lt;"&amp;Scores!G44)+0.5*COUNTIFS(Scores!$B$5:$B$44,1,Scores!$C$5:$C$44,"Paper condition",Scores!G$5:G$44,Scores!G44),"")</f>
        <v/>
      </c>
      <c r="M44" s="1" t="str">
        <f aca="false">IF(AND(Scores!$B44=1,OR(Scores!$C44="Tool condition",Scores!$C44="Paper condition"),ISNUMBER(Scores!G44)),(COUNTIFS(Scores!$B$5:$B$44,1,Scores!$C$5:$C$44,"Tool condition",Scores!G$5:G$44,Scores!G44)+COUNTIFS(Scores!$B$5:$B$44,1,Scores!$C$5:$C$44,"Paper condition",Scores!G$5:G$44,Scores!G44))^2-1,"")</f>
        <v/>
      </c>
      <c r="N44" s="1" t="str">
        <f aca="false">IF(AND(Scores!$B44=2,Scores!$C44="Tool condition",ISNUMBER(Scores!G44)),COUNTIFS(Scores!$B$5:$B$44,2,Scores!$C$5:$C$44,"Paper condition",Scores!G$5:G$44,"&lt;"&amp;Scores!G44)+0.5*COUNTIFS(Scores!$B$5:$B$44,2,Scores!$C$5:$C$44,"Paper condition",Scores!G$5:G$44,Scores!G44),"")</f>
        <v/>
      </c>
      <c r="O44" s="1" t="n">
        <f aca="false">IF(AND(Scores!$B44=2,OR(Scores!$C44="Tool condition",Scores!$C44="Paper condition"),ISNUMBER(Scores!G44)),(COUNTIFS(Scores!$B$5:$B$44,2,Scores!$C$5:$C$44,"Tool condition",Scores!G$5:G$44,Scores!G44)+COUNTIFS(Scores!$B$5:$B$44,2,Scores!$C$5:$C$44,"Paper condition",Scores!G$5:G$44,Scores!G44))^2-1,"")</f>
        <v>195</v>
      </c>
      <c r="P44" s="1" t="n">
        <f aca="false">IF(ISNUMBER(Scores!G44),Scores!G44^2,"")</f>
        <v>4</v>
      </c>
      <c r="Q44" s="1" t="str">
        <f aca="false">IF(AND(Scores!$B44=1,Scores!$C44="Tool condition",ISNUMBER(Scores!H44)),COUNTIFS(Scores!$B$5:$B$44,1,Scores!$C$5:$C$44,"Paper condition",Scores!H$5:H$44,"&lt;"&amp;Scores!H44)+0.5*COUNTIFS(Scores!$B$5:$B$44,1,Scores!$C$5:$C$44,"Paper condition",Scores!H$5:H$44,Scores!H44),"")</f>
        <v/>
      </c>
      <c r="R44" s="1" t="str">
        <f aca="false">IF(AND(Scores!$B44=1,OR(Scores!$C44="Tool condition",Scores!$C44="Paper condition"),ISNUMBER(Scores!H44)),(COUNTIFS(Scores!$B$5:$B$44,1,Scores!$C$5:$C$44,"Tool condition",Scores!H$5:H$44,Scores!H44)+COUNTIFS(Scores!$B$5:$B$44,1,Scores!$C$5:$C$44,"Paper condition",Scores!H$5:H$44,Scores!H44))^2-1,"")</f>
        <v/>
      </c>
      <c r="S44" s="1" t="str">
        <f aca="false">IF(AND(Scores!$B44=2,Scores!$C44="Tool condition",ISNUMBER(Scores!H44)),COUNTIFS(Scores!$B$5:$B$44,2,Scores!$C$5:$C$44,"Paper condition",Scores!H$5:H$44,"&lt;"&amp;Scores!H44)+0.5*COUNTIFS(Scores!$B$5:$B$44,2,Scores!$C$5:$C$44,"Paper condition",Scores!H$5:H$44,Scores!H44),"")</f>
        <v/>
      </c>
      <c r="T44" s="1" t="n">
        <f aca="false">IF(AND(Scores!$B44=2,OR(Scores!$C44="Tool condition",Scores!$C44="Paper condition"),ISNUMBER(Scores!H44)),(COUNTIFS(Scores!$B$5:$B$44,2,Scores!$C$5:$C$44,"Tool condition",Scores!H$5:H$44,Scores!H44)+COUNTIFS(Scores!$B$5:$B$44,2,Scores!$C$5:$C$44,"Paper condition",Scores!H$5:H$44,Scores!H44))^2-1,"")</f>
        <v>99</v>
      </c>
      <c r="U44" s="1" t="n">
        <f aca="false">IF(ISNUMBER(Scores!H44),Scores!H44^2,"")</f>
        <v>1</v>
      </c>
      <c r="V44" s="1" t="str">
        <f aca="false">IF(AND(Scores!$B44=1,Scores!$C44="Tool condition",ISNUMBER(Scores!I44)),COUNTIFS(Scores!$B$5:$B$44,1,Scores!$C$5:$C$44,"Paper condition",Scores!I$5:I$44,"&lt;"&amp;Scores!I44)+0.5*COUNTIFS(Scores!$B$5:$B$44,1,Scores!$C$5:$C$44,"Paper condition",Scores!I$5:I$44,Scores!I44),"")</f>
        <v/>
      </c>
      <c r="W44" s="1" t="str">
        <f aca="false">IF(AND(Scores!$B44=1,OR(Scores!$C44="Tool condition",Scores!$C44="Paper condition"),ISNUMBER(Scores!I44)),(COUNTIFS(Scores!$B$5:$B$44,1,Scores!$C$5:$C$44,"Tool condition",Scores!I$5:I$44,Scores!I44)+COUNTIFS(Scores!$B$5:$B$44,1,Scores!$C$5:$C$44,"Paper condition",Scores!I$5:I$44,Scores!I44))^2-1,"")</f>
        <v/>
      </c>
      <c r="X44" s="1" t="str">
        <f aca="false">IF(AND(Scores!$B44=2,Scores!$C44="Tool condition",ISNUMBER(Scores!I44)),COUNTIFS(Scores!$B$5:$B$44,2,Scores!$C$5:$C$44,"Paper condition",Scores!I$5:I$44,"&lt;"&amp;Scores!I44)+0.5*COUNTIFS(Scores!$B$5:$B$44,2,Scores!$C$5:$C$44,"Paper condition",Scores!I$5:I$44,Scores!I44),"")</f>
        <v/>
      </c>
      <c r="Y44" s="1" t="n">
        <f aca="false">IF(AND(Scores!$B44=2,OR(Scores!$C44="Tool condition",Scores!$C44="Paper condition"),ISNUMBER(Scores!I44)),(COUNTIFS(Scores!$B$5:$B$44,2,Scores!$C$5:$C$44,"Tool condition",Scores!I$5:I$44,Scores!I44)+COUNTIFS(Scores!$B$5:$B$44,2,Scores!$C$5:$C$44,"Paper condition",Scores!I$5:I$44,Scores!I44))^2-1,"")</f>
        <v>99</v>
      </c>
      <c r="Z44" s="1" t="n">
        <f aca="false">IF(ISNUMBER(Scores!I44),Scores!I44^2,"")</f>
        <v>4</v>
      </c>
      <c r="AA44" s="1" t="str">
        <f aca="false">IF(AND(Scores!$B44=1,Scores!$C44="Tool condition",ISNUMBER(Scores!J44)),COUNTIFS(Scores!$B$5:$B$44,1,Scores!$C$5:$C$44,"Paper condition",Scores!J$5:J$44,"&lt;"&amp;Scores!J44)+0.5*COUNTIFS(Scores!$B$5:$B$44,1,Scores!$C$5:$C$44,"Paper condition",Scores!J$5:J$44,Scores!J44),"")</f>
        <v/>
      </c>
      <c r="AB44" s="1" t="str">
        <f aca="false">IF(AND(Scores!$B44=1,OR(Scores!$C44="Tool condition",Scores!$C44="Paper condition"),ISNUMBER(Scores!J44)),(COUNTIFS(Scores!$B$5:$B$44,1,Scores!$C$5:$C$44,"Tool condition",Scores!J$5:J$44,Scores!J44)+COUNTIFS(Scores!$B$5:$B$44,1,Scores!$C$5:$C$44,"Paper condition",Scores!J$5:J$44,Scores!J44))^2-1,"")</f>
        <v/>
      </c>
      <c r="AC44" s="1" t="str">
        <f aca="false">IF(AND(Scores!$B44=2,Scores!$C44="Tool condition",ISNUMBER(Scores!J44)),COUNTIFS(Scores!$B$5:$B$44,2,Scores!$C$5:$C$44,"Paper condition",Scores!J$5:J$44,"&lt;"&amp;Scores!J44)+0.5*COUNTIFS(Scores!$B$5:$B$44,2,Scores!$C$5:$C$44,"Paper condition",Scores!J$5:J$44,Scores!J44),"")</f>
        <v/>
      </c>
      <c r="AD44" s="1" t="n">
        <f aca="false">IF(AND(Scores!$B44=2,OR(Scores!$C44="Tool condition",Scores!$C44="Paper condition"),ISNUMBER(Scores!J44)),(COUNTIFS(Scores!$B$5:$B$44,2,Scores!$C$5:$C$44,"Tool condition",Scores!J$5:J$44,Scores!J44)+COUNTIFS(Scores!$B$5:$B$44,2,Scores!$C$5:$C$44,"Paper condition",Scores!J$5:J$44,Scores!J44))^2-1,"")</f>
        <v>120</v>
      </c>
      <c r="AE44" s="1" t="n">
        <f aca="false">IF(ISNUMBER(Scores!J44),Scores!J44^2,"")</f>
        <v>4</v>
      </c>
      <c r="AF44" s="1" t="str">
        <f aca="false">IF(AND(Scores!$B44=1,Scores!$C44="Tool condition",ISNUMBER(Scores!K44)),COUNTIFS(Scores!$B$5:$B$44,1,Scores!$C$5:$C$44,"Paper condition",Scores!K$5:K$44,"&lt;"&amp;Scores!K44)+0.5*COUNTIFS(Scores!$B$5:$B$44,1,Scores!$C$5:$C$44,"Paper condition",Scores!K$5:K$44,Scores!K44),"")</f>
        <v/>
      </c>
      <c r="AG44" s="1" t="str">
        <f aca="false">IF(AND(Scores!$B44=1,OR(Scores!$C44="Tool condition",Scores!$C44="Paper condition"),ISNUMBER(Scores!K44)),(COUNTIFS(Scores!$B$5:$B$44,1,Scores!$C$5:$C$44,"Tool condition",Scores!K$5:K$44,Scores!K44)+COUNTIFS(Scores!$B$5:$B$44,1,Scores!$C$5:$C$44,"Paper condition",Scores!K$5:K$44,Scores!K44))^2-1,"")</f>
        <v/>
      </c>
      <c r="AH44" s="1" t="str">
        <f aca="false">IF(AND(Scores!$B44=2,Scores!$C44="Tool condition",ISNUMBER(Scores!K44)),COUNTIFS(Scores!$B$5:$B$44,2,Scores!$C$5:$C$44,"Paper condition",Scores!K$5:K$44,"&lt;"&amp;Scores!K44)+0.5*COUNTIFS(Scores!$B$5:$B$44,2,Scores!$C$5:$C$44,"Paper condition",Scores!K$5:K$44,Scores!K44),"")</f>
        <v/>
      </c>
      <c r="AI44" s="1" t="n">
        <f aca="false">IF(AND(Scores!$B44=2,OR(Scores!$C44="Tool condition",Scores!$C44="Paper condition"),ISNUMBER(Scores!K44)),(COUNTIFS(Scores!$B$5:$B$44,2,Scores!$C$5:$C$44,"Tool condition",Scores!K$5:K$44,Scores!K44)+COUNTIFS(Scores!$B$5:$B$44,2,Scores!$C$5:$C$44,"Paper condition",Scores!K$5:K$44,Scores!K44))^2-1,"")</f>
        <v>120</v>
      </c>
      <c r="AJ44" s="1" t="n">
        <f aca="false">IF(ISNUMBER(Scores!K44),Scores!K44^2,"")</f>
        <v>1</v>
      </c>
      <c r="AK44" s="1" t="str">
        <f aca="false">IF(AND(Scores!$B44=1,Scores!$C44="Tool condition",ISNUMBER(Scores!L44)),COUNTIFS(Scores!$B$5:$B$44,1,Scores!$C$5:$C$44,"Paper condition",Scores!L$5:L$44,"&lt;"&amp;Scores!L44)+0.5*COUNTIFS(Scores!$B$5:$B$44,1,Scores!$C$5:$C$44,"Paper condition",Scores!L$5:L$44,Scores!L44),"")</f>
        <v/>
      </c>
      <c r="AL44" s="1" t="str">
        <f aca="false">IF(AND(Scores!$B44=1,OR(Scores!$C44="Tool condition",Scores!$C44="Paper condition"),ISNUMBER(Scores!L44)),(COUNTIFS(Scores!$B$5:$B$44,1,Scores!$C$5:$C$44,"Tool condition",Scores!L$5:L$44,Scores!L44)+COUNTIFS(Scores!$B$5:$B$44,1,Scores!$C$5:$C$44,"Paper condition",Scores!L$5:L$44,Scores!L44))^2-1,"")</f>
        <v/>
      </c>
      <c r="AM44" s="1" t="str">
        <f aca="false">IF(AND(Scores!$B44=2,Scores!$C44="Tool condition",ISNUMBER(Scores!L44)),COUNTIFS(Scores!$B$5:$B$44,2,Scores!$C$5:$C$44,"Paper condition",Scores!L$5:L$44,"&lt;"&amp;Scores!L44)+0.5*COUNTIFS(Scores!$B$5:$B$44,2,Scores!$C$5:$C$44,"Paper condition",Scores!L$5:L$44,Scores!L44),"")</f>
        <v/>
      </c>
      <c r="AN44" s="1" t="n">
        <f aca="false">IF(AND(Scores!$B44=2,OR(Scores!$C44="Tool condition",Scores!$C44="Paper condition"),ISNUMBER(Scores!L44)),(COUNTIFS(Scores!$B$5:$B$44,2,Scores!$C$5:$C$44,"Tool condition",Scores!L$5:L$44,Scores!L44)+COUNTIFS(Scores!$B$5:$B$44,2,Scores!$C$5:$C$44,"Paper condition",Scores!L$5:L$44,Scores!L44))^2-1,"")</f>
        <v>99</v>
      </c>
      <c r="AO44" s="1" t="n">
        <f aca="false">IF(ISNUMBER(Scores!L44),Scores!L44^2,"")</f>
        <v>4</v>
      </c>
      <c r="AP44" s="1" t="str">
        <f aca="false">IF(AND(Scores!$B44=1,Scores!$C44="Tool condition",ISNUMBER(Scores!M44)),COUNTIFS(Scores!$B$5:$B$44,1,Scores!$C$5:$C$44,"Paper condition",Scores!M$5:M$44,"&lt;"&amp;Scores!M44)+0.5*COUNTIFS(Scores!$B$5:$B$44,1,Scores!$C$5:$C$44,"Paper condition",Scores!M$5:M$44,Scores!M44),"")</f>
        <v/>
      </c>
      <c r="AQ44" s="1" t="str">
        <f aca="false">IF(AND(Scores!$B44=1,OR(Scores!$C44="Tool condition",Scores!$C44="Paper condition"),ISNUMBER(Scores!M44)),(COUNTIFS(Scores!$B$5:$B$44,1,Scores!$C$5:$C$44,"Tool condition",Scores!M$5:M$44,Scores!M44)+COUNTIFS(Scores!$B$5:$B$44,1,Scores!$C$5:$C$44,"Paper condition",Scores!M$5:M$44,Scores!M44))^2-1,"")</f>
        <v/>
      </c>
      <c r="AR44" s="1" t="str">
        <f aca="false">IF(AND(Scores!$B44=2,Scores!$C44="Tool condition",ISNUMBER(Scores!M44)),COUNTIFS(Scores!$B$5:$B$44,2,Scores!$C$5:$C$44,"Paper condition",Scores!M$5:M$44,"&lt;"&amp;Scores!M44)+0.5*COUNTIFS(Scores!$B$5:$B$44,2,Scores!$C$5:$C$44,"Paper condition",Scores!M$5:M$44,Scores!M44),"")</f>
        <v/>
      </c>
      <c r="AS44" s="1" t="n">
        <f aca="false">IF(AND(Scores!$B44=2,OR(Scores!$C44="Tool condition",Scores!$C44="Paper condition"),ISNUMBER(Scores!M44)),(COUNTIFS(Scores!$B$5:$B$44,2,Scores!$C$5:$C$44,"Tool condition",Scores!M$5:M$44,Scores!M44)+COUNTIFS(Scores!$B$5:$B$44,2,Scores!$C$5:$C$44,"Paper condition",Scores!M$5:M$44,Scores!M44))^2-1,"")</f>
        <v>63</v>
      </c>
      <c r="AT44" s="1" t="n">
        <f aca="false">IF(ISNUMBER(Scores!M44),Scores!M44^2,"")</f>
        <v>4</v>
      </c>
      <c r="AU44" s="1" t="str">
        <f aca="false">IF(AND(Scores!$B44=1,Scores!$C44="Tool condition",ISNUMBER(Scores!N44)),COUNTIFS(Scores!$B$5:$B$44,1,Scores!$C$5:$C$44,"Paper condition",Scores!N$5:N$44,"&lt;"&amp;Scores!N44)+0.5*COUNTIFS(Scores!$B$5:$B$44,1,Scores!$C$5:$C$44,"Paper condition",Scores!N$5:N$44,Scores!N44),"")</f>
        <v/>
      </c>
      <c r="AV44" s="1" t="str">
        <f aca="false">IF(AND(Scores!$B44=1,OR(Scores!$C44="Tool condition",Scores!$C44="Paper condition"),ISNUMBER(Scores!N44)),(COUNTIFS(Scores!$B$5:$B$44,1,Scores!$C$5:$C$44,"Tool condition",Scores!N$5:N$44,Scores!N44)+COUNTIFS(Scores!$B$5:$B$44,1,Scores!$C$5:$C$44,"Paper condition",Scores!N$5:N$44,Scores!N44))^2-1,"")</f>
        <v/>
      </c>
      <c r="AW44" s="1" t="str">
        <f aca="false">IF(AND(Scores!$B44=2,Scores!$C44="Tool condition",ISNUMBER(Scores!N44)),COUNTIFS(Scores!$B$5:$B$44,2,Scores!$C$5:$C$44,"Paper condition",Scores!N$5:N$44,"&lt;"&amp;Scores!N44)+0.5*COUNTIFS(Scores!$B$5:$B$44,2,Scores!$C$5:$C$44,"Paper condition",Scores!N$5:N$44,Scores!N44),"")</f>
        <v/>
      </c>
      <c r="AX44" s="1" t="n">
        <f aca="false">IF(AND(Scores!$B44=2,OR(Scores!$C44="Tool condition",Scores!$C44="Paper condition"),ISNUMBER(Scores!N44)),(COUNTIFS(Scores!$B$5:$B$44,2,Scores!$C$5:$C$44,"Tool condition",Scores!N$5:N$44,Scores!N44)+COUNTIFS(Scores!$B$5:$B$44,2,Scores!$C$5:$C$44,"Paper condition",Scores!N$5:N$44,Scores!N44))^2-1,"")</f>
        <v>80</v>
      </c>
      <c r="AY44" s="1" t="n">
        <f aca="false">IF(ISNUMBER(Scores!N44),Scores!N44^2,"")</f>
        <v>1</v>
      </c>
      <c r="AZ44" s="1" t="str">
        <f aca="false">IF(AND(Scores!$B44=1,Scores!$C44="Tool condition",ISNUMBER(Scores!O44)),COUNTIFS(Scores!$B$5:$B$44,1,Scores!$C$5:$C$44,"Paper condition",Scores!O$5:O$44,"&lt;"&amp;Scores!O44)+0.5*COUNTIFS(Scores!$B$5:$B$44,1,Scores!$C$5:$C$44,"Paper condition",Scores!O$5:O$44,Scores!O44),"")</f>
        <v/>
      </c>
      <c r="BA44" s="1" t="str">
        <f aca="false">IF(AND(Scores!$B44=1,OR(Scores!$C44="Tool condition",Scores!$C44="Paper condition"),ISNUMBER(Scores!O44)),(COUNTIFS(Scores!$B$5:$B$44,1,Scores!$C$5:$C$44,"Tool condition",Scores!O$5:O$44,Scores!O44)+COUNTIFS(Scores!$B$5:$B$44,1,Scores!$C$5:$C$44,"Paper condition",Scores!O$5:O$44,Scores!O44))^2-1,"")</f>
        <v/>
      </c>
      <c r="BB44" s="1" t="str">
        <f aca="false">IF(AND(Scores!$B44=2,Scores!$C44="Tool condition",ISNUMBER(Scores!O44)),COUNTIFS(Scores!$B$5:$B$44,2,Scores!$C$5:$C$44,"Paper condition",Scores!O$5:O$44,"&lt;"&amp;Scores!O44)+0.5*COUNTIFS(Scores!$B$5:$B$44,2,Scores!$C$5:$C$44,"Paper condition",Scores!O$5:O$44,Scores!O44),"")</f>
        <v/>
      </c>
      <c r="BC44" s="1" t="n">
        <f aca="false">IF(AND(Scores!$B44=2,OR(Scores!$C44="Tool condition",Scores!$C44="Paper condition"),ISNUMBER(Scores!O44)),(COUNTIFS(Scores!$B$5:$B$44,2,Scores!$C$5:$C$44,"Tool condition",Scores!O$5:O$44,Scores!O44)+COUNTIFS(Scores!$B$5:$B$44,2,Scores!$C$5:$C$44,"Paper condition",Scores!O$5:O$44,Scores!O44))^2-1,"")</f>
        <v>24</v>
      </c>
      <c r="BD44" s="1" t="n">
        <f aca="false">IF(ISNUMBER(Scores!O44),Scores!O44^2,"")</f>
        <v>0</v>
      </c>
      <c r="BE44" s="1" t="str">
        <f aca="false">IF(AND(Scores!$B44=1,Scores!$C44="Tool condition",ISNUMBER(Scores!P44)),COUNTIFS(Scores!$B$5:$B$44,1,Scores!$C$5:$C$44,"Paper condition",Scores!P$5:P$44,"&lt;"&amp;Scores!P44)+0.5*COUNTIFS(Scores!$B$5:$B$44,1,Scores!$C$5:$C$44,"Paper condition",Scores!P$5:P$44,Scores!P44),"")</f>
        <v/>
      </c>
      <c r="BF44" s="1" t="str">
        <f aca="false">IF(AND(Scores!$B44=1,OR(Scores!$C44="Tool condition",Scores!$C44="Paper condition"),ISNUMBER(Scores!P44)),(COUNTIFS(Scores!$B$5:$B$44,1,Scores!$C$5:$C$44,"Tool condition",Scores!P$5:P$44,Scores!P44)+COUNTIFS(Scores!$B$5:$B$44,1,Scores!$C$5:$C$44,"Paper condition",Scores!P$5:P$44,Scores!P44))^2-1,"")</f>
        <v/>
      </c>
      <c r="BG44" s="1" t="str">
        <f aca="false">IF(AND(Scores!$B44=2,Scores!$C44="Tool condition",ISNUMBER(Scores!P44)),COUNTIFS(Scores!$B$5:$B$44,2,Scores!$C$5:$C$44,"Paper condition",Scores!P$5:P$44,"&lt;"&amp;Scores!P44)+0.5*COUNTIFS(Scores!$B$5:$B$44,2,Scores!$C$5:$C$44,"Paper condition",Scores!P$5:P$44,Scores!P44),"")</f>
        <v/>
      </c>
      <c r="BH44" s="1" t="n">
        <f aca="false">IF(AND(Scores!$B44=2,OR(Scores!$C44="Tool condition",Scores!$C44="Paper condition"),ISNUMBER(Scores!P44)),(COUNTIFS(Scores!$B$5:$B$44,2,Scores!$C$5:$C$44,"Tool condition",Scores!P$5:P$44,Scores!P44)+COUNTIFS(Scores!$B$5:$B$44,2,Scores!$C$5:$C$44,"Paper condition",Scores!P$5:P$44,Scores!P44))^2-1,"")</f>
        <v>143</v>
      </c>
      <c r="BI44" s="1" t="n">
        <f aca="false">IF(ISNUMBER(Scores!P44),Scores!P44^2,"")</f>
        <v>1</v>
      </c>
      <c r="BJ44" s="1" t="str">
        <f aca="false">IF(AND(R_Scores!$B44=1,R_Scores!$C44="Tool condition",ISNUMBER(R_Scores!E44)),COUNTIFS(R_Scores!$B$5:$B$44,1,R_Scores!$C$5:$C$44,"Paper condition",R_Scores!E$5:E$44,"&lt;"&amp;R_Scores!E44)+0.5*COUNTIFS(R_Scores!$B$5:$B$44,1,R_Scores!$C$5:$C$44,"Paper condition",R_Scores!E$5:E$44,R_Scores!E44),"")</f>
        <v/>
      </c>
      <c r="BK44" s="1" t="str">
        <f aca="false">IF(AND(R_Scores!$B44=1,OR(R_Scores!$C44="Tool condition",R_Scores!$C44="Paper condition"),ISNUMBER(R_Scores!E44)),(COUNTIFS(R_Scores!$B$5:$B$44,1,R_Scores!$C$5:$C$44,"Tool condition",R_Scores!E$5:E$44,R_Scores!E44)+COUNTIFS(R_Scores!$B$5:$B$44,1,R_Scores!$C$5:$C$44,"Paper condition",R_Scores!E$5:E$44,R_Scores!E44))^2-1,"")</f>
        <v/>
      </c>
      <c r="BL44" s="1" t="str">
        <f aca="false">IF(AND(R_Scores!$B44=2,R_Scores!$C44="Tool condition",ISNUMBER(R_Scores!E44)),COUNTIFS(R_Scores!$B$5:$B$44,2,R_Scores!$C$5:$C$44,"Paper condition",R_Scores!E$5:E$44,"&lt;"&amp;R_Scores!E44)+0.5*COUNTIFS(R_Scores!$B$5:$B$44,2,R_Scores!$C$5:$C$44,"Paper condition",R_Scores!E$5:E$44,R_Scores!E44),"")</f>
        <v/>
      </c>
      <c r="BM44" s="1" t="n">
        <f aca="false">IF(AND(R_Scores!$B44=2,OR(R_Scores!$C44="Tool condition",R_Scores!$C44="Paper condition"),ISNUMBER(R_Scores!E44)),(COUNTIFS(R_Scores!$B$5:$B$44,2,R_Scores!$C$5:$C$44,"Tool condition",R_Scores!E$5:E$44,R_Scores!E44)+COUNTIFS(R_Scores!$B$5:$B$44,2,R_Scores!$C$5:$C$44,"Paper condition",R_Scores!E$5:E$44,R_Scores!E44))^2-1,"")</f>
        <v>224</v>
      </c>
      <c r="BN44" s="1" t="n">
        <f aca="false">IF(ISNUMBER(R_Scores!E44),R_Scores!E44^2,"")</f>
        <v>1</v>
      </c>
      <c r="BO44" s="1" t="str">
        <f aca="false">IF(AND(R_Scores!$B44=1,R_Scores!$C44="Tool condition",ISNUMBER(R_Scores!F44)),COUNTIFS(R_Scores!$B$5:$B$44,1,R_Scores!$C$5:$C$44,"Paper condition",R_Scores!F$5:F$44,"&lt;"&amp;R_Scores!F44)+0.5*COUNTIFS(R_Scores!$B$5:$B$44,1,R_Scores!$C$5:$C$44,"Paper condition",R_Scores!F$5:F$44,R_Scores!F44),"")</f>
        <v/>
      </c>
      <c r="BP44" s="1" t="str">
        <f aca="false">IF(AND(R_Scores!$B44=1,OR(R_Scores!$C44="Tool condition",R_Scores!$C44="Paper condition"),ISNUMBER(R_Scores!F44)),(COUNTIFS(R_Scores!$B$5:$B$44,1,R_Scores!$C$5:$C$44,"Tool condition",R_Scores!F$5:F$44,R_Scores!F44)+COUNTIFS(R_Scores!$B$5:$B$44,1,R_Scores!$C$5:$C$44,"Paper condition",R_Scores!F$5:F$44,R_Scores!F44))^2-1,"")</f>
        <v/>
      </c>
      <c r="BQ44" s="1" t="str">
        <f aca="false">IF(AND(R_Scores!$B44=2,R_Scores!$C44="Tool condition",ISNUMBER(R_Scores!F44)),COUNTIFS(R_Scores!$B$5:$B$44,2,R_Scores!$C$5:$C$44,"Paper condition",R_Scores!F$5:F$44,"&lt;"&amp;R_Scores!F44)+0.5*COUNTIFS(R_Scores!$B$5:$B$44,2,R_Scores!$C$5:$C$44,"Paper condition",R_Scores!F$5:F$44,R_Scores!F44),"")</f>
        <v/>
      </c>
      <c r="BR44" s="1" t="n">
        <f aca="false">IF(AND(R_Scores!$B44=2,OR(R_Scores!$C44="Tool condition",R_Scores!$C44="Paper condition"),ISNUMBER(R_Scores!F44)),(COUNTIFS(R_Scores!$B$5:$B$44,2,R_Scores!$C$5:$C$44,"Tool condition",R_Scores!F$5:F$44,R_Scores!F44)+COUNTIFS(R_Scores!$B$5:$B$44,2,R_Scores!$C$5:$C$44,"Paper condition",R_Scores!F$5:F$44,R_Scores!F44))^2-1,"")</f>
        <v>195</v>
      </c>
      <c r="BS44" s="1" t="n">
        <f aca="false">IF(ISNUMBER(R_Scores!F44),R_Scores!F44^2,"")</f>
        <v>1</v>
      </c>
      <c r="BT44" s="1" t="str">
        <f aca="false">IF(AND(R_Scores!$B44=1,R_Scores!$C44="Tool condition",ISNUMBER(R_Scores!G44)),COUNTIFS(R_Scores!$B$5:$B$44,1,R_Scores!$C$5:$C$44,"Paper condition",R_Scores!G$5:G$44,"&lt;"&amp;R_Scores!G44)+0.5*COUNTIFS(R_Scores!$B$5:$B$44,1,R_Scores!$C$5:$C$44,"Paper condition",R_Scores!G$5:G$44,R_Scores!G44),"")</f>
        <v/>
      </c>
      <c r="BU44" s="1" t="str">
        <f aca="false">IF(AND(R_Scores!$B44=1,OR(R_Scores!$C44="Tool condition",R_Scores!$C44="Paper condition"),ISNUMBER(R_Scores!G44)),(COUNTIFS(R_Scores!$B$5:$B$44,1,R_Scores!$C$5:$C$44,"Tool condition",R_Scores!G$5:G$44,R_Scores!G44)+COUNTIFS(R_Scores!$B$5:$B$44,1,R_Scores!$C$5:$C$44,"Paper condition",R_Scores!G$5:G$44,R_Scores!G44))^2-1,"")</f>
        <v/>
      </c>
      <c r="BV44" s="1" t="str">
        <f aca="false">IF(AND(R_Scores!$B44=2,R_Scores!$C44="Tool condition",ISNUMBER(R_Scores!G44)),COUNTIFS(R_Scores!$B$5:$B$44,2,R_Scores!$C$5:$C$44,"Paper condition",R_Scores!G$5:G$44,"&lt;"&amp;R_Scores!G44)+0.5*COUNTIFS(R_Scores!$B$5:$B$44,2,R_Scores!$C$5:$C$44,"Paper condition",R_Scores!G$5:G$44,R_Scores!G44),"")</f>
        <v/>
      </c>
      <c r="BW44" s="1" t="str">
        <f aca="false">IF(AND(R_Scores!$B44=2,OR(R_Scores!$C44="Tool condition",R_Scores!$C44="Paper condition"),ISNUMBER(R_Scores!G44)),(COUNTIFS(R_Scores!$B$5:$B$44,2,R_Scores!$C$5:$C$44,"Tool condition",R_Scores!G$5:G$44,R_Scores!G44)+COUNTIFS(R_Scores!$B$5:$B$44,2,R_Scores!$C$5:$C$44,"Paper condition",R_Scores!G$5:G$44,R_Scores!G44))^2-1,"")</f>
        <v/>
      </c>
      <c r="BX44" s="1" t="str">
        <f aca="false">IF(ISNUMBER(R_Scores!G44),R_Scores!G44^2,"")</f>
        <v/>
      </c>
      <c r="BY44" s="1" t="str">
        <f aca="false">IF(AND(R_Scores!$B44=1,R_Scores!$C44="Tool condition",ISNUMBER(R_Scores!H44)),COUNTIFS(R_Scores!$B$5:$B$44,1,R_Scores!$C$5:$C$44,"Paper condition",R_Scores!H$5:H$44,"&lt;"&amp;R_Scores!H44)+0.5*COUNTIFS(R_Scores!$B$5:$B$44,1,R_Scores!$C$5:$C$44,"Paper condition",R_Scores!H$5:H$44,R_Scores!H44),"")</f>
        <v/>
      </c>
      <c r="BZ44" s="1" t="str">
        <f aca="false">IF(AND(R_Scores!$B44=1,OR(R_Scores!$C44="Tool condition",R_Scores!$C44="Paper condition"),ISNUMBER(R_Scores!H44)),(COUNTIFS(R_Scores!$B$5:$B$44,1,R_Scores!$C$5:$C$44,"Tool condition",R_Scores!H$5:H$44,R_Scores!H44)+COUNTIFS(R_Scores!$B$5:$B$44,1,R_Scores!$C$5:$C$44,"Paper condition",R_Scores!H$5:H$44,R_Scores!H44))^2-1,"")</f>
        <v/>
      </c>
      <c r="CA44" s="1" t="str">
        <f aca="false">IF(AND(R_Scores!$B44=2,R_Scores!$C44="Tool condition",ISNUMBER(R_Scores!H44)),COUNTIFS(R_Scores!$B$5:$B$44,2,R_Scores!$C$5:$C$44,"Paper condition",R_Scores!H$5:H$44,"&lt;"&amp;R_Scores!H44)+0.5*COUNTIFS(R_Scores!$B$5:$B$44,2,R_Scores!$C$5:$C$44,"Paper condition",R_Scores!H$5:H$44,R_Scores!H44),"")</f>
        <v/>
      </c>
      <c r="CB44" s="1" t="str">
        <f aca="false">IF(AND(R_Scores!$B44=2,OR(R_Scores!$C44="Tool condition",R_Scores!$C44="Paper condition"),ISNUMBER(R_Scores!H44)),(COUNTIFS(R_Scores!$B$5:$B$44,2,R_Scores!$C$5:$C$44,"Tool condition",R_Scores!H$5:H$44,R_Scores!H44)+COUNTIFS(R_Scores!$B$5:$B$44,2,R_Scores!$C$5:$C$44,"Paper condition",R_Scores!H$5:H$44,R_Scores!H44))^2-1,"")</f>
        <v/>
      </c>
      <c r="CC44" s="1" t="str">
        <f aca="false">IF(ISNUMBER(R_Scores!H44),R_Scores!H44^2,"")</f>
        <v/>
      </c>
      <c r="CD44" s="1" t="str">
        <f aca="false">IF(AND(R_Scores!$B44=1,R_Scores!$C44="Tool condition",ISNUMBER(R_Scores!I44)),COUNTIFS(R_Scores!$B$5:$B$44,1,R_Scores!$C$5:$C$44,"Paper condition",R_Scores!I$5:I$44,"&lt;"&amp;R_Scores!I44)+0.5*COUNTIFS(R_Scores!$B$5:$B$44,1,R_Scores!$C$5:$C$44,"Paper condition",R_Scores!I$5:I$44,R_Scores!I44),"")</f>
        <v/>
      </c>
      <c r="CE44" s="1" t="str">
        <f aca="false">IF(AND(R_Scores!$B44=1,OR(R_Scores!$C44="Tool condition",R_Scores!$C44="Paper condition"),ISNUMBER(R_Scores!I44)),(COUNTIFS(R_Scores!$B$5:$B$44,1,R_Scores!$C$5:$C$44,"Tool condition",R_Scores!I$5:I$44,R_Scores!I44)+COUNTIFS(R_Scores!$B$5:$B$44,1,R_Scores!$C$5:$C$44,"Paper condition",R_Scores!I$5:I$44,R_Scores!I44))^2-1,"")</f>
        <v/>
      </c>
      <c r="CF44" s="1" t="str">
        <f aca="false">IF(AND(R_Scores!$B44=2,R_Scores!$C44="Tool condition",ISNUMBER(R_Scores!I44)),COUNTIFS(R_Scores!$B$5:$B$44,2,R_Scores!$C$5:$C$44,"Paper condition",R_Scores!I$5:I$44,"&lt;"&amp;R_Scores!I44)+0.5*COUNTIFS(R_Scores!$B$5:$B$44,2,R_Scores!$C$5:$C$44,"Paper condition",R_Scores!I$5:I$44,R_Scores!I44),"")</f>
        <v/>
      </c>
      <c r="CG44" s="1" t="n">
        <f aca="false">IF(AND(R_Scores!$B44=2,OR(R_Scores!$C44="Tool condition",R_Scores!$C44="Paper condition"),ISNUMBER(R_Scores!I44)),(COUNTIFS(R_Scores!$B$5:$B$44,2,R_Scores!$C$5:$C$44,"Tool condition",R_Scores!I$5:I$44,R_Scores!I44)+COUNTIFS(R_Scores!$B$5:$B$44,2,R_Scores!$C$5:$C$44,"Paper condition",R_Scores!I$5:I$44,R_Scores!I44))^2-1,"")</f>
        <v>255</v>
      </c>
      <c r="CH44" s="1" t="n">
        <f aca="false">IF(ISNUMBER(R_Scores!I44),R_Scores!I44^2,"")</f>
        <v>1</v>
      </c>
      <c r="CI44" s="1" t="str">
        <f aca="false">IF(AND(R_Scores!$B44=1,R_Scores!$C44="Tool condition",ISNUMBER(R_Scores!J44)),COUNTIFS(R_Scores!$B$5:$B$44,1,R_Scores!$C$5:$C$44,"Paper condition",R_Scores!J$5:J$44,"&lt;"&amp;R_Scores!J44)+0.5*COUNTIFS(R_Scores!$B$5:$B$44,1,R_Scores!$C$5:$C$44,"Paper condition",R_Scores!J$5:J$44,R_Scores!J44),"")</f>
        <v/>
      </c>
      <c r="CJ44" s="1" t="str">
        <f aca="false">IF(AND(R_Scores!$B44=1,OR(R_Scores!$C44="Tool condition",R_Scores!$C44="Paper condition"),ISNUMBER(R_Scores!J44)),(COUNTIFS(R_Scores!$B$5:$B$44,1,R_Scores!$C$5:$C$44,"Tool condition",R_Scores!J$5:J$44,R_Scores!J44)+COUNTIFS(R_Scores!$B$5:$B$44,1,R_Scores!$C$5:$C$44,"Paper condition",R_Scores!J$5:J$44,R_Scores!J44))^2-1,"")</f>
        <v/>
      </c>
      <c r="CK44" s="1" t="str">
        <f aca="false">IF(AND(R_Scores!$B44=2,R_Scores!$C44="Tool condition",ISNUMBER(R_Scores!J44)),COUNTIFS(R_Scores!$B$5:$B$44,2,R_Scores!$C$5:$C$44,"Paper condition",R_Scores!J$5:J$44,"&lt;"&amp;R_Scores!J44)+0.5*COUNTIFS(R_Scores!$B$5:$B$44,2,R_Scores!$C$5:$C$44,"Paper condition",R_Scores!J$5:J$44,R_Scores!J44),"")</f>
        <v/>
      </c>
      <c r="CL44" s="1" t="n">
        <f aca="false">IF(AND(R_Scores!$B44=2,OR(R_Scores!$C44="Tool condition",R_Scores!$C44="Paper condition"),ISNUMBER(R_Scores!J44)),(COUNTIFS(R_Scores!$B$5:$B$44,2,R_Scores!$C$5:$C$44,"Tool condition",R_Scores!J$5:J$44,R_Scores!J44)+COUNTIFS(R_Scores!$B$5:$B$44,2,R_Scores!$C$5:$C$44,"Paper condition",R_Scores!J$5:J$44,R_Scores!J44))^2-1,"")</f>
        <v>35</v>
      </c>
      <c r="CM44" s="1" t="n">
        <f aca="false">IF(ISNUMBER(R_Scores!J44),R_Scores!J44^2,"")</f>
        <v>0</v>
      </c>
      <c r="CN44" s="1" t="str">
        <f aca="false">IF(AND(R_Scores!$B44=1,R_Scores!$C44="Tool condition",ISNUMBER(R_Scores!K44)),COUNTIFS(R_Scores!$B$5:$B$44,1,R_Scores!$C$5:$C$44,"Paper condition",R_Scores!K$5:K$44,"&lt;"&amp;R_Scores!K44)+0.5*COUNTIFS(R_Scores!$B$5:$B$44,1,R_Scores!$C$5:$C$44,"Paper condition",R_Scores!K$5:K$44,R_Scores!K44),"")</f>
        <v/>
      </c>
      <c r="CO44" s="1" t="str">
        <f aca="false">IF(AND(R_Scores!$B44=1,OR(R_Scores!$C44="Tool condition",R_Scores!$C44="Paper condition"),ISNUMBER(R_Scores!K44)),(COUNTIFS(R_Scores!$B$5:$B$44,1,R_Scores!$C$5:$C$44,"Tool condition",R_Scores!K$5:K$44,R_Scores!K44)+COUNTIFS(R_Scores!$B$5:$B$44,1,R_Scores!$C$5:$C$44,"Paper condition",R_Scores!K$5:K$44,R_Scores!K44))^2-1,"")</f>
        <v/>
      </c>
      <c r="CP44" s="1" t="str">
        <f aca="false">IF(AND(R_Scores!$B44=2,R_Scores!$C44="Tool condition",ISNUMBER(R_Scores!K44)),COUNTIFS(R_Scores!$B$5:$B$44,2,R_Scores!$C$5:$C$44,"Paper condition",R_Scores!K$5:K$44,"&lt;"&amp;R_Scores!K44)+0.5*COUNTIFS(R_Scores!$B$5:$B$44,2,R_Scores!$C$5:$C$44,"Paper condition",R_Scores!K$5:K$44,R_Scores!K44),"")</f>
        <v/>
      </c>
      <c r="CQ44" s="1" t="str">
        <f aca="false">IF(AND(R_Scores!$B44=2,OR(R_Scores!$C44="Tool condition",R_Scores!$C44="Paper condition"),ISNUMBER(R_Scores!K44)),(COUNTIFS(R_Scores!$B$5:$B$44,2,R_Scores!$C$5:$C$44,"Tool condition",R_Scores!K$5:K$44,R_Scores!K44)+COUNTIFS(R_Scores!$B$5:$B$44,2,R_Scores!$C$5:$C$44,"Paper condition",R_Scores!K$5:K$44,R_Scores!K44))^2-1,"")</f>
        <v/>
      </c>
      <c r="CR44" s="1" t="str">
        <f aca="false">IF(ISNUMBER(R_Scores!K44),R_Scores!K44^2,"")</f>
        <v/>
      </c>
      <c r="CS44" s="1" t="str">
        <f aca="false">IF(AND(R_Scores!$B44=1,R_Scores!$C44="Tool condition",ISNUMBER(R_Scores!L44)),COUNTIFS(R_Scores!$B$5:$B$44,1,R_Scores!$C$5:$C$44,"Paper condition",R_Scores!L$5:L$44,"&lt;"&amp;R_Scores!L44)+0.5*COUNTIFS(R_Scores!$B$5:$B$44,1,R_Scores!$C$5:$C$44,"Paper condition",R_Scores!L$5:L$44,R_Scores!L44),"")</f>
        <v/>
      </c>
      <c r="CT44" s="1" t="str">
        <f aca="false">IF(AND(R_Scores!$B44=1,OR(R_Scores!$C44="Tool condition",R_Scores!$C44="Paper condition"),ISNUMBER(R_Scores!L44)),(COUNTIFS(R_Scores!$B$5:$B$44,1,R_Scores!$C$5:$C$44,"Tool condition",R_Scores!L$5:L$44,R_Scores!L44)+COUNTIFS(R_Scores!$B$5:$B$44,1,R_Scores!$C$5:$C$44,"Paper condition",R_Scores!L$5:L$44,R_Scores!L44))^2-1,"")</f>
        <v/>
      </c>
      <c r="CU44" s="1" t="str">
        <f aca="false">IF(AND(R_Scores!$B44=2,R_Scores!$C44="Tool condition",ISNUMBER(R_Scores!L44)),COUNTIFS(R_Scores!$B$5:$B$44,2,R_Scores!$C$5:$C$44,"Paper condition",R_Scores!L$5:L$44,"&lt;"&amp;R_Scores!L44)+0.5*COUNTIFS(R_Scores!$B$5:$B$44,2,R_Scores!$C$5:$C$44,"Paper condition",R_Scores!L$5:L$44,R_Scores!L44),"")</f>
        <v/>
      </c>
      <c r="CV44" s="1" t="str">
        <f aca="false">IF(AND(R_Scores!$B44=2,OR(R_Scores!$C44="Tool condition",R_Scores!$C44="Paper condition"),ISNUMBER(R_Scores!L44)),(COUNTIFS(R_Scores!$B$5:$B$44,2,R_Scores!$C$5:$C$44,"Tool condition",R_Scores!L$5:L$44,R_Scores!L44)+COUNTIFS(R_Scores!$B$5:$B$44,2,R_Scores!$C$5:$C$44,"Paper condition",R_Scores!L$5:L$44,R_Scores!L44))^2-1,"")</f>
        <v/>
      </c>
      <c r="CW44" s="1" t="str">
        <f aca="false">IF(ISNUMBER(R_Scores!L44),R_Scores!L44^2,"")</f>
        <v/>
      </c>
      <c r="CX44" s="1" t="str">
        <f aca="false">IF(AND(R_Scores!$B44=1,R_Scores!$C44="Tool condition",ISNUMBER(R_Scores!M44)),COUNTIFS(R_Scores!$B$5:$B$44,1,R_Scores!$C$5:$C$44,"Paper condition",R_Scores!M$5:M$44,"&lt;"&amp;R_Scores!M44)+0.5*COUNTIFS(R_Scores!$B$5:$B$44,1,R_Scores!$C$5:$C$44,"Paper condition",R_Scores!M$5:M$44,R_Scores!M44),"")</f>
        <v/>
      </c>
      <c r="CY44" s="1" t="str">
        <f aca="false">IF(AND(R_Scores!$B44=1,OR(R_Scores!$C44="Tool condition",R_Scores!$C44="Paper condition"),ISNUMBER(R_Scores!M44)),(COUNTIFS(R_Scores!$B$5:$B$44,1,R_Scores!$C$5:$C$44,"Tool condition",R_Scores!M$5:M$44,R_Scores!M44)+COUNTIFS(R_Scores!$B$5:$B$44,1,R_Scores!$C$5:$C$44,"Paper condition",R_Scores!M$5:M$44,R_Scores!M44))^2-1,"")</f>
        <v/>
      </c>
      <c r="CZ44" s="1" t="str">
        <f aca="false">IF(AND(R_Scores!$B44=2,R_Scores!$C44="Tool condition",ISNUMBER(R_Scores!M44)),COUNTIFS(R_Scores!$B$5:$B$44,2,R_Scores!$C$5:$C$44,"Paper condition",R_Scores!M$5:M$44,"&lt;"&amp;R_Scores!M44)+0.5*COUNTIFS(R_Scores!$B$5:$B$44,2,R_Scores!$C$5:$C$44,"Paper condition",R_Scores!M$5:M$44,R_Scores!M44),"")</f>
        <v/>
      </c>
      <c r="DA44" s="1" t="str">
        <f aca="false">IF(AND(R_Scores!$B44=2,OR(R_Scores!$C44="Tool condition",R_Scores!$C44="Paper condition"),ISNUMBER(R_Scores!M44)),(COUNTIFS(R_Scores!$B$5:$B$44,2,R_Scores!$C$5:$C$44,"Tool condition",R_Scores!M$5:M$44,R_Scores!M44)+COUNTIFS(R_Scores!$B$5:$B$44,2,R_Scores!$C$5:$C$44,"Paper condition",R_Scores!M$5:M$44,R_Scores!M44))^2-1,"")</f>
        <v/>
      </c>
      <c r="DB44" s="1" t="str">
        <f aca="false">IF(ISNUMBER(R_Scores!M44),R_Scores!M44^2,"")</f>
        <v/>
      </c>
      <c r="DC44" s="1" t="str">
        <f aca="false">IF(AND(R_Scores!$B44=1,R_Scores!$C44="Tool condition",ISNUMBER(R_Scores!N44)),COUNTIFS(R_Scores!$B$5:$B$44,1,R_Scores!$C$5:$C$44,"Paper condition",R_Scores!N$5:N$44,"&lt;"&amp;R_Scores!N44)+0.5*COUNTIFS(R_Scores!$B$5:$B$44,1,R_Scores!$C$5:$C$44,"Paper condition",R_Scores!N$5:N$44,R_Scores!N44),"")</f>
        <v/>
      </c>
      <c r="DD44" s="1" t="str">
        <f aca="false">IF(AND(R_Scores!$B44=1,OR(R_Scores!$C44="Tool condition",R_Scores!$C44="Paper condition"),ISNUMBER(R_Scores!N44)),(COUNTIFS(R_Scores!$B$5:$B$44,1,R_Scores!$C$5:$C$44,"Tool condition",R_Scores!N$5:N$44,R_Scores!N44)+COUNTIFS(R_Scores!$B$5:$B$44,1,R_Scores!$C$5:$C$44,"Paper condition",R_Scores!N$5:N$44,R_Scores!N44))^2-1,"")</f>
        <v/>
      </c>
      <c r="DE44" s="1" t="str">
        <f aca="false">IF(AND(R_Scores!$B44=2,R_Scores!$C44="Tool condition",ISNUMBER(R_Scores!N44)),COUNTIFS(R_Scores!$B$5:$B$44,2,R_Scores!$C$5:$C$44,"Paper condition",R_Scores!N$5:N$44,"&lt;"&amp;R_Scores!N44)+0.5*COUNTIFS(R_Scores!$B$5:$B$44,2,R_Scores!$C$5:$C$44,"Paper condition",R_Scores!N$5:N$44,R_Scores!N44),"")</f>
        <v/>
      </c>
      <c r="DF44" s="1" t="n">
        <f aca="false">IF(AND(R_Scores!$B44=2,OR(R_Scores!$C44="Tool condition",R_Scores!$C44="Paper condition"),ISNUMBER(R_Scores!N44)),(COUNTIFS(R_Scores!$B$5:$B$44,2,R_Scores!$C$5:$C$44,"Tool condition",R_Scores!N$5:N$44,R_Scores!N44)+COUNTIFS(R_Scores!$B$5:$B$44,2,R_Scores!$C$5:$C$44,"Paper condition",R_Scores!N$5:N$44,R_Scores!N44))^2-1,"")</f>
        <v>143</v>
      </c>
      <c r="DG44" s="1" t="n">
        <f aca="false">IF(ISNUMBER(R_Scores!N44),R_Scores!N44^2,"")</f>
        <v>1</v>
      </c>
      <c r="DH44" s="1" t="str">
        <f aca="false">IF(AND(R_Scores!$B44=1,R_Scores!$C44="Tool condition",ISNUMBER(R_Scores!O44)),COUNTIFS(R_Scores!$B$5:$B$44,1,R_Scores!$C$5:$C$44,"Paper condition",R_Scores!O$5:O$44,"&lt;"&amp;R_Scores!O44)+0.5*COUNTIFS(R_Scores!$B$5:$B$44,1,R_Scores!$C$5:$C$44,"Paper condition",R_Scores!O$5:O$44,R_Scores!O44),"")</f>
        <v/>
      </c>
      <c r="DI44" s="1" t="str">
        <f aca="false">IF(AND(R_Scores!$B44=1,OR(R_Scores!$C44="Tool condition",R_Scores!$C44="Paper condition"),ISNUMBER(R_Scores!O44)),(COUNTIFS(R_Scores!$B$5:$B$44,1,R_Scores!$C$5:$C$44,"Tool condition",R_Scores!O$5:O$44,R_Scores!O44)+COUNTIFS(R_Scores!$B$5:$B$44,1,R_Scores!$C$5:$C$44,"Paper condition",R_Scores!O$5:O$44,R_Scores!O44))^2-1,"")</f>
        <v/>
      </c>
      <c r="DJ44" s="1" t="str">
        <f aca="false">IF(AND(R_Scores!$B44=2,R_Scores!$C44="Tool condition",ISNUMBER(R_Scores!O44)),COUNTIFS(R_Scores!$B$5:$B$44,2,R_Scores!$C$5:$C$44,"Paper condition",R_Scores!O$5:O$44,"&lt;"&amp;R_Scores!O44)+0.5*COUNTIFS(R_Scores!$B$5:$B$44,2,R_Scores!$C$5:$C$44,"Paper condition",R_Scores!O$5:O$44,R_Scores!O44),"")</f>
        <v/>
      </c>
      <c r="DK44" s="1" t="n">
        <f aca="false">IF(AND(R_Scores!$B44=2,OR(R_Scores!$C44="Tool condition",R_Scores!$C44="Paper condition"),ISNUMBER(R_Scores!O44)),(COUNTIFS(R_Scores!$B$5:$B$44,2,R_Scores!$C$5:$C$44,"Tool condition",R_Scores!O$5:O$44,R_Scores!O44)+COUNTIFS(R_Scores!$B$5:$B$44,2,R_Scores!$C$5:$C$44,"Paper condition",R_Scores!O$5:O$44,R_Scores!O44))^2-1,"")</f>
        <v>48</v>
      </c>
      <c r="DL44" s="1" t="n">
        <f aca="false">IF(ISNUMBER(R_Scores!O44),R_Scores!O44^2,"")</f>
        <v>0</v>
      </c>
      <c r="DM44" s="1" t="str">
        <f aca="false">IF(AND(R_Scores!$B44=1,R_Scores!$C44="Tool condition",ISNUMBER(R_Scores!P44)),COUNTIFS(R_Scores!$B$5:$B$44,1,R_Scores!$C$5:$C$44,"Paper condition",R_Scores!P$5:P$44,"&lt;"&amp;R_Scores!P44)+0.5*COUNTIFS(R_Scores!$B$5:$B$44,1,R_Scores!$C$5:$C$44,"Paper condition",R_Scores!P$5:P$44,R_Scores!P44),"")</f>
        <v/>
      </c>
      <c r="DN44" s="1" t="str">
        <f aca="false">IF(AND(R_Scores!$B44=1,OR(R_Scores!$C44="Tool condition",R_Scores!$C44="Paper condition"),ISNUMBER(R_Scores!P44)),(COUNTIFS(R_Scores!$B$5:$B$44,1,R_Scores!$C$5:$C$44,"Tool condition",R_Scores!P$5:P$44,R_Scores!P44)+COUNTIFS(R_Scores!$B$5:$B$44,1,R_Scores!$C$5:$C$44,"Paper condition",R_Scores!P$5:P$44,R_Scores!P44))^2-1,"")</f>
        <v/>
      </c>
      <c r="DO44" s="1" t="str">
        <f aca="false">IF(AND(R_Scores!$B44=2,R_Scores!$C44="Tool condition",ISNUMBER(R_Scores!P44)),COUNTIFS(R_Scores!$B$5:$B$44,2,R_Scores!$C$5:$C$44,"Paper condition",R_Scores!P$5:P$44,"&lt;"&amp;R_Scores!P44)+0.5*COUNTIFS(R_Scores!$B$5:$B$44,2,R_Scores!$C$5:$C$44,"Paper condition",R_Scores!P$5:P$44,R_Scores!P44),"")</f>
        <v/>
      </c>
      <c r="DP44" s="1" t="n">
        <f aca="false">IF(AND(R_Scores!$B44=2,OR(R_Scores!$C44="Tool condition",R_Scores!$C44="Paper condition"),ISNUMBER(R_Scores!P44)),(COUNTIFS(R_Scores!$B$5:$B$44,2,R_Scores!$C$5:$C$44,"Tool condition",R_Scores!P$5:P$44,R_Scores!P44)+COUNTIFS(R_Scores!$B$5:$B$44,2,R_Scores!$C$5:$C$44,"Paper condition",R_Scores!P$5:P$44,R_Scores!P44))^2-1,"")</f>
        <v>48</v>
      </c>
      <c r="DQ44" s="1" t="n">
        <f aca="false">IF(ISNUMBER(R_Scores!P44),R_Scores!P44^2,"")</f>
        <v>1</v>
      </c>
      <c r="DR44" s="1" t="str">
        <f aca="false">IF(AND(Scores!$B44=1,Scores!$C44="Tool condition",ISNUMBER(Scores!Q44)),COUNTIFS(Scores!$B$5:$B$44,1,Scores!$C$5:$C$44,"Paper condition",Scores!Q$5:Q$44,"&lt;"&amp;Scores!Q44)+0.5*COUNTIFS(Scores!$B$5:$B$44,1,Scores!$C$5:$C$44,"Paper condition",Scores!Q$5:Q$44,Scores!Q44),"")</f>
        <v/>
      </c>
      <c r="DS44" s="1" t="str">
        <f aca="false">IF(AND(Scores!$B44=1,OR(Scores!$C44="Tool condition",Scores!$C44="Paper condition"),ISNUMBER(Scores!Q44)),(COUNTIFS(Scores!$B$5:$B$44,1,Scores!$C$5:$C$44,"Tool condition",Scores!Q$5:Q$44,Scores!Q44)+COUNTIFS(Scores!$B$5:$B$44,1,Scores!$C$5:$C$44,"Paper condition",Scores!Q$5:Q$44,Scores!Q44))^2-1,"")</f>
        <v/>
      </c>
      <c r="DT44" s="1" t="str">
        <f aca="false">IF(AND(Scores!$B44=2,Scores!$C44="Tool condition",ISNUMBER(Scores!Q44)),COUNTIFS(Scores!$B$5:$B$44,2,Scores!$C$5:$C$44,"Paper condition",Scores!Q$5:Q$44,"&lt;"&amp;Scores!Q44)+0.5*COUNTIFS(Scores!$B$5:$B$44,2,Scores!$C$5:$C$44,"Paper condition",Scores!Q$5:Q$44,Scores!Q44),"")</f>
        <v/>
      </c>
      <c r="DU44" s="1" t="n">
        <f aca="false">IF(AND(Scores!$B44=2,OR(Scores!$C44="Tool condition",Scores!$C44="Paper condition"),ISNUMBER(Scores!Q44)),(COUNTIFS(Scores!$B$5:$B$44,2,Scores!$C$5:$C$44,"Tool condition",Scores!Q$5:Q$44,Scores!Q44)+COUNTIFS(Scores!$B$5:$B$44,2,Scores!$C$5:$C$44,"Paper condition",Scores!Q$5:Q$44,Scores!Q44))^2-1,"")</f>
        <v>15</v>
      </c>
      <c r="DV44" s="1" t="n">
        <f aca="false">IF(ISNUMBER(Scores!Q44),Scores!Q44^2,"")</f>
        <v>324</v>
      </c>
      <c r="DW44" s="1" t="str">
        <f aca="false">IF(AND(Scores!$B44=1,Scores!$C44="Tool condition",ISNUMBER(Scores!R44)),COUNTIFS(Scores!$B$5:$B$44,1,Scores!$C$5:$C$44,"Paper condition",Scores!R$5:R$44,"&lt;"&amp;Scores!R44)+0.5*COUNTIFS(Scores!$B$5:$B$44,1,Scores!$C$5:$C$44,"Paper condition",Scores!R$5:R$44,Scores!R44),"")</f>
        <v/>
      </c>
      <c r="DX44" s="1" t="str">
        <f aca="false">IF(AND(Scores!$B44=1,OR(Scores!$C44="Tool condition",Scores!$C44="Paper condition"),ISNUMBER(Scores!R44)),(COUNTIFS(Scores!$B$5:$B$44,1,Scores!$C$5:$C$44,"Tool condition",Scores!R$5:R$44,Scores!R44)+COUNTIFS(Scores!$B$5:$B$44,1,Scores!$C$5:$C$44,"Paper condition",Scores!R$5:R$44,Scores!R44))^2-1,"")</f>
        <v/>
      </c>
      <c r="DY44" s="1" t="str">
        <f aca="false">IF(AND(Scores!$B44=2,Scores!$C44="Tool condition",ISNUMBER(Scores!R44)),COUNTIFS(Scores!$B$5:$B$44,2,Scores!$C$5:$C$44,"Paper condition",Scores!R$5:R$44,"&lt;"&amp;Scores!R44)+0.5*COUNTIFS(Scores!$B$5:$B$44,2,Scores!$C$5:$C$44,"Paper condition",Scores!R$5:R$44,Scores!R44),"")</f>
        <v/>
      </c>
      <c r="DZ44" s="1" t="n">
        <f aca="false">IF(AND(Scores!$B44=2,OR(Scores!$C44="Tool condition",Scores!$C44="Paper condition"),ISNUMBER(Scores!R44)),(COUNTIFS(Scores!$B$5:$B$44,2,Scores!$C$5:$C$44,"Tool condition",Scores!R$5:R$44,Scores!R44)+COUNTIFS(Scores!$B$5:$B$44,2,Scores!$C$5:$C$44,"Paper condition",Scores!R$5:R$44,Scores!R44))^2-1,"")</f>
        <v>80</v>
      </c>
      <c r="EA44" s="1" t="n">
        <f aca="false">IF(ISNUMBER(Scores!R44),Scores!R44^2,"")</f>
        <v>100</v>
      </c>
      <c r="EB44" s="1" t="str">
        <f aca="false">IF(AND(Scores!$B44=1,Scores!$C44="Tool condition",ISNUMBER(Scores!S44)),COUNTIFS(Scores!$B$5:$B$44,1,Scores!$C$5:$C$44,"Paper condition",Scores!S$5:S$44,"&lt;"&amp;Scores!S44)+0.5*COUNTIFS(Scores!$B$5:$B$44,1,Scores!$C$5:$C$44,"Paper condition",Scores!S$5:S$44,Scores!S44),"")</f>
        <v/>
      </c>
      <c r="EC44" s="1" t="str">
        <f aca="false">IF(AND(Scores!$B44=1,OR(Scores!$C44="Tool condition",Scores!$C44="Paper condition"),ISNUMBER(Scores!S44)),(COUNTIFS(Scores!$B$5:$B$44,1,Scores!$C$5:$C$44,"Tool condition",Scores!S$5:S$44,Scores!S44)+COUNTIFS(Scores!$B$5:$B$44,1,Scores!$C$5:$C$44,"Paper condition",Scores!S$5:S$44,Scores!S44))^2-1,"")</f>
        <v/>
      </c>
      <c r="ED44" s="1" t="str">
        <f aca="false">IF(AND(Scores!$B44=2,Scores!$C44="Tool condition",ISNUMBER(Scores!S44)),COUNTIFS(Scores!$B$5:$B$44,2,Scores!$C$5:$C$44,"Paper condition",Scores!S$5:S$44,"&lt;"&amp;Scores!S44)+0.5*COUNTIFS(Scores!$B$5:$B$44,2,Scores!$C$5:$C$44,"Paper condition",Scores!S$5:S$44,Scores!S44),"")</f>
        <v/>
      </c>
      <c r="EE44" s="1" t="n">
        <f aca="false">IF(AND(Scores!$B44=2,OR(Scores!$C44="Tool condition",Scores!$C44="Paper condition"),ISNUMBER(Scores!S44)),(COUNTIFS(Scores!$B$5:$B$44,2,Scores!$C$5:$C$44,"Tool condition",Scores!S$5:S$44,Scores!S44)+COUNTIFS(Scores!$B$5:$B$44,2,Scores!$C$5:$C$44,"Paper condition",Scores!S$5:S$44,Scores!S44))^2-1,"")</f>
        <v>63</v>
      </c>
      <c r="EF44" s="1" t="n">
        <f aca="false">IF(ISNUMBER(Scores!S44),Scores!S44^2,"")</f>
        <v>64</v>
      </c>
      <c r="EG44" s="1" t="str">
        <f aca="false">IF(AND(Scores!$B44=1,Scores!$C44="Tool condition",ISNUMBER(Scores!T44)),COUNTIFS(Scores!$B$5:$B$44,1,Scores!$C$5:$C$44,"Paper condition",Scores!T$5:T$44,"&lt;"&amp;Scores!T44)+0.5*COUNTIFS(Scores!$B$5:$B$44,1,Scores!$C$5:$C$44,"Paper condition",Scores!T$5:T$44,Scores!T44),"")</f>
        <v/>
      </c>
      <c r="EH44" s="1" t="str">
        <f aca="false">IF(AND(Scores!$B44=1,OR(Scores!$C44="Tool condition",Scores!$C44="Paper condition"),ISNUMBER(Scores!T44)),(COUNTIFS(Scores!$B$5:$B$44,1,Scores!$C$5:$C$44,"Tool condition",Scores!T$5:T$44,Scores!T44)+COUNTIFS(Scores!$B$5:$B$44,1,Scores!$C$5:$C$44,"Paper condition",Scores!T$5:T$44,Scores!T44))^2-1,"")</f>
        <v/>
      </c>
      <c r="EI44" s="1" t="str">
        <f aca="false">IF(AND(Scores!$B44=2,Scores!$C44="Tool condition",ISNUMBER(Scores!T44)),COUNTIFS(Scores!$B$5:$B$44,2,Scores!$C$5:$C$44,"Paper condition",Scores!T$5:T$44,"&lt;"&amp;Scores!T44)+0.5*COUNTIFS(Scores!$B$5:$B$44,2,Scores!$C$5:$C$44,"Paper condition",Scores!T$5:T$44,Scores!T44),"")</f>
        <v/>
      </c>
      <c r="EJ44" s="1" t="n">
        <f aca="false">IF(AND(Scores!$B44=2,OR(Scores!$C44="Tool condition",Scores!$C44="Paper condition"),ISNUMBER(Scores!T44)),(COUNTIFS(Scores!$B$5:$B$44,2,Scores!$C$5:$C$44,"Tool condition",Scores!T$5:T$44,Scores!T44)+COUNTIFS(Scores!$B$5:$B$44,2,Scores!$C$5:$C$44,"Paper condition",Scores!T$5:T$44,Scores!T44))^2-1,"")</f>
        <v>80</v>
      </c>
      <c r="EK44" s="1" t="n">
        <f aca="false">IF(ISNUMBER(Scores!T44),Scores!T44^2,"")</f>
        <v>36</v>
      </c>
      <c r="EL44" s="1" t="str">
        <f aca="false">IF(AND(Scores!$B44=1,Scores!$C44="Tool condition",ISNUMBER(Scores!U44)),COUNTIFS(Scores!$B$5:$B$44,1,Scores!$C$5:$C$44,"Paper condition",Scores!U$5:U$44,"&lt;"&amp;Scores!U44)+0.5*COUNTIFS(Scores!$B$5:$B$44,1,Scores!$C$5:$C$44,"Paper condition",Scores!U$5:U$44,Scores!U44),"")</f>
        <v/>
      </c>
      <c r="EM44" s="1" t="str">
        <f aca="false">IF(AND(Scores!$B44=1,OR(Scores!$C44="Tool condition",Scores!$C44="Paper condition"),ISNUMBER(Scores!U44)),(COUNTIFS(Scores!$B$5:$B$44,1,Scores!$C$5:$C$44,"Tool condition",Scores!U$5:U$44,Scores!U44)+COUNTIFS(Scores!$B$5:$B$44,1,Scores!$C$5:$C$44,"Paper condition",Scores!U$5:U$44,Scores!U44))^2-1,"")</f>
        <v/>
      </c>
      <c r="EN44" s="1" t="str">
        <f aca="false">IF(AND(Scores!$B44=2,Scores!$C44="Tool condition",ISNUMBER(Scores!U44)),COUNTIFS(Scores!$B$5:$B$44,2,Scores!$C$5:$C$44,"Paper condition",Scores!U$5:U$44,"&lt;"&amp;Scores!U44)+0.5*COUNTIFS(Scores!$B$5:$B$44,2,Scores!$C$5:$C$44,"Paper condition",Scores!U$5:U$44,Scores!U44),"")</f>
        <v/>
      </c>
      <c r="EO44" s="1" t="n">
        <f aca="false">IF(AND(Scores!$B44=2,OR(Scores!$C44="Tool condition",Scores!$C44="Paper condition"),ISNUMBER(Scores!U44)),(COUNTIFS(Scores!$B$5:$B$44,2,Scores!$C$5:$C$44,"Tool condition",Scores!U$5:U$44,Scores!U44)+COUNTIFS(Scores!$B$5:$B$44,2,Scores!$C$5:$C$44,"Paper condition",Scores!U$5:U$44,Scores!U44))^2-1,"")</f>
        <v>35</v>
      </c>
      <c r="EP44" s="1" t="n">
        <f aca="false">IF(ISNUMBER(Scores!U44),Scores!U44^2,"")</f>
        <v>16</v>
      </c>
      <c r="EQ44" s="1" t="str">
        <f aca="false">IF(AND(Scores!$B44=1,Scores!$C44="Tool condition",ISNUMBER(Scores!V44)),COUNTIFS(Scores!$B$5:$B$44,1,Scores!$C$5:$C$44,"Paper condition",Scores!V$5:V$44,"&lt;"&amp;Scores!V44)+0.5*COUNTIFS(Scores!$B$5:$B$44,1,Scores!$C$5:$C$44,"Paper condition",Scores!V$5:V$44,Scores!V44),"")</f>
        <v/>
      </c>
      <c r="ER44" s="1" t="str">
        <f aca="false">IF(AND(Scores!$B44=1,OR(Scores!$C44="Tool condition",Scores!$C44="Paper condition"),ISNUMBER(Scores!V44)),(COUNTIFS(Scores!$B$5:$B$44,1,Scores!$C$5:$C$44,"Tool condition",Scores!V$5:V$44,Scores!V44)+COUNTIFS(Scores!$B$5:$B$44,1,Scores!$C$5:$C$44,"Paper condition",Scores!V$5:V$44,Scores!V44))^2-1,"")</f>
        <v/>
      </c>
      <c r="ES44" s="1" t="str">
        <f aca="false">IF(AND(Scores!$B44=2,Scores!$C44="Tool condition",ISNUMBER(Scores!V44)),COUNTIFS(Scores!$B$5:$B$44,2,Scores!$C$5:$C$44,"Paper condition",Scores!V$5:V$44,"&lt;"&amp;Scores!V44)+0.5*COUNTIFS(Scores!$B$5:$B$44,2,Scores!$C$5:$C$44,"Paper condition",Scores!V$5:V$44,Scores!V44),"")</f>
        <v/>
      </c>
      <c r="ET44" s="1" t="n">
        <f aca="false">IF(AND(Scores!$B44=2,OR(Scores!$C44="Tool condition",Scores!$C44="Paper condition"),ISNUMBER(Scores!V44)),(COUNTIFS(Scores!$B$5:$B$44,2,Scores!$C$5:$C$44,"Tool condition",Scores!V$5:V$44,Scores!V44)+COUNTIFS(Scores!$B$5:$B$44,2,Scores!$C$5:$C$44,"Paper condition",Scores!V$5:V$44,Scores!V44))^2-1,"")</f>
        <v>3</v>
      </c>
      <c r="EU44" s="1" t="n">
        <f aca="false">IF(ISNUMBER(Scores!V44),Scores!V44^2,"")</f>
        <v>64</v>
      </c>
      <c r="EV44" s="1" t="str">
        <f aca="false">IF(AND(R_Scores!$B44=1,R_Scores!$C44="Tool condition",ISNUMBER(R_Scores!Q44)),COUNTIFS(R_Scores!$B$5:$B$44,1,R_Scores!$C$5:$C$44,"Paper condition",R_Scores!Q$5:Q$44,"&lt;"&amp;R_Scores!Q44)+0.5*COUNTIFS(R_Scores!$B$5:$B$44,1,R_Scores!$C$5:$C$44,"Paper condition",R_Scores!Q$5:Q$44,R_Scores!Q44),"")</f>
        <v/>
      </c>
      <c r="EW44" s="1" t="str">
        <f aca="false">IF(AND(R_Scores!$B44=1,OR(R_Scores!$C44="Tool condition",R_Scores!$C44="Paper condition"),ISNUMBER(R_Scores!Q44)),(COUNTIFS(R_Scores!$B$5:$B$44,1,R_Scores!$C$5:$C$44,"Tool condition",R_Scores!Q$5:Q$44,R_Scores!Q44)+COUNTIFS(R_Scores!$B$5:$B$44,1,R_Scores!$C$5:$C$44,"Paper condition",R_Scores!Q$5:Q$44,R_Scores!Q44))^2-1,"")</f>
        <v/>
      </c>
      <c r="EX44" s="1" t="str">
        <f aca="false">IF(AND(R_Scores!$B44=2,R_Scores!$C44="Tool condition",ISNUMBER(R_Scores!Q44)),COUNTIFS(R_Scores!$B$5:$B$44,2,R_Scores!$C$5:$C$44,"Paper condition",R_Scores!Q$5:Q$44,"&lt;"&amp;R_Scores!Q44)+0.5*COUNTIFS(R_Scores!$B$5:$B$44,2,R_Scores!$C$5:$C$44,"Paper condition",R_Scores!Q$5:Q$44,R_Scores!Q44),"")</f>
        <v/>
      </c>
      <c r="EY44" s="1" t="n">
        <f aca="false">IF(AND(R_Scores!$B44=2,OR(R_Scores!$C44="Tool condition",R_Scores!$C44="Paper condition"),ISNUMBER(R_Scores!Q44)),(COUNTIFS(R_Scores!$B$5:$B$44,2,R_Scores!$C$5:$C$44,"Tool condition",R_Scores!Q$5:Q$44,R_Scores!Q44)+COUNTIFS(R_Scores!$B$5:$B$44,2,R_Scores!$C$5:$C$44,"Paper condition",R_Scores!Q$5:Q$44,R_Scores!Q44))^2-1,"")</f>
        <v>143</v>
      </c>
      <c r="EZ44" s="1" t="n">
        <f aca="false">IF(ISNUMBER(R_Scores!Q44),R_Scores!Q44^2,"")</f>
        <v>25</v>
      </c>
      <c r="FA44" s="1" t="str">
        <f aca="false">IF(AND(R_Scores!$B44=1,R_Scores!$C44="Tool condition",ISNUMBER(R_Scores!R44)),COUNTIFS(R_Scores!$B$5:$B$44,1,R_Scores!$C$5:$C$44,"Paper condition",R_Scores!R$5:R$44,"&lt;"&amp;R_Scores!R44)+0.5*COUNTIFS(R_Scores!$B$5:$B$44,1,R_Scores!$C$5:$C$44,"Paper condition",R_Scores!R$5:R$44,R_Scores!R44),"")</f>
        <v/>
      </c>
      <c r="FB44" s="1" t="str">
        <f aca="false">IF(AND(R_Scores!$B44=1,OR(R_Scores!$C44="Tool condition",R_Scores!$C44="Paper condition"),ISNUMBER(R_Scores!R44)),(COUNTIFS(R_Scores!$B$5:$B$44,1,R_Scores!$C$5:$C$44,"Tool condition",R_Scores!R$5:R$44,R_Scores!R44)+COUNTIFS(R_Scores!$B$5:$B$44,1,R_Scores!$C$5:$C$44,"Paper condition",R_Scores!R$5:R$44,R_Scores!R44))^2-1,"")</f>
        <v/>
      </c>
      <c r="FC44" s="1" t="str">
        <f aca="false">IF(AND(R_Scores!$B44=2,R_Scores!$C44="Tool condition",ISNUMBER(R_Scores!R44)),COUNTIFS(R_Scores!$B$5:$B$44,2,R_Scores!$C$5:$C$44,"Paper condition",R_Scores!R$5:R$44,"&lt;"&amp;R_Scores!R44)+0.5*COUNTIFS(R_Scores!$B$5:$B$44,2,R_Scores!$C$5:$C$44,"Paper condition",R_Scores!R$5:R$44,R_Scores!R44),"")</f>
        <v/>
      </c>
      <c r="FD44" s="1" t="n">
        <f aca="false">IF(AND(R_Scores!$B44=2,OR(R_Scores!$C44="Tool condition",R_Scores!$C44="Paper condition"),ISNUMBER(R_Scores!R44)),(COUNTIFS(R_Scores!$B$5:$B$44,2,R_Scores!$C$5:$C$44,"Tool condition",R_Scores!R$5:R$44,R_Scores!R44)+COUNTIFS(R_Scores!$B$5:$B$44,2,R_Scores!$C$5:$C$44,"Paper condition",R_Scores!R$5:R$44,R_Scores!R44))^2-1,"")</f>
        <v>8</v>
      </c>
      <c r="FE44" s="1" t="n">
        <f aca="false">IF(ISNUMBER(R_Scores!R44),R_Scores!R44^2,"")</f>
        <v>529</v>
      </c>
    </row>
    <row r="51" customFormat="false" ht="14.25" hidden="false" customHeight="true" outlineLevel="0" collapsed="false">
      <c r="FF51" s="4" t="s">
        <v>318</v>
      </c>
      <c r="FG51" s="4" t="s">
        <v>319</v>
      </c>
      <c r="FH51" s="4" t="s">
        <v>320</v>
      </c>
      <c r="FI51" s="4" t="s">
        <v>321</v>
      </c>
      <c r="FJ51" s="4" t="s">
        <v>322</v>
      </c>
      <c r="FK51" s="4" t="s">
        <v>323</v>
      </c>
    </row>
    <row r="52" customFormat="false" ht="14.25" hidden="false" customHeight="true" outlineLevel="0" collapsed="false">
      <c r="FF52" s="1" t="n">
        <f aca="false">IF(AND(Participants!$B2="Tool condition",ISNUMBER(Participants!D2)),COUNTIFS(Participants!$B$2:$B$21,"Paper condition",Participants!$D$2:$D$21,"&lt;"&amp;Participants!D2)+0.5*COUNTIFS(Participants!$B$2:$B$21,"Paper condition",Participants!$D$2:$D$21,Participants!D2),"")</f>
        <v>4.5</v>
      </c>
      <c r="FG52" s="1" t="n">
        <f aca="false">IF(AND(OR(Participants!$B2="Tool condition",Participants!$B2="Paper condition"),ISNUMBER(Participants!D2)),(COUNTIFS(Participants!$B$2:$B$21,"Tool condition",Participants!$D$2:$D$21,Participants!D2)+COUNTIFS(Participants!$B$2:$B$21,"Paper condition",Participants!$D$2:$D$21,Participants!D2))^2-1,"")</f>
        <v>323</v>
      </c>
      <c r="FH52" s="1" t="n">
        <f aca="false">IF(AND(Participants!$B2="Tool condition",ISNUMBER(Participants!E2)),COUNTIFS(Participants!$B$2:$B$21,"Paper condition",Participants!$E$2:$E$21,"&lt;"&amp;Participants!E2)+0.5*COUNTIFS(Participants!$B$2:$B$21,"Paper condition",Participants!$E$2:$E$21,Participants!E2),"")</f>
        <v>4.5</v>
      </c>
      <c r="FI52" s="1" t="n">
        <f aca="false">IF(AND(OR(Participants!$B2="Tool condition",Participants!$B2="Paper condition"),ISNUMBER(Participants!E2)),(COUNTIFS(Participants!$B$2:$B$21,"Tool condition",Participants!$E$2:$E$21,Participants!E2)+COUNTIFS(Participants!$B$2:$B$21,"Paper condition",Participants!$E$2:$E$21,Participants!E2))^2-1,"")</f>
        <v>288</v>
      </c>
      <c r="FJ52" s="1" t="n">
        <f aca="false">IF(AND(Participants!$B2="Tool condition",ISNUMBER(Participants!F2)),COUNTIFS(Participants!$B$2:$B$21,"Paper condition",Participants!$F$2:$F$21,"&lt;"&amp;Participants!F2)+0.5*COUNTIFS(Participants!$B$2:$B$21,"Paper condition",Participants!$F$2:$F$21,Participants!F2),"")</f>
        <v>2.5</v>
      </c>
      <c r="FK52" s="1" t="n">
        <f aca="false">IF(AND(OR(Participants!$B2="Tool condition",Participants!$B2="Paper condition"),ISNUMBER(Participants!F2)),(COUNTIFS(Participants!$B$2:$B$21,"Tool condition",Participants!$F$2:$F$21,Participants!F2)+COUNTIFS(Participants!$B$2:$B$21,"Paper condition",Participants!$F$2:$F$21,Participants!F2))^2-1,"")</f>
        <v>120</v>
      </c>
    </row>
    <row r="53" customFormat="false" ht="14.25" hidden="false" customHeight="true" outlineLevel="0" collapsed="false">
      <c r="FF53" s="1" t="n">
        <f aca="false">IF(AND(Participants!$B3="Tool condition",ISNUMBER(Participants!D3)),COUNTIFS(Participants!$B$2:$B$21,"Paper condition",Participants!$D$2:$D$21,"&lt;"&amp;Participants!D3)+0.5*COUNTIFS(Participants!$B$2:$B$21,"Paper condition",Participants!$D$2:$D$21,Participants!D3),"")</f>
        <v>4.5</v>
      </c>
      <c r="FG53" s="1" t="n">
        <f aca="false">IF(AND(OR(Participants!$B3="Tool condition",Participants!$B3="Paper condition"),ISNUMBER(Participants!D3)),(COUNTIFS(Participants!$B$2:$B$21,"Tool condition",Participants!$D$2:$D$21,Participants!D3)+COUNTIFS(Participants!$B$2:$B$21,"Paper condition",Participants!$D$2:$D$21,Participants!D3))^2-1,"")</f>
        <v>323</v>
      </c>
      <c r="FH53" s="1" t="n">
        <f aca="false">IF(AND(Participants!$B3="Tool condition",ISNUMBER(Participants!E3)),COUNTIFS(Participants!$B$2:$B$21,"Paper condition",Participants!$E$2:$E$21,"&lt;"&amp;Participants!E3)+0.5*COUNTIFS(Participants!$B$2:$B$21,"Paper condition",Participants!$E$2:$E$21,Participants!E3),"")</f>
        <v>4.5</v>
      </c>
      <c r="FI53" s="1" t="n">
        <f aca="false">IF(AND(OR(Participants!$B3="Tool condition",Participants!$B3="Paper condition"),ISNUMBER(Participants!E3)),(COUNTIFS(Participants!$B$2:$B$21,"Tool condition",Participants!$E$2:$E$21,Participants!E3)+COUNTIFS(Participants!$B$2:$B$21,"Paper condition",Participants!$E$2:$E$21,Participants!E3))^2-1,"")</f>
        <v>288</v>
      </c>
      <c r="FJ53" s="1" t="n">
        <f aca="false">IF(AND(Participants!$B3="Tool condition",ISNUMBER(Participants!F3)),COUNTIFS(Participants!$B$2:$B$21,"Paper condition",Participants!$F$2:$F$21,"&lt;"&amp;Participants!F3)+0.5*COUNTIFS(Participants!$B$2:$B$21,"Paper condition",Participants!$F$2:$F$21,Participants!F3),"")</f>
        <v>2.5</v>
      </c>
      <c r="FK53" s="1" t="n">
        <f aca="false">IF(AND(OR(Participants!$B3="Tool condition",Participants!$B3="Paper condition"),ISNUMBER(Participants!F3)),(COUNTIFS(Participants!$B$2:$B$21,"Tool condition",Participants!$F$2:$F$21,Participants!F3)+COUNTIFS(Participants!$B$2:$B$21,"Paper condition",Participants!$F$2:$F$21,Participants!F3))^2-1,"")</f>
        <v>120</v>
      </c>
    </row>
    <row r="54" customFormat="false" ht="14.25" hidden="false" customHeight="true" outlineLevel="0" collapsed="false">
      <c r="FF54" s="1" t="n">
        <f aca="false">IF(AND(Participants!$B4="Tool condition",ISNUMBER(Participants!D4)),COUNTIFS(Participants!$B$2:$B$21,"Paper condition",Participants!$D$2:$D$21,"&lt;"&amp;Participants!D4)+0.5*COUNTIFS(Participants!$B$2:$B$21,"Paper condition",Participants!$D$2:$D$21,Participants!D4),"")</f>
        <v>4.5</v>
      </c>
      <c r="FG54" s="1" t="n">
        <f aca="false">IF(AND(OR(Participants!$B4="Tool condition",Participants!$B4="Paper condition"),ISNUMBER(Participants!D4)),(COUNTIFS(Participants!$B$2:$B$21,"Tool condition",Participants!$D$2:$D$21,Participants!D4)+COUNTIFS(Participants!$B$2:$B$21,"Paper condition",Participants!$D$2:$D$21,Participants!D4))^2-1,"")</f>
        <v>323</v>
      </c>
      <c r="FH54" s="1" t="n">
        <f aca="false">IF(AND(Participants!$B4="Tool condition",ISNUMBER(Participants!E4)),COUNTIFS(Participants!$B$2:$B$21,"Paper condition",Participants!$E$2:$E$21,"&lt;"&amp;Participants!E4)+0.5*COUNTIFS(Participants!$B$2:$B$21,"Paper condition",Participants!$E$2:$E$21,Participants!E4),"")</f>
        <v>4.5</v>
      </c>
      <c r="FI54" s="1" t="n">
        <f aca="false">IF(AND(OR(Participants!$B4="Tool condition",Participants!$B4="Paper condition"),ISNUMBER(Participants!E4)),(COUNTIFS(Participants!$B$2:$B$21,"Tool condition",Participants!$E$2:$E$21,Participants!E4)+COUNTIFS(Participants!$B$2:$B$21,"Paper condition",Participants!$E$2:$E$21,Participants!E4))^2-1,"")</f>
        <v>288</v>
      </c>
      <c r="FJ54" s="1" t="n">
        <f aca="false">IF(AND(Participants!$B4="Tool condition",ISNUMBER(Participants!F4)),COUNTIFS(Participants!$B$2:$B$21,"Paper condition",Participants!$F$2:$F$21,"&lt;"&amp;Participants!F4)+0.5*COUNTIFS(Participants!$B$2:$B$21,"Paper condition",Participants!$F$2:$F$21,Participants!F4),"")</f>
        <v>7.5</v>
      </c>
      <c r="FK54" s="1" t="n">
        <f aca="false">IF(AND(OR(Participants!$B4="Tool condition",Participants!$B4="Paper condition"),ISNUMBER(Participants!F4)),(COUNTIFS(Participants!$B$2:$B$21,"Tool condition",Participants!$F$2:$F$21,Participants!F4)+COUNTIFS(Participants!$B$2:$B$21,"Paper condition",Participants!$F$2:$F$21,Participants!F4))^2-1,"")</f>
        <v>80</v>
      </c>
    </row>
    <row r="55" customFormat="false" ht="14.25" hidden="false" customHeight="true" outlineLevel="0" collapsed="false">
      <c r="FF55" s="1" t="n">
        <f aca="false">IF(AND(Participants!$B5="Tool condition",ISNUMBER(Participants!D5)),COUNTIFS(Participants!$B$2:$B$21,"Paper condition",Participants!$D$2:$D$21,"&lt;"&amp;Participants!D5)+0.5*COUNTIFS(Participants!$B$2:$B$21,"Paper condition",Participants!$D$2:$D$21,Participants!D5),"")</f>
        <v>4.5</v>
      </c>
      <c r="FG55" s="1" t="n">
        <f aca="false">IF(AND(OR(Participants!$B5="Tool condition",Participants!$B5="Paper condition"),ISNUMBER(Participants!D5)),(COUNTIFS(Participants!$B$2:$B$21,"Tool condition",Participants!$D$2:$D$21,Participants!D5)+COUNTIFS(Participants!$B$2:$B$21,"Paper condition",Participants!$D$2:$D$21,Participants!D5))^2-1,"")</f>
        <v>323</v>
      </c>
      <c r="FH55" s="1" t="n">
        <f aca="false">IF(AND(Participants!$B5="Tool condition",ISNUMBER(Participants!E5)),COUNTIFS(Participants!$B$2:$B$21,"Paper condition",Participants!$E$2:$E$21,"&lt;"&amp;Participants!E5)+0.5*COUNTIFS(Participants!$B$2:$B$21,"Paper condition",Participants!$E$2:$E$21,Participants!E5),"")</f>
        <v>4.5</v>
      </c>
      <c r="FI55" s="1" t="n">
        <f aca="false">IF(AND(OR(Participants!$B5="Tool condition",Participants!$B5="Paper condition"),ISNUMBER(Participants!E5)),(COUNTIFS(Participants!$B$2:$B$21,"Tool condition",Participants!$E$2:$E$21,Participants!E5)+COUNTIFS(Participants!$B$2:$B$21,"Paper condition",Participants!$E$2:$E$21,Participants!E5))^2-1,"")</f>
        <v>288</v>
      </c>
      <c r="FJ55" s="1" t="n">
        <f aca="false">IF(AND(Participants!$B5="Tool condition",ISNUMBER(Participants!F5)),COUNTIFS(Participants!$B$2:$B$21,"Paper condition",Participants!$F$2:$F$21,"&lt;"&amp;Participants!F5)+0.5*COUNTIFS(Participants!$B$2:$B$21,"Paper condition",Participants!$F$2:$F$21,Participants!F5),"")</f>
        <v>2.5</v>
      </c>
      <c r="FK55" s="1" t="n">
        <f aca="false">IF(AND(OR(Participants!$B5="Tool condition",Participants!$B5="Paper condition"),ISNUMBER(Participants!F5)),(COUNTIFS(Participants!$B$2:$B$21,"Tool condition",Participants!$F$2:$F$21,Participants!F5)+COUNTIFS(Participants!$B$2:$B$21,"Paper condition",Participants!$F$2:$F$21,Participants!F5))^2-1,"")</f>
        <v>120</v>
      </c>
    </row>
    <row r="56" customFormat="false" ht="14.25" hidden="false" customHeight="true" outlineLevel="0" collapsed="false">
      <c r="FF56" s="1" t="n">
        <f aca="false">IF(AND(Participants!$B6="Tool condition",ISNUMBER(Participants!D6)),COUNTIFS(Participants!$B$2:$B$21,"Paper condition",Participants!$D$2:$D$21,"&lt;"&amp;Participants!D6)+0.5*COUNTIFS(Participants!$B$2:$B$21,"Paper condition",Participants!$D$2:$D$21,Participants!D6),"")</f>
        <v>9.5</v>
      </c>
      <c r="FG56" s="1" t="n">
        <f aca="false">IF(AND(OR(Participants!$B6="Tool condition",Participants!$B6="Paper condition"),ISNUMBER(Participants!D6)),(COUNTIFS(Participants!$B$2:$B$21,"Tool condition",Participants!$D$2:$D$21,Participants!D6)+COUNTIFS(Participants!$B$2:$B$21,"Paper condition",Participants!$D$2:$D$21,Participants!D6))^2-1,"")</f>
        <v>3</v>
      </c>
      <c r="FH56" s="1" t="n">
        <f aca="false">IF(AND(Participants!$B6="Tool condition",ISNUMBER(Participants!E6)),COUNTIFS(Participants!$B$2:$B$21,"Paper condition",Participants!$E$2:$E$21,"&lt;"&amp;Participants!E6)+0.5*COUNTIFS(Participants!$B$2:$B$21,"Paper condition",Participants!$E$2:$E$21,Participants!E6),"")</f>
        <v>9.5</v>
      </c>
      <c r="FI56" s="1" t="n">
        <f aca="false">IF(AND(OR(Participants!$B6="Tool condition",Participants!$B6="Paper condition"),ISNUMBER(Participants!E6)),(COUNTIFS(Participants!$B$2:$B$21,"Tool condition",Participants!$E$2:$E$21,Participants!E6)+COUNTIFS(Participants!$B$2:$B$21,"Paper condition",Participants!$E$2:$E$21,Participants!E6))^2-1,"")</f>
        <v>8</v>
      </c>
      <c r="FJ56" s="1" t="n">
        <f aca="false">IF(AND(Participants!$B6="Tool condition",ISNUMBER(Participants!F6)),COUNTIFS(Participants!$B$2:$B$21,"Paper condition",Participants!$F$2:$F$21,"&lt;"&amp;Participants!F6)+0.5*COUNTIFS(Participants!$B$2:$B$21,"Paper condition",Participants!$F$2:$F$21,Participants!F6),"")</f>
        <v>7.5</v>
      </c>
      <c r="FK56" s="1" t="n">
        <f aca="false">IF(AND(OR(Participants!$B6="Tool condition",Participants!$B6="Paper condition"),ISNUMBER(Participants!F6)),(COUNTIFS(Participants!$B$2:$B$21,"Tool condition",Participants!$F$2:$F$21,Participants!F6)+COUNTIFS(Participants!$B$2:$B$21,"Paper condition",Participants!$F$2:$F$21,Participants!F6))^2-1,"")</f>
        <v>80</v>
      </c>
    </row>
    <row r="57" customFormat="false" ht="14.25" hidden="false" customHeight="true" outlineLevel="0" collapsed="false">
      <c r="FF57" s="1" t="n">
        <f aca="false">IF(AND(Participants!$B7="Tool condition",ISNUMBER(Participants!D7)),COUNTIFS(Participants!$B$2:$B$21,"Paper condition",Participants!$D$2:$D$21,"&lt;"&amp;Participants!D7)+0.5*COUNTIFS(Participants!$B$2:$B$21,"Paper condition",Participants!$D$2:$D$21,Participants!D7),"")</f>
        <v>4.5</v>
      </c>
      <c r="FG57" s="1" t="n">
        <f aca="false">IF(AND(OR(Participants!$B7="Tool condition",Participants!$B7="Paper condition"),ISNUMBER(Participants!D7)),(COUNTIFS(Participants!$B$2:$B$21,"Tool condition",Participants!$D$2:$D$21,Participants!D7)+COUNTIFS(Participants!$B$2:$B$21,"Paper condition",Participants!$D$2:$D$21,Participants!D7))^2-1,"")</f>
        <v>323</v>
      </c>
      <c r="FH57" s="1" t="n">
        <f aca="false">IF(AND(Participants!$B7="Tool condition",ISNUMBER(Participants!E7)),COUNTIFS(Participants!$B$2:$B$21,"Paper condition",Participants!$E$2:$E$21,"&lt;"&amp;Participants!E7)+0.5*COUNTIFS(Participants!$B$2:$B$21,"Paper condition",Participants!$E$2:$E$21,Participants!E7),"")</f>
        <v>4.5</v>
      </c>
      <c r="FI57" s="1" t="n">
        <f aca="false">IF(AND(OR(Participants!$B7="Tool condition",Participants!$B7="Paper condition"),ISNUMBER(Participants!E7)),(COUNTIFS(Participants!$B$2:$B$21,"Tool condition",Participants!$E$2:$E$21,Participants!E7)+COUNTIFS(Participants!$B$2:$B$21,"Paper condition",Participants!$E$2:$E$21,Participants!E7))^2-1,"")</f>
        <v>288</v>
      </c>
      <c r="FJ57" s="1" t="n">
        <f aca="false">IF(AND(Participants!$B7="Tool condition",ISNUMBER(Participants!F7)),COUNTIFS(Participants!$B$2:$B$21,"Paper condition",Participants!$F$2:$F$21,"&lt;"&amp;Participants!F7)+0.5*COUNTIFS(Participants!$B$2:$B$21,"Paper condition",Participants!$F$2:$F$21,Participants!F7),"")</f>
        <v>2.5</v>
      </c>
      <c r="FK57" s="1" t="n">
        <f aca="false">IF(AND(OR(Participants!$B7="Tool condition",Participants!$B7="Paper condition"),ISNUMBER(Participants!F7)),(COUNTIFS(Participants!$B$2:$B$21,"Tool condition",Participants!$F$2:$F$21,Participants!F7)+COUNTIFS(Participants!$B$2:$B$21,"Paper condition",Participants!$F$2:$F$21,Participants!F7))^2-1,"")</f>
        <v>120</v>
      </c>
    </row>
    <row r="58" customFormat="false" ht="14.25" hidden="false" customHeight="true" outlineLevel="0" collapsed="false">
      <c r="FF58" s="1" t="n">
        <f aca="false">IF(AND(Participants!$B8="Tool condition",ISNUMBER(Participants!D8)),COUNTIFS(Participants!$B$2:$B$21,"Paper condition",Participants!$D$2:$D$21,"&lt;"&amp;Participants!D8)+0.5*COUNTIFS(Participants!$B$2:$B$21,"Paper condition",Participants!$D$2:$D$21,Participants!D8),"")</f>
        <v>4.5</v>
      </c>
      <c r="FG58" s="1" t="n">
        <f aca="false">IF(AND(OR(Participants!$B8="Tool condition",Participants!$B8="Paper condition"),ISNUMBER(Participants!D8)),(COUNTIFS(Participants!$B$2:$B$21,"Tool condition",Participants!$D$2:$D$21,Participants!D8)+COUNTIFS(Participants!$B$2:$B$21,"Paper condition",Participants!$D$2:$D$21,Participants!D8))^2-1,"")</f>
        <v>323</v>
      </c>
      <c r="FH58" s="1" t="n">
        <f aca="false">IF(AND(Participants!$B8="Tool condition",ISNUMBER(Participants!E8)),COUNTIFS(Participants!$B$2:$B$21,"Paper condition",Participants!$E$2:$E$21,"&lt;"&amp;Participants!E8)+0.5*COUNTIFS(Participants!$B$2:$B$21,"Paper condition",Participants!$E$2:$E$21,Participants!E8),"")</f>
        <v>4.5</v>
      </c>
      <c r="FI58" s="1" t="n">
        <f aca="false">IF(AND(OR(Participants!$B8="Tool condition",Participants!$B8="Paper condition"),ISNUMBER(Participants!E8)),(COUNTIFS(Participants!$B$2:$B$21,"Tool condition",Participants!$E$2:$E$21,Participants!E8)+COUNTIFS(Participants!$B$2:$B$21,"Paper condition",Participants!$E$2:$E$21,Participants!E8))^2-1,"")</f>
        <v>288</v>
      </c>
      <c r="FJ58" s="1" t="n">
        <f aca="false">IF(AND(Participants!$B8="Tool condition",ISNUMBER(Participants!F8)),COUNTIFS(Participants!$B$2:$B$21,"Paper condition",Participants!$F$2:$F$21,"&lt;"&amp;Participants!F8)+0.5*COUNTIFS(Participants!$B$2:$B$21,"Paper condition",Participants!$F$2:$F$21,Participants!F8),"")</f>
        <v>7.5</v>
      </c>
      <c r="FK58" s="1" t="n">
        <f aca="false">IF(AND(OR(Participants!$B8="Tool condition",Participants!$B8="Paper condition"),ISNUMBER(Participants!F8)),(COUNTIFS(Participants!$B$2:$B$21,"Tool condition",Participants!$F$2:$F$21,Participants!F8)+COUNTIFS(Participants!$B$2:$B$21,"Paper condition",Participants!$F$2:$F$21,Participants!F8))^2-1,"")</f>
        <v>80</v>
      </c>
    </row>
    <row r="59" customFormat="false" ht="14.25" hidden="false" customHeight="true" outlineLevel="0" collapsed="false">
      <c r="FF59" s="1" t="n">
        <f aca="false">IF(AND(Participants!$B9="Tool condition",ISNUMBER(Participants!D9)),COUNTIFS(Participants!$B$2:$B$21,"Paper condition",Participants!$D$2:$D$21,"&lt;"&amp;Participants!D9)+0.5*COUNTIFS(Participants!$B$2:$B$21,"Paper condition",Participants!$D$2:$D$21,Participants!D9),"")</f>
        <v>4.5</v>
      </c>
      <c r="FG59" s="1" t="n">
        <f aca="false">IF(AND(OR(Participants!$B9="Tool condition",Participants!$B9="Paper condition"),ISNUMBER(Participants!D9)),(COUNTIFS(Participants!$B$2:$B$21,"Tool condition",Participants!$D$2:$D$21,Participants!D9)+COUNTIFS(Participants!$B$2:$B$21,"Paper condition",Participants!$D$2:$D$21,Participants!D9))^2-1,"")</f>
        <v>323</v>
      </c>
      <c r="FH59" s="1" t="n">
        <f aca="false">IF(AND(Participants!$B9="Tool condition",ISNUMBER(Participants!E9)),COUNTIFS(Participants!$B$2:$B$21,"Paper condition",Participants!$E$2:$E$21,"&lt;"&amp;Participants!E9)+0.5*COUNTIFS(Participants!$B$2:$B$21,"Paper condition",Participants!$E$2:$E$21,Participants!E9),"")</f>
        <v>4.5</v>
      </c>
      <c r="FI59" s="1" t="n">
        <f aca="false">IF(AND(OR(Participants!$B9="Tool condition",Participants!$B9="Paper condition"),ISNUMBER(Participants!E9)),(COUNTIFS(Participants!$B$2:$B$21,"Tool condition",Participants!$E$2:$E$21,Participants!E9)+COUNTIFS(Participants!$B$2:$B$21,"Paper condition",Participants!$E$2:$E$21,Participants!E9))^2-1,"")</f>
        <v>288</v>
      </c>
      <c r="FJ59" s="1" t="n">
        <f aca="false">IF(AND(Participants!$B9="Tool condition",ISNUMBER(Participants!F9)),COUNTIFS(Participants!$B$2:$B$21,"Paper condition",Participants!$F$2:$F$21,"&lt;"&amp;Participants!F9)+0.5*COUNTIFS(Participants!$B$2:$B$21,"Paper condition",Participants!$F$2:$F$21,Participants!F9),"")</f>
        <v>2.5</v>
      </c>
      <c r="FK59" s="1" t="n">
        <f aca="false">IF(AND(OR(Participants!$B9="Tool condition",Participants!$B9="Paper condition"),ISNUMBER(Participants!F9)),(COUNTIFS(Participants!$B$2:$B$21,"Tool condition",Participants!$F$2:$F$21,Participants!F9)+COUNTIFS(Participants!$B$2:$B$21,"Paper condition",Participants!$F$2:$F$21,Participants!F9))^2-1,"")</f>
        <v>120</v>
      </c>
    </row>
    <row r="60" customFormat="false" ht="14.25" hidden="false" customHeight="true" outlineLevel="0" collapsed="false">
      <c r="FF60" s="1" t="n">
        <f aca="false">IF(AND(Participants!$B10="Tool condition",ISNUMBER(Participants!D10)),COUNTIFS(Participants!$B$2:$B$21,"Paper condition",Participants!$D$2:$D$21,"&lt;"&amp;Participants!D10)+0.5*COUNTIFS(Participants!$B$2:$B$21,"Paper condition",Participants!$D$2:$D$21,Participants!D10),"")</f>
        <v>4.5</v>
      </c>
      <c r="FG60" s="1" t="n">
        <f aca="false">IF(AND(OR(Participants!$B10="Tool condition",Participants!$B10="Paper condition"),ISNUMBER(Participants!D10)),(COUNTIFS(Participants!$B$2:$B$21,"Tool condition",Participants!$D$2:$D$21,Participants!D10)+COUNTIFS(Participants!$B$2:$B$21,"Paper condition",Participants!$D$2:$D$21,Participants!D10))^2-1,"")</f>
        <v>323</v>
      </c>
      <c r="FH60" s="1" t="n">
        <f aca="false">IF(AND(Participants!$B10="Tool condition",ISNUMBER(Participants!E10)),COUNTIFS(Participants!$B$2:$B$21,"Paper condition",Participants!$E$2:$E$21,"&lt;"&amp;Participants!E10)+0.5*COUNTIFS(Participants!$B$2:$B$21,"Paper condition",Participants!$E$2:$E$21,Participants!E10),"")</f>
        <v>4.5</v>
      </c>
      <c r="FI60" s="1" t="n">
        <f aca="false">IF(AND(OR(Participants!$B10="Tool condition",Participants!$B10="Paper condition"),ISNUMBER(Participants!E10)),(COUNTIFS(Participants!$B$2:$B$21,"Tool condition",Participants!$E$2:$E$21,Participants!E10)+COUNTIFS(Participants!$B$2:$B$21,"Paper condition",Participants!$E$2:$E$21,Participants!E10))^2-1,"")</f>
        <v>288</v>
      </c>
      <c r="FJ60" s="1" t="n">
        <f aca="false">IF(AND(Participants!$B10="Tool condition",ISNUMBER(Participants!F10)),COUNTIFS(Participants!$B$2:$B$21,"Paper condition",Participants!$F$2:$F$21,"&lt;"&amp;Participants!F10)+0.5*COUNTIFS(Participants!$B$2:$B$21,"Paper condition",Participants!$F$2:$F$21,Participants!F10),"")</f>
        <v>7.5</v>
      </c>
      <c r="FK60" s="1" t="n">
        <f aca="false">IF(AND(OR(Participants!$B10="Tool condition",Participants!$B10="Paper condition"),ISNUMBER(Participants!F10)),(COUNTIFS(Participants!$B$2:$B$21,"Tool condition",Participants!$F$2:$F$21,Participants!F10)+COUNTIFS(Participants!$B$2:$B$21,"Paper condition",Participants!$F$2:$F$21,Participants!F10))^2-1,"")</f>
        <v>80</v>
      </c>
    </row>
    <row r="61" customFormat="false" ht="14.25" hidden="false" customHeight="true" outlineLevel="0" collapsed="false">
      <c r="FF61" s="1" t="n">
        <f aca="false">IF(AND(Participants!$B11="Tool condition",ISNUMBER(Participants!D11)),COUNTIFS(Participants!$B$2:$B$21,"Paper condition",Participants!$D$2:$D$21,"&lt;"&amp;Participants!D11)+0.5*COUNTIFS(Participants!$B$2:$B$21,"Paper condition",Participants!$D$2:$D$21,Participants!D11),"")</f>
        <v>4.5</v>
      </c>
      <c r="FG61" s="1" t="n">
        <f aca="false">IF(AND(OR(Participants!$B11="Tool condition",Participants!$B11="Paper condition"),ISNUMBER(Participants!D11)),(COUNTIFS(Participants!$B$2:$B$21,"Tool condition",Participants!$D$2:$D$21,Participants!D11)+COUNTIFS(Participants!$B$2:$B$21,"Paper condition",Participants!$D$2:$D$21,Participants!D11))^2-1,"")</f>
        <v>323</v>
      </c>
      <c r="FH61" s="1" t="n">
        <f aca="false">IF(AND(Participants!$B11="Tool condition",ISNUMBER(Participants!E11)),COUNTIFS(Participants!$B$2:$B$21,"Paper condition",Participants!$E$2:$E$21,"&lt;"&amp;Participants!E11)+0.5*COUNTIFS(Participants!$B$2:$B$21,"Paper condition",Participants!$E$2:$E$21,Participants!E11),"")</f>
        <v>9.5</v>
      </c>
      <c r="FI61" s="1" t="n">
        <f aca="false">IF(AND(OR(Participants!$B11="Tool condition",Participants!$B11="Paper condition"),ISNUMBER(Participants!E11)),(COUNTIFS(Participants!$B$2:$B$21,"Tool condition",Participants!$E$2:$E$21,Participants!E11)+COUNTIFS(Participants!$B$2:$B$21,"Paper condition",Participants!$E$2:$E$21,Participants!E11))^2-1,"")</f>
        <v>8</v>
      </c>
      <c r="FJ61" s="1" t="n">
        <f aca="false">IF(AND(Participants!$B11="Tool condition",ISNUMBER(Participants!F11)),COUNTIFS(Participants!$B$2:$B$21,"Paper condition",Participants!$F$2:$F$21,"&lt;"&amp;Participants!F11)+0.5*COUNTIFS(Participants!$B$2:$B$21,"Paper condition",Participants!$F$2:$F$21,Participants!F11),"")</f>
        <v>2.5</v>
      </c>
      <c r="FK61" s="1" t="n">
        <f aca="false">IF(AND(OR(Participants!$B11="Tool condition",Participants!$B11="Paper condition"),ISNUMBER(Participants!F11)),(COUNTIFS(Participants!$B$2:$B$21,"Tool condition",Participants!$F$2:$F$21,Participants!F11)+COUNTIFS(Participants!$B$2:$B$21,"Paper condition",Participants!$F$2:$F$21,Participants!F11))^2-1,"")</f>
        <v>120</v>
      </c>
    </row>
    <row r="62" customFormat="false" ht="14.25" hidden="false" customHeight="true" outlineLevel="0" collapsed="false">
      <c r="FF62" s="1" t="str">
        <f aca="false">IF(AND(Participants!$B12="Tool condition",ISNUMBER(Participants!D12)),COUNTIFS(Participants!$B$2:$B$21,"Paper condition",Participants!$D$2:$D$21,"&lt;"&amp;Participants!D12)+0.5*COUNTIFS(Participants!$B$2:$B$21,"Paper condition",Participants!$D$2:$D$21,Participants!D12),"")</f>
        <v/>
      </c>
      <c r="FG62" s="1" t="n">
        <f aca="false">IF(AND(OR(Participants!$B12="Tool condition",Participants!$B12="Paper condition"),ISNUMBER(Participants!D12)),(COUNTIFS(Participants!$B$2:$B$21,"Tool condition",Participants!$D$2:$D$21,Participants!D12)+COUNTIFS(Participants!$B$2:$B$21,"Paper condition",Participants!$D$2:$D$21,Participants!D12))^2-1,"")</f>
        <v>3</v>
      </c>
      <c r="FH62" s="1" t="str">
        <f aca="false">IF(AND(Participants!$B12="Tool condition",ISNUMBER(Participants!E12)),COUNTIFS(Participants!$B$2:$B$21,"Paper condition",Participants!$E$2:$E$21,"&lt;"&amp;Participants!E12)+0.5*COUNTIFS(Participants!$B$2:$B$21,"Paper condition",Participants!$E$2:$E$21,Participants!E12),"")</f>
        <v/>
      </c>
      <c r="FI62" s="1" t="n">
        <f aca="false">IF(AND(OR(Participants!$B12="Tool condition",Participants!$B12="Paper condition"),ISNUMBER(Participants!E12)),(COUNTIFS(Participants!$B$2:$B$21,"Tool condition",Participants!$E$2:$E$21,Participants!E12)+COUNTIFS(Participants!$B$2:$B$21,"Paper condition",Participants!$E$2:$E$21,Participants!E12))^2-1,"")</f>
        <v>288</v>
      </c>
      <c r="FJ62" s="1" t="str">
        <f aca="false">IF(AND(Participants!$B12="Tool condition",ISNUMBER(Participants!F12)),COUNTIFS(Participants!$B$2:$B$21,"Paper condition",Participants!$F$2:$F$21,"&lt;"&amp;Participants!F12)+0.5*COUNTIFS(Participants!$B$2:$B$21,"Paper condition",Participants!$F$2:$F$21,Participants!F12),"")</f>
        <v/>
      </c>
      <c r="FK62" s="1" t="n">
        <f aca="false">IF(AND(OR(Participants!$B12="Tool condition",Participants!$B12="Paper condition"),ISNUMBER(Participants!F12)),(COUNTIFS(Participants!$B$2:$B$21,"Tool condition",Participants!$F$2:$F$21,Participants!F12)+COUNTIFS(Participants!$B$2:$B$21,"Paper condition",Participants!$F$2:$F$21,Participants!F12))^2-1,"")</f>
        <v>80</v>
      </c>
    </row>
    <row r="63" customFormat="false" ht="14.25" hidden="false" customHeight="true" outlineLevel="0" collapsed="false">
      <c r="FF63" s="1" t="str">
        <f aca="false">IF(AND(Participants!$B13="Tool condition",ISNUMBER(Participants!D13)),COUNTIFS(Participants!$B$2:$B$21,"Paper condition",Participants!$D$2:$D$21,"&lt;"&amp;Participants!D13)+0.5*COUNTIFS(Participants!$B$2:$B$21,"Paper condition",Participants!$D$2:$D$21,Participants!D13),"")</f>
        <v/>
      </c>
      <c r="FG63" s="1" t="n">
        <f aca="false">IF(AND(OR(Participants!$B13="Tool condition",Participants!$B13="Paper condition"),ISNUMBER(Participants!D13)),(COUNTIFS(Participants!$B$2:$B$21,"Tool condition",Participants!$D$2:$D$21,Participants!D13)+COUNTIFS(Participants!$B$2:$B$21,"Paper condition",Participants!$D$2:$D$21,Participants!D13))^2-1,"")</f>
        <v>323</v>
      </c>
      <c r="FH63" s="1" t="str">
        <f aca="false">IF(AND(Participants!$B13="Tool condition",ISNUMBER(Participants!E13)),COUNTIFS(Participants!$B$2:$B$21,"Paper condition",Participants!$E$2:$E$21,"&lt;"&amp;Participants!E13)+0.5*COUNTIFS(Participants!$B$2:$B$21,"Paper condition",Participants!$E$2:$E$21,Participants!E13),"")</f>
        <v/>
      </c>
      <c r="FI63" s="1" t="n">
        <f aca="false">IF(AND(OR(Participants!$B13="Tool condition",Participants!$B13="Paper condition"),ISNUMBER(Participants!E13)),(COUNTIFS(Participants!$B$2:$B$21,"Tool condition",Participants!$E$2:$E$21,Participants!E13)+COUNTIFS(Participants!$B$2:$B$21,"Paper condition",Participants!$E$2:$E$21,Participants!E13))^2-1,"")</f>
        <v>288</v>
      </c>
      <c r="FJ63" s="1" t="str">
        <f aca="false">IF(AND(Participants!$B13="Tool condition",ISNUMBER(Participants!F13)),COUNTIFS(Participants!$B$2:$B$21,"Paper condition",Participants!$F$2:$F$21,"&lt;"&amp;Participants!F13)+0.5*COUNTIFS(Participants!$B$2:$B$21,"Paper condition",Participants!$F$2:$F$21,Participants!F13),"")</f>
        <v/>
      </c>
      <c r="FK63" s="1" t="n">
        <f aca="false">IF(AND(OR(Participants!$B13="Tool condition",Participants!$B13="Paper condition"),ISNUMBER(Participants!F13)),(COUNTIFS(Participants!$B$2:$B$21,"Tool condition",Participants!$F$2:$F$21,Participants!F13)+COUNTIFS(Participants!$B$2:$B$21,"Paper condition",Participants!$F$2:$F$21,Participants!F13))^2-1,"")</f>
        <v>80</v>
      </c>
    </row>
    <row r="64" customFormat="false" ht="14.25" hidden="false" customHeight="true" outlineLevel="0" collapsed="false">
      <c r="FF64" s="1" t="str">
        <f aca="false">IF(AND(Participants!$B14="Tool condition",ISNUMBER(Participants!D14)),COUNTIFS(Participants!$B$2:$B$21,"Paper condition",Participants!$D$2:$D$21,"&lt;"&amp;Participants!D14)+0.5*COUNTIFS(Participants!$B$2:$B$21,"Paper condition",Participants!$D$2:$D$21,Participants!D14),"")</f>
        <v/>
      </c>
      <c r="FG64" s="1" t="n">
        <f aca="false">IF(AND(OR(Participants!$B14="Tool condition",Participants!$B14="Paper condition"),ISNUMBER(Participants!D14)),(COUNTIFS(Participants!$B$2:$B$21,"Tool condition",Participants!$D$2:$D$21,Participants!D14)+COUNTIFS(Participants!$B$2:$B$21,"Paper condition",Participants!$D$2:$D$21,Participants!D14))^2-1,"")</f>
        <v>323</v>
      </c>
      <c r="FH64" s="1" t="str">
        <f aca="false">IF(AND(Participants!$B14="Tool condition",ISNUMBER(Participants!E14)),COUNTIFS(Participants!$B$2:$B$21,"Paper condition",Participants!$E$2:$E$21,"&lt;"&amp;Participants!E14)+0.5*COUNTIFS(Participants!$B$2:$B$21,"Paper condition",Participants!$E$2:$E$21,Participants!E14),"")</f>
        <v/>
      </c>
      <c r="FI64" s="1" t="n">
        <f aca="false">IF(AND(OR(Participants!$B14="Tool condition",Participants!$B14="Paper condition"),ISNUMBER(Participants!E14)),(COUNTIFS(Participants!$B$2:$B$21,"Tool condition",Participants!$E$2:$E$21,Participants!E14)+COUNTIFS(Participants!$B$2:$B$21,"Paper condition",Participants!$E$2:$E$21,Participants!E14))^2-1,"")</f>
        <v>288</v>
      </c>
      <c r="FJ64" s="1" t="str">
        <f aca="false">IF(AND(Participants!$B14="Tool condition",ISNUMBER(Participants!F14)),COUNTIFS(Participants!$B$2:$B$21,"Paper condition",Participants!$F$2:$F$21,"&lt;"&amp;Participants!F14)+0.5*COUNTIFS(Participants!$B$2:$B$21,"Paper condition",Participants!$F$2:$F$21,Participants!F14),"")</f>
        <v/>
      </c>
      <c r="FK64" s="1" t="n">
        <f aca="false">IF(AND(OR(Participants!$B14="Tool condition",Participants!$B14="Paper condition"),ISNUMBER(Participants!F14)),(COUNTIFS(Participants!$B$2:$B$21,"Tool condition",Participants!$F$2:$F$21,Participants!F14)+COUNTIFS(Participants!$B$2:$B$21,"Paper condition",Participants!$F$2:$F$21,Participants!F14))^2-1,"")</f>
        <v>80</v>
      </c>
    </row>
    <row r="65" customFormat="false" ht="14.25" hidden="false" customHeight="true" outlineLevel="0" collapsed="false">
      <c r="FF65" s="1" t="str">
        <f aca="false">IF(AND(Participants!$B15="Tool condition",ISNUMBER(Participants!D15)),COUNTIFS(Participants!$B$2:$B$21,"Paper condition",Participants!$D$2:$D$21,"&lt;"&amp;Participants!D15)+0.5*COUNTIFS(Participants!$B$2:$B$21,"Paper condition",Participants!$D$2:$D$21,Participants!D15),"")</f>
        <v/>
      </c>
      <c r="FG65" s="1" t="n">
        <f aca="false">IF(AND(OR(Participants!$B15="Tool condition",Participants!$B15="Paper condition"),ISNUMBER(Participants!D15)),(COUNTIFS(Participants!$B$2:$B$21,"Tool condition",Participants!$D$2:$D$21,Participants!D15)+COUNTIFS(Participants!$B$2:$B$21,"Paper condition",Participants!$D$2:$D$21,Participants!D15))^2-1,"")</f>
        <v>323</v>
      </c>
      <c r="FH65" s="1" t="str">
        <f aca="false">IF(AND(Participants!$B15="Tool condition",ISNUMBER(Participants!E15)),COUNTIFS(Participants!$B$2:$B$21,"Paper condition",Participants!$E$2:$E$21,"&lt;"&amp;Participants!E15)+0.5*COUNTIFS(Participants!$B$2:$B$21,"Paper condition",Participants!$E$2:$E$21,Participants!E15),"")</f>
        <v/>
      </c>
      <c r="FI65" s="1" t="n">
        <f aca="false">IF(AND(OR(Participants!$B15="Tool condition",Participants!$B15="Paper condition"),ISNUMBER(Participants!E15)),(COUNTIFS(Participants!$B$2:$B$21,"Tool condition",Participants!$E$2:$E$21,Participants!E15)+COUNTIFS(Participants!$B$2:$B$21,"Paper condition",Participants!$E$2:$E$21,Participants!E15))^2-1,"")</f>
        <v>288</v>
      </c>
      <c r="FJ65" s="1" t="str">
        <f aca="false">IF(AND(Participants!$B15="Tool condition",ISNUMBER(Participants!F15)),COUNTIFS(Participants!$B$2:$B$21,"Paper condition",Participants!$F$2:$F$21,"&lt;"&amp;Participants!F15)+0.5*COUNTIFS(Participants!$B$2:$B$21,"Paper condition",Participants!$F$2:$F$21,Participants!F15),"")</f>
        <v/>
      </c>
      <c r="FK65" s="1" t="n">
        <f aca="false">IF(AND(OR(Participants!$B15="Tool condition",Participants!$B15="Paper condition"),ISNUMBER(Participants!F15)),(COUNTIFS(Participants!$B$2:$B$21,"Tool condition",Participants!$F$2:$F$21,Participants!F15)+COUNTIFS(Participants!$B$2:$B$21,"Paper condition",Participants!$F$2:$F$21,Participants!F15))^2-1,"")</f>
        <v>120</v>
      </c>
    </row>
    <row r="66" customFormat="false" ht="14.25" hidden="false" customHeight="true" outlineLevel="0" collapsed="false">
      <c r="FF66" s="1" t="str">
        <f aca="false">IF(AND(Participants!$B16="Tool condition",ISNUMBER(Participants!D16)),COUNTIFS(Participants!$B$2:$B$21,"Paper condition",Participants!$D$2:$D$21,"&lt;"&amp;Participants!D16)+0.5*COUNTIFS(Participants!$B$2:$B$21,"Paper condition",Participants!$D$2:$D$21,Participants!D16),"")</f>
        <v/>
      </c>
      <c r="FG66" s="1" t="n">
        <f aca="false">IF(AND(OR(Participants!$B16="Tool condition",Participants!$B16="Paper condition"),ISNUMBER(Participants!D16)),(COUNTIFS(Participants!$B$2:$B$21,"Tool condition",Participants!$D$2:$D$21,Participants!D16)+COUNTIFS(Participants!$B$2:$B$21,"Paper condition",Participants!$D$2:$D$21,Participants!D16))^2-1,"")</f>
        <v>323</v>
      </c>
      <c r="FH66" s="1" t="str">
        <f aca="false">IF(AND(Participants!$B16="Tool condition",ISNUMBER(Participants!E16)),COUNTIFS(Participants!$B$2:$B$21,"Paper condition",Participants!$E$2:$E$21,"&lt;"&amp;Participants!E16)+0.5*COUNTIFS(Participants!$B$2:$B$21,"Paper condition",Participants!$E$2:$E$21,Participants!E16),"")</f>
        <v/>
      </c>
      <c r="FI66" s="1" t="n">
        <f aca="false">IF(AND(OR(Participants!$B16="Tool condition",Participants!$B16="Paper condition"),ISNUMBER(Participants!E16)),(COUNTIFS(Participants!$B$2:$B$21,"Tool condition",Participants!$E$2:$E$21,Participants!E16)+COUNTIFS(Participants!$B$2:$B$21,"Paper condition",Participants!$E$2:$E$21,Participants!E16))^2-1,"")</f>
        <v>288</v>
      </c>
      <c r="FJ66" s="1" t="str">
        <f aca="false">IF(AND(Participants!$B16="Tool condition",ISNUMBER(Participants!F16)),COUNTIFS(Participants!$B$2:$B$21,"Paper condition",Participants!$F$2:$F$21,"&lt;"&amp;Participants!F16)+0.5*COUNTIFS(Participants!$B$2:$B$21,"Paper condition",Participants!$F$2:$F$21,Participants!F16),"")</f>
        <v/>
      </c>
      <c r="FK66" s="1" t="n">
        <f aca="false">IF(AND(OR(Participants!$B16="Tool condition",Participants!$B16="Paper condition"),ISNUMBER(Participants!F16)),(COUNTIFS(Participants!$B$2:$B$21,"Tool condition",Participants!$F$2:$F$21,Participants!F16)+COUNTIFS(Participants!$B$2:$B$21,"Paper condition",Participants!$F$2:$F$21,Participants!F16))^2-1,"")</f>
        <v>120</v>
      </c>
    </row>
    <row r="67" customFormat="false" ht="14.25" hidden="false" customHeight="true" outlineLevel="0" collapsed="false">
      <c r="FF67" s="1" t="str">
        <f aca="false">IF(AND(Participants!$B17="Tool condition",ISNUMBER(Participants!D17)),COUNTIFS(Participants!$B$2:$B$21,"Paper condition",Participants!$D$2:$D$21,"&lt;"&amp;Participants!D17)+0.5*COUNTIFS(Participants!$B$2:$B$21,"Paper condition",Participants!$D$2:$D$21,Participants!D17),"")</f>
        <v/>
      </c>
      <c r="FG67" s="1" t="n">
        <f aca="false">IF(AND(OR(Participants!$B17="Tool condition",Participants!$B17="Paper condition"),ISNUMBER(Participants!D17)),(COUNTIFS(Participants!$B$2:$B$21,"Tool condition",Participants!$D$2:$D$21,Participants!D17)+COUNTIFS(Participants!$B$2:$B$21,"Paper condition",Participants!$D$2:$D$21,Participants!D17))^2-1,"")</f>
        <v>323</v>
      </c>
      <c r="FH67" s="1" t="str">
        <f aca="false">IF(AND(Participants!$B17="Tool condition",ISNUMBER(Participants!E17)),COUNTIFS(Participants!$B$2:$B$21,"Paper condition",Participants!$E$2:$E$21,"&lt;"&amp;Participants!E17)+0.5*COUNTIFS(Participants!$B$2:$B$21,"Paper condition",Participants!$E$2:$E$21,Participants!E17),"")</f>
        <v/>
      </c>
      <c r="FI67" s="1" t="n">
        <f aca="false">IF(AND(OR(Participants!$B17="Tool condition",Participants!$B17="Paper condition"),ISNUMBER(Participants!E17)),(COUNTIFS(Participants!$B$2:$B$21,"Tool condition",Participants!$E$2:$E$21,Participants!E17)+COUNTIFS(Participants!$B$2:$B$21,"Paper condition",Participants!$E$2:$E$21,Participants!E17))^2-1,"")</f>
        <v>288</v>
      </c>
      <c r="FJ67" s="1" t="str">
        <f aca="false">IF(AND(Participants!$B17="Tool condition",ISNUMBER(Participants!F17)),COUNTIFS(Participants!$B$2:$B$21,"Paper condition",Participants!$F$2:$F$21,"&lt;"&amp;Participants!F17)+0.5*COUNTIFS(Participants!$B$2:$B$21,"Paper condition",Participants!$F$2:$F$21,Participants!F17),"")</f>
        <v/>
      </c>
      <c r="FK67" s="1" t="n">
        <f aca="false">IF(AND(OR(Participants!$B17="Tool condition",Participants!$B17="Paper condition"),ISNUMBER(Participants!F17)),(COUNTIFS(Participants!$B$2:$B$21,"Tool condition",Participants!$F$2:$F$21,Participants!F17)+COUNTIFS(Participants!$B$2:$B$21,"Paper condition",Participants!$F$2:$F$21,Participants!F17))^2-1,"")</f>
        <v>120</v>
      </c>
    </row>
    <row r="68" customFormat="false" ht="14.25" hidden="false" customHeight="true" outlineLevel="0" collapsed="false">
      <c r="FF68" s="1" t="str">
        <f aca="false">IF(AND(Participants!$B18="Tool condition",ISNUMBER(Participants!D18)),COUNTIFS(Participants!$B$2:$B$21,"Paper condition",Participants!$D$2:$D$21,"&lt;"&amp;Participants!D18)+0.5*COUNTIFS(Participants!$B$2:$B$21,"Paper condition",Participants!$D$2:$D$21,Participants!D18),"")</f>
        <v/>
      </c>
      <c r="FG68" s="1" t="n">
        <f aca="false">IF(AND(OR(Participants!$B18="Tool condition",Participants!$B18="Paper condition"),ISNUMBER(Participants!D18)),(COUNTIFS(Participants!$B$2:$B$21,"Tool condition",Participants!$D$2:$D$21,Participants!D18)+COUNTIFS(Participants!$B$2:$B$21,"Paper condition",Participants!$D$2:$D$21,Participants!D18))^2-1,"")</f>
        <v>323</v>
      </c>
      <c r="FH68" s="1" t="str">
        <f aca="false">IF(AND(Participants!$B18="Tool condition",ISNUMBER(Participants!E18)),COUNTIFS(Participants!$B$2:$B$21,"Paper condition",Participants!$E$2:$E$21,"&lt;"&amp;Participants!E18)+0.5*COUNTIFS(Participants!$B$2:$B$21,"Paper condition",Participants!$E$2:$E$21,Participants!E18),"")</f>
        <v/>
      </c>
      <c r="FI68" s="1" t="n">
        <f aca="false">IF(AND(OR(Participants!$B18="Tool condition",Participants!$B18="Paper condition"),ISNUMBER(Participants!E18)),(COUNTIFS(Participants!$B$2:$B$21,"Tool condition",Participants!$E$2:$E$21,Participants!E18)+COUNTIFS(Participants!$B$2:$B$21,"Paper condition",Participants!$E$2:$E$21,Participants!E18))^2-1,"")</f>
        <v>288</v>
      </c>
      <c r="FJ68" s="1" t="str">
        <f aca="false">IF(AND(Participants!$B18="Tool condition",ISNUMBER(Participants!F18)),COUNTIFS(Participants!$B$2:$B$21,"Paper condition",Participants!$F$2:$F$21,"&lt;"&amp;Participants!F18)+0.5*COUNTIFS(Participants!$B$2:$B$21,"Paper condition",Participants!$F$2:$F$21,Participants!F18),"")</f>
        <v/>
      </c>
      <c r="FK68" s="1" t="n">
        <f aca="false">IF(AND(OR(Participants!$B18="Tool condition",Participants!$B18="Paper condition"),ISNUMBER(Participants!F18)),(COUNTIFS(Participants!$B$2:$B$21,"Tool condition",Participants!$F$2:$F$21,Participants!F18)+COUNTIFS(Participants!$B$2:$B$21,"Paper condition",Participants!$F$2:$F$21,Participants!F18))^2-1,"")</f>
        <v>120</v>
      </c>
    </row>
    <row r="69" customFormat="false" ht="14.25" hidden="false" customHeight="true" outlineLevel="0" collapsed="false">
      <c r="FF69" s="1" t="str">
        <f aca="false">IF(AND(Participants!$B19="Tool condition",ISNUMBER(Participants!D19)),COUNTIFS(Participants!$B$2:$B$21,"Paper condition",Participants!$D$2:$D$21,"&lt;"&amp;Participants!D19)+0.5*COUNTIFS(Participants!$B$2:$B$21,"Paper condition",Participants!$D$2:$D$21,Participants!D19),"")</f>
        <v/>
      </c>
      <c r="FG69" s="1" t="n">
        <f aca="false">IF(AND(OR(Participants!$B19="Tool condition",Participants!$B19="Paper condition"),ISNUMBER(Participants!D19)),(COUNTIFS(Participants!$B$2:$B$21,"Tool condition",Participants!$D$2:$D$21,Participants!D19)+COUNTIFS(Participants!$B$2:$B$21,"Paper condition",Participants!$D$2:$D$21,Participants!D19))^2-1,"")</f>
        <v>323</v>
      </c>
      <c r="FH69" s="1" t="str">
        <f aca="false">IF(AND(Participants!$B19="Tool condition",ISNUMBER(Participants!E19)),COUNTIFS(Participants!$B$2:$B$21,"Paper condition",Participants!$E$2:$E$21,"&lt;"&amp;Participants!E19)+0.5*COUNTIFS(Participants!$B$2:$B$21,"Paper condition",Participants!$E$2:$E$21,Participants!E19),"")</f>
        <v/>
      </c>
      <c r="FI69" s="1" t="n">
        <f aca="false">IF(AND(OR(Participants!$B19="Tool condition",Participants!$B19="Paper condition"),ISNUMBER(Participants!E19)),(COUNTIFS(Participants!$B$2:$B$21,"Tool condition",Participants!$E$2:$E$21,Participants!E19)+COUNTIFS(Participants!$B$2:$B$21,"Paper condition",Participants!$E$2:$E$21,Participants!E19))^2-1,"")</f>
        <v>288</v>
      </c>
      <c r="FJ69" s="1" t="str">
        <f aca="false">IF(AND(Participants!$B19="Tool condition",ISNUMBER(Participants!F19)),COUNTIFS(Participants!$B$2:$B$21,"Paper condition",Participants!$F$2:$F$21,"&lt;"&amp;Participants!F19)+0.5*COUNTIFS(Participants!$B$2:$B$21,"Paper condition",Participants!$F$2:$F$21,Participants!F19),"")</f>
        <v/>
      </c>
      <c r="FK69" s="1" t="n">
        <f aca="false">IF(AND(OR(Participants!$B19="Tool condition",Participants!$B19="Paper condition"),ISNUMBER(Participants!F19)),(COUNTIFS(Participants!$B$2:$B$21,"Tool condition",Participants!$F$2:$F$21,Participants!F19)+COUNTIFS(Participants!$B$2:$B$21,"Paper condition",Participants!$F$2:$F$21,Participants!F19))^2-1,"")</f>
        <v>80</v>
      </c>
    </row>
    <row r="70" customFormat="false" ht="14.25" hidden="false" customHeight="true" outlineLevel="0" collapsed="false">
      <c r="FF70" s="1" t="str">
        <f aca="false">IF(AND(Participants!$B20="Tool condition",ISNUMBER(Participants!D20)),COUNTIFS(Participants!$B$2:$B$21,"Paper condition",Participants!$D$2:$D$21,"&lt;"&amp;Participants!D20)+0.5*COUNTIFS(Participants!$B$2:$B$21,"Paper condition",Participants!$D$2:$D$21,Participants!D20),"")</f>
        <v/>
      </c>
      <c r="FG70" s="1" t="n">
        <f aca="false">IF(AND(OR(Participants!$B20="Tool condition",Participants!$B20="Paper condition"),ISNUMBER(Participants!D20)),(COUNTIFS(Participants!$B$2:$B$21,"Tool condition",Participants!$D$2:$D$21,Participants!D20)+COUNTIFS(Participants!$B$2:$B$21,"Paper condition",Participants!$D$2:$D$21,Participants!D20))^2-1,"")</f>
        <v>323</v>
      </c>
      <c r="FH70" s="1" t="str">
        <f aca="false">IF(AND(Participants!$B20="Tool condition",ISNUMBER(Participants!E20)),COUNTIFS(Participants!$B$2:$B$21,"Paper condition",Participants!$E$2:$E$21,"&lt;"&amp;Participants!E20)+0.5*COUNTIFS(Participants!$B$2:$B$21,"Paper condition",Participants!$E$2:$E$21,Participants!E20),"")</f>
        <v/>
      </c>
      <c r="FI70" s="1" t="n">
        <f aca="false">IF(AND(OR(Participants!$B20="Tool condition",Participants!$B20="Paper condition"),ISNUMBER(Participants!E20)),(COUNTIFS(Participants!$B$2:$B$21,"Tool condition",Participants!$E$2:$E$21,Participants!E20)+COUNTIFS(Participants!$B$2:$B$21,"Paper condition",Participants!$E$2:$E$21,Participants!E20))^2-1,"")</f>
        <v>288</v>
      </c>
      <c r="FJ70" s="1" t="str">
        <f aca="false">IF(AND(Participants!$B20="Tool condition",ISNUMBER(Participants!F20)),COUNTIFS(Participants!$B$2:$B$21,"Paper condition",Participants!$F$2:$F$21,"&lt;"&amp;Participants!F20)+0.5*COUNTIFS(Participants!$B$2:$B$21,"Paper condition",Participants!$F$2:$F$21,Participants!F20),"")</f>
        <v/>
      </c>
      <c r="FK70" s="1" t="n">
        <f aca="false">IF(AND(OR(Participants!$B20="Tool condition",Participants!$B20="Paper condition"),ISNUMBER(Participants!F20)),(COUNTIFS(Participants!$B$2:$B$21,"Tool condition",Participants!$F$2:$F$21,Participants!F20)+COUNTIFS(Participants!$B$2:$B$21,"Paper condition",Participants!$F$2:$F$21,Participants!F20))^2-1,"")</f>
        <v>80</v>
      </c>
    </row>
    <row r="71" customFormat="false" ht="14.25" hidden="false" customHeight="true" outlineLevel="0" collapsed="false">
      <c r="FF71" s="1" t="str">
        <f aca="false">IF(AND(Participants!$B21="Tool condition",ISNUMBER(Participants!D21)),COUNTIFS(Participants!$B$2:$B$21,"Paper condition",Participants!$D$2:$D$21,"&lt;"&amp;Participants!D21)+0.5*COUNTIFS(Participants!$B$2:$B$21,"Paper condition",Participants!$D$2:$D$21,Participants!D21),"")</f>
        <v/>
      </c>
      <c r="FG71" s="1" t="n">
        <f aca="false">IF(AND(OR(Participants!$B21="Tool condition",Participants!$B21="Paper condition"),ISNUMBER(Participants!D21)),(COUNTIFS(Participants!$B$2:$B$21,"Tool condition",Participants!$D$2:$D$21,Participants!D21)+COUNTIFS(Participants!$B$2:$B$21,"Paper condition",Participants!$D$2:$D$21,Participants!D21))^2-1,"")</f>
        <v>323</v>
      </c>
      <c r="FH71" s="1" t="str">
        <f aca="false">IF(AND(Participants!$B21="Tool condition",ISNUMBER(Participants!E21)),COUNTIFS(Participants!$B$2:$B$21,"Paper condition",Participants!$E$2:$E$21,"&lt;"&amp;Participants!E21)+0.5*COUNTIFS(Participants!$B$2:$B$21,"Paper condition",Participants!$E$2:$E$21,Participants!E21),"")</f>
        <v/>
      </c>
      <c r="FI71" s="1" t="n">
        <f aca="false">IF(AND(OR(Participants!$B21="Tool condition",Participants!$B21="Paper condition"),ISNUMBER(Participants!E21)),(COUNTIFS(Participants!$B$2:$B$21,"Tool condition",Participants!$E$2:$E$21,Participants!E21)+COUNTIFS(Participants!$B$2:$B$21,"Paper condition",Participants!$E$2:$E$21,Participants!E21))^2-1,"")</f>
        <v>8</v>
      </c>
      <c r="FJ71" s="1" t="str">
        <f aca="false">IF(AND(Participants!$B21="Tool condition",ISNUMBER(Participants!F21)),COUNTIFS(Participants!$B$2:$B$21,"Paper condition",Participants!$F$2:$F$21,"&lt;"&amp;Participants!F21)+0.5*COUNTIFS(Participants!$B$2:$B$21,"Paper condition",Participants!$F$2:$F$21,Participants!F21),"")</f>
        <v/>
      </c>
      <c r="FK71" s="1" t="n">
        <f aca="false">IF(AND(OR(Participants!$B21="Tool condition",Participants!$B21="Paper condition"),ISNUMBER(Participants!F21)),(COUNTIFS(Participants!$B$2:$B$21,"Tool condition",Participants!$F$2:$F$21,Participants!F21)+COUNTIFS(Participants!$B$2:$B$21,"Paper condition",Participants!$F$2:$F$21,Participants!F21))^2-1,"")</f>
        <v>120</v>
      </c>
    </row>
    <row r="99" customFormat="false" ht="14.25" hidden="false" customHeight="true" outlineLevel="0" collapsed="false">
      <c r="B99" s="4" t="s">
        <v>324</v>
      </c>
      <c r="F99" s="4" t="s">
        <v>325</v>
      </c>
      <c r="J99" s="4" t="s">
        <v>326</v>
      </c>
      <c r="N99" s="4" t="s">
        <v>327</v>
      </c>
    </row>
    <row r="100" customFormat="false" ht="14.25" hidden="false" customHeight="true" outlineLevel="0" collapsed="false">
      <c r="B100" s="1" t="n">
        <f aca="false">IFERROR(SMALL(Analysis!$M$7:$M$18,1),"")</f>
        <v>0.00182638205191377</v>
      </c>
      <c r="C100" s="1" t="n">
        <f aca="false">IF(B100="","",MIN(1,(COUNT(Analysis!$M$7:$M$18)-1+1)*B100))</f>
        <v>0.0219165846229652</v>
      </c>
      <c r="D100" s="1" t="n">
        <f aca="false">IF(C100="","",MAX($C$100:C100))</f>
        <v>0.0219165846229652</v>
      </c>
      <c r="F100" s="1" t="n">
        <f aca="false">IFERROR(SMALL(Analysis!$Q$7:$Q$18,1),"")</f>
        <v>0.0733115879579402</v>
      </c>
      <c r="G100" s="1" t="n">
        <f aca="false">IF(F100="","",MIN(1,(COUNT(Analysis!$Q$7:$Q$18)-1+1)*F100))</f>
        <v>0.879739055495283</v>
      </c>
      <c r="H100" s="1" t="n">
        <f aca="false">IF(G100="","",MAX($G$100:G100))</f>
        <v>0.879739055495283</v>
      </c>
      <c r="J100" s="1" t="n">
        <f aca="false">IFERROR(SMALL(Analysis!$I$48:$I$59,1),"")</f>
        <v>0.0318235023049418</v>
      </c>
      <c r="K100" s="1" t="n">
        <f aca="false">IF(J100="","",MIN(1,(COUNT(Analysis!$I$48:$I$59)-1+1)*J100))</f>
        <v>0.222764516134593</v>
      </c>
      <c r="L100" s="1" t="n">
        <f aca="false">IF(K100="","",MAX($K$100:K100))</f>
        <v>0.222764516134593</v>
      </c>
      <c r="N100" s="1" t="n">
        <f aca="false">IFERROR(SMALL(Analysis!$M$48:$M$59,1),"")</f>
        <v>0.0251565566111365</v>
      </c>
      <c r="O100" s="1" t="n">
        <f aca="false">IF(N100="","",MIN(1,(COUNT(Analysis!$M$48:$M$59)-1+1)*N100))</f>
        <v>0.176095896277955</v>
      </c>
      <c r="P100" s="1" t="n">
        <f aca="false">IF(O100="","",MAX($O$100:O100))</f>
        <v>0.176095896277955</v>
      </c>
    </row>
    <row r="101" customFormat="false" ht="14.25" hidden="false" customHeight="true" outlineLevel="0" collapsed="false">
      <c r="B101" s="1" t="n">
        <f aca="false">IFERROR(SMALL(Analysis!$M$7:$M$18,2),"")</f>
        <v>0.00541439022526191</v>
      </c>
      <c r="C101" s="1" t="n">
        <f aca="false">IF(B101="","",MIN(1,(COUNT(Analysis!$M$7:$M$18)-2+1)*B101))</f>
        <v>0.059558292477881</v>
      </c>
      <c r="D101" s="1" t="n">
        <f aca="false">IF(C101="","",MAX($C$100:C101))</f>
        <v>0.059558292477881</v>
      </c>
      <c r="F101" s="1" t="n">
        <f aca="false">IFERROR(SMALL(Analysis!$Q$7:$Q$18,2),"")</f>
        <v>0.120683661306117</v>
      </c>
      <c r="G101" s="1" t="n">
        <f aca="false">IF(F101="","",MIN(1,(COUNT(Analysis!$Q$7:$Q$18)-2+1)*F101))</f>
        <v>1</v>
      </c>
      <c r="H101" s="1" t="n">
        <f aca="false">IF(G101="","",MAX($G$100:G101))</f>
        <v>1</v>
      </c>
      <c r="J101" s="1" t="n">
        <f aca="false">IFERROR(SMALL(Analysis!$I$48:$I$59,2),"")</f>
        <v>0.0827363389510261</v>
      </c>
      <c r="K101" s="1" t="n">
        <f aca="false">IF(J101="","",MIN(1,(COUNT(Analysis!$I$48:$I$59)-2+1)*J101))</f>
        <v>0.496418033706156</v>
      </c>
      <c r="L101" s="1" t="n">
        <f aca="false">IF(K101="","",MAX($K$100:K101))</f>
        <v>0.496418033706156</v>
      </c>
      <c r="N101" s="1" t="n">
        <f aca="false">IFERROR(SMALL(Analysis!$M$48:$M$59,2),"")</f>
        <v>0.0827363389510261</v>
      </c>
      <c r="O101" s="1" t="n">
        <f aca="false">IF(N101="","",MIN(1,(COUNT(Analysis!$M$48:$M$59)-2+1)*N101))</f>
        <v>0.496418033706156</v>
      </c>
      <c r="P101" s="1" t="n">
        <f aca="false">IF(O101="","",MAX($O$100:O101))</f>
        <v>0.496418033706156</v>
      </c>
    </row>
    <row r="102" customFormat="false" ht="14.25" hidden="false" customHeight="true" outlineLevel="0" collapsed="false">
      <c r="B102" s="1" t="n">
        <f aca="false">IFERROR(SMALL(Analysis!$M$7:$M$18,3),"")</f>
        <v>0.00566159177484504</v>
      </c>
      <c r="C102" s="1" t="n">
        <f aca="false">IF(B102="","",MIN(1,(COUNT(Analysis!$M$7:$M$18)-3+1)*B102))</f>
        <v>0.0566159177484504</v>
      </c>
      <c r="D102" s="1" t="n">
        <f aca="false">IF(C102="","",MAX($C$100:C102))</f>
        <v>0.059558292477881</v>
      </c>
      <c r="F102" s="1" t="n">
        <f aca="false">IFERROR(SMALL(Analysis!$Q$7:$Q$18,3),"")</f>
        <v>0.16849346784241</v>
      </c>
      <c r="G102" s="1" t="n">
        <f aca="false">IF(F102="","",MIN(1,(COUNT(Analysis!$Q$7:$Q$18)-3+1)*F102))</f>
        <v>1</v>
      </c>
      <c r="H102" s="1" t="n">
        <f aca="false">IF(G102="","",MAX($G$100:G102))</f>
        <v>1</v>
      </c>
      <c r="J102" s="1" t="n">
        <f aca="false">IFERROR(SMALL(Analysis!$I$48:$I$59,3),"")</f>
        <v>0.144390508921129</v>
      </c>
      <c r="K102" s="1" t="n">
        <f aca="false">IF(J102="","",MIN(1,(COUNT(Analysis!$I$48:$I$59)-3+1)*J102))</f>
        <v>0.721952544605646</v>
      </c>
      <c r="L102" s="1" t="n">
        <f aca="false">IF(K102="","",MAX($K$100:K102))</f>
        <v>0.721952544605646</v>
      </c>
      <c r="N102" s="1" t="n">
        <f aca="false">IFERROR(SMALL(Analysis!$M$48:$M$59,3),"")</f>
        <v>0.366191498368196</v>
      </c>
      <c r="O102" s="1" t="n">
        <f aca="false">IF(N102="","",MIN(1,(COUNT(Analysis!$M$48:$M$59)-3+1)*N102))</f>
        <v>1</v>
      </c>
      <c r="P102" s="1" t="n">
        <f aca="false">IF(O102="","",MAX($O$100:O102))</f>
        <v>1</v>
      </c>
    </row>
    <row r="103" customFormat="false" ht="14.25" hidden="false" customHeight="true" outlineLevel="0" collapsed="false">
      <c r="B103" s="1" t="n">
        <f aca="false">IFERROR(SMALL(Analysis!$M$7:$M$18,4),"")</f>
        <v>0.00566159177484504</v>
      </c>
      <c r="C103" s="1" t="n">
        <f aca="false">IF(B103="","",MIN(1,(COUNT(Analysis!$M$7:$M$18)-4+1)*B103))</f>
        <v>0.0509543259736054</v>
      </c>
      <c r="D103" s="1" t="n">
        <f aca="false">IF(C103="","",MAX($C$100:C103))</f>
        <v>0.059558292477881</v>
      </c>
      <c r="F103" s="1" t="n">
        <f aca="false">IFERROR(SMALL(Analysis!$Q$7:$Q$18,4),"")</f>
        <v>0.203924774586119</v>
      </c>
      <c r="G103" s="1" t="n">
        <f aca="false">IF(F103="","",MIN(1,(COUNT(Analysis!$Q$7:$Q$18)-4+1)*F103))</f>
        <v>1</v>
      </c>
      <c r="H103" s="1" t="n">
        <f aca="false">IF(G103="","",MAX($G$100:G103))</f>
        <v>1</v>
      </c>
      <c r="J103" s="1" t="n">
        <f aca="false">IFERROR(SMALL(Analysis!$I$48:$I$59,4),"")</f>
        <v>0.144390508921129</v>
      </c>
      <c r="K103" s="1" t="n">
        <f aca="false">IF(J103="","",MIN(1,(COUNT(Analysis!$I$48:$I$59)-4+1)*J103))</f>
        <v>0.577562035684517</v>
      </c>
      <c r="L103" s="1" t="n">
        <f aca="false">IF(K103="","",MAX($K$100:K103))</f>
        <v>0.721952544605646</v>
      </c>
      <c r="N103" s="1" t="n">
        <f aca="false">IFERROR(SMALL(Analysis!$M$48:$M$59,4),"")</f>
        <v>0.650555894706316</v>
      </c>
      <c r="O103" s="1" t="n">
        <f aca="false">IF(N103="","",MIN(1,(COUNT(Analysis!$M$48:$M$59)-4+1)*N103))</f>
        <v>1</v>
      </c>
      <c r="P103" s="1" t="n">
        <f aca="false">IF(O103="","",MAX($O$100:O103))</f>
        <v>1</v>
      </c>
    </row>
    <row r="104" customFormat="false" ht="14.25" hidden="false" customHeight="true" outlineLevel="0" collapsed="false">
      <c r="B104" s="1" t="n">
        <f aca="false">IFERROR(SMALL(Analysis!$M$7:$M$18,5),"")</f>
        <v>0.0142856214705429</v>
      </c>
      <c r="C104" s="1" t="n">
        <f aca="false">IF(B104="","",MIN(1,(COUNT(Analysis!$M$7:$M$18)-5+1)*B104))</f>
        <v>0.114284971764343</v>
      </c>
      <c r="D104" s="1" t="n">
        <f aca="false">IF(C104="","",MAX($C$100:C104))</f>
        <v>0.114284971764343</v>
      </c>
      <c r="F104" s="1" t="n">
        <f aca="false">IFERROR(SMALL(Analysis!$Q$7:$Q$18,5),"")</f>
        <v>0.366191498368196</v>
      </c>
      <c r="G104" s="1" t="n">
        <f aca="false">IF(F104="","",MIN(1,(COUNT(Analysis!$Q$7:$Q$18)-5+1)*F104))</f>
        <v>1</v>
      </c>
      <c r="H104" s="1" t="n">
        <f aca="false">IF(G104="","",MAX($G$100:G104))</f>
        <v>1</v>
      </c>
      <c r="J104" s="1" t="n">
        <f aca="false">IFERROR(SMALL(Analysis!$I$48:$I$59,5),"")</f>
        <v>0.185132473355937</v>
      </c>
      <c r="K104" s="1" t="n">
        <f aca="false">IF(J104="","",MIN(1,(COUNT(Analysis!$I$48:$I$59)-5+1)*J104))</f>
        <v>0.55539742006781</v>
      </c>
      <c r="L104" s="1" t="n">
        <f aca="false">IF(K104="","",MAX($K$100:K104))</f>
        <v>0.721952544605646</v>
      </c>
      <c r="N104" s="1" t="n">
        <f aca="false">IFERROR(SMALL(Analysis!$M$48:$M$59,5),"")</f>
        <v>0.68089429484237</v>
      </c>
      <c r="O104" s="1" t="n">
        <f aca="false">IF(N104="","",MIN(1,(COUNT(Analysis!$M$48:$M$59)-5+1)*N104))</f>
        <v>1</v>
      </c>
      <c r="P104" s="1" t="n">
        <f aca="false">IF(O104="","",MAX($O$100:O104))</f>
        <v>1</v>
      </c>
    </row>
    <row r="105" customFormat="false" ht="14.25" hidden="false" customHeight="true" outlineLevel="0" collapsed="false">
      <c r="B105" s="1" t="n">
        <f aca="false">IFERROR(SMALL(Analysis!$M$7:$M$18,6),"")</f>
        <v>0.0142856214705429</v>
      </c>
      <c r="C105" s="1" t="n">
        <f aca="false">IF(B105="","",MIN(1,(COUNT(Analysis!$M$7:$M$18)-6+1)*B105))</f>
        <v>0.0999993502938004</v>
      </c>
      <c r="D105" s="1" t="n">
        <f aca="false">IF(C105="","",MAX($C$100:C105))</f>
        <v>0.114284971764343</v>
      </c>
      <c r="F105" s="1" t="n">
        <f aca="false">IFERROR(SMALL(Analysis!$Q$7:$Q$18,6),"")</f>
        <v>0.397960835435706</v>
      </c>
      <c r="G105" s="1" t="n">
        <f aca="false">IF(F105="","",MIN(1,(COUNT(Analysis!$Q$7:$Q$18)-6+1)*F105))</f>
        <v>1</v>
      </c>
      <c r="H105" s="1" t="n">
        <f aca="false">IF(G105="","",MAX($G$100:G105))</f>
        <v>1</v>
      </c>
      <c r="J105" s="1" t="n">
        <f aca="false">IFERROR(SMALL(Analysis!$I$48:$I$59,6),"")</f>
        <v>0.185132473355937</v>
      </c>
      <c r="K105" s="1" t="n">
        <f aca="false">IF(J105="","",MIN(1,(COUNT(Analysis!$I$48:$I$59)-6+1)*J105))</f>
        <v>0.370264946711873</v>
      </c>
      <c r="L105" s="1" t="n">
        <f aca="false">IF(K105="","",MAX($K$100:K105))</f>
        <v>0.721952544605646</v>
      </c>
      <c r="N105" s="1" t="n">
        <f aca="false">IFERROR(SMALL(Analysis!$M$48:$M$59,6),"")</f>
        <v>1</v>
      </c>
      <c r="O105" s="1" t="n">
        <f aca="false">IF(N105="","",MIN(1,(COUNT(Analysis!$M$48:$M$59)-6+1)*N105))</f>
        <v>1</v>
      </c>
      <c r="P105" s="1" t="n">
        <f aca="false">IF(O105="","",MAX($O$100:O105))</f>
        <v>1</v>
      </c>
    </row>
    <row r="106" customFormat="false" ht="14.25" hidden="false" customHeight="true" outlineLevel="0" collapsed="false">
      <c r="B106" s="1" t="n">
        <f aca="false">IFERROR(SMALL(Analysis!$M$7:$M$18,7),"")</f>
        <v>0.0335896807627769</v>
      </c>
      <c r="C106" s="1" t="n">
        <f aca="false">IF(B106="","",MIN(1,(COUNT(Analysis!$M$7:$M$18)-7+1)*B106))</f>
        <v>0.201538084576661</v>
      </c>
      <c r="D106" s="1" t="n">
        <f aca="false">IF(C106="","",MAX($C$100:C106))</f>
        <v>0.201538084576661</v>
      </c>
      <c r="F106" s="1" t="n">
        <f aca="false">IFERROR(SMALL(Analysis!$Q$7:$Q$18,7),"")</f>
        <v>0.397960835435706</v>
      </c>
      <c r="G106" s="1" t="n">
        <f aca="false">IF(F106="","",MIN(1,(COUNT(Analysis!$Q$7:$Q$18)-7+1)*F106))</f>
        <v>1</v>
      </c>
      <c r="H106" s="1" t="n">
        <f aca="false">IF(G106="","",MAX($G$100:G106))</f>
        <v>1</v>
      </c>
      <c r="J106" s="1" t="n">
        <f aca="false">IFERROR(SMALL(Analysis!$I$48:$I$59,7),"")</f>
        <v>0.366191498368196</v>
      </c>
      <c r="K106" s="1" t="n">
        <f aca="false">IF(J106="","",MIN(1,(COUNT(Analysis!$I$48:$I$59)-7+1)*J106))</f>
        <v>0.366191498368196</v>
      </c>
      <c r="L106" s="1" t="n">
        <f aca="false">IF(K106="","",MAX($K$100:K106))</f>
        <v>0.721952544605646</v>
      </c>
      <c r="N106" s="1" t="n">
        <f aca="false">IFERROR(SMALL(Analysis!$M$48:$M$59,7),"")</f>
        <v>1</v>
      </c>
      <c r="O106" s="1" t="n">
        <f aca="false">IF(N106="","",MIN(1,(COUNT(Analysis!$M$48:$M$59)-7+1)*N106))</f>
        <v>1</v>
      </c>
      <c r="P106" s="1" t="n">
        <f aca="false">IF(O106="","",MAX($O$100:O106))</f>
        <v>1</v>
      </c>
    </row>
    <row r="107" customFormat="false" ht="14.25" hidden="false" customHeight="true" outlineLevel="0" collapsed="false">
      <c r="B107" s="1" t="n">
        <f aca="false">IFERROR(SMALL(Analysis!$M$7:$M$18,8),"")</f>
        <v>0.0335896807627769</v>
      </c>
      <c r="C107" s="1" t="n">
        <f aca="false">IF(B107="","",MIN(1,(COUNT(Analysis!$M$7:$M$18)-8+1)*B107))</f>
        <v>0.167948403813885</v>
      </c>
      <c r="D107" s="1" t="n">
        <f aca="false">IF(C107="","",MAX($C$100:C107))</f>
        <v>0.201538084576661</v>
      </c>
      <c r="F107" s="1" t="n">
        <f aca="false">IFERROR(SMALL(Analysis!$Q$7:$Q$18,8),"")</f>
        <v>0.407562453620744</v>
      </c>
      <c r="G107" s="1" t="n">
        <f aca="false">IF(F107="","",MIN(1,(COUNT(Analysis!$Q$7:$Q$18)-8+1)*F107))</f>
        <v>1</v>
      </c>
      <c r="H107" s="1" t="n">
        <f aca="false">IF(G107="","",MAX($G$100:G107))</f>
        <v>1</v>
      </c>
      <c r="J107" s="1" t="str">
        <f aca="false">IFERROR(SMALL(Analysis!$I$48:$I$59,8),"")</f>
        <v/>
      </c>
      <c r="K107" s="1" t="str">
        <f aca="false">IF(J107="","",MIN(1,(COUNT(Analysis!$I$48:$I$59)-8+1)*J107))</f>
        <v/>
      </c>
      <c r="L107" s="1" t="str">
        <f aca="false">IF(K107="","",MAX($K$100:K107))</f>
        <v/>
      </c>
      <c r="N107" s="1" t="str">
        <f aca="false">IFERROR(SMALL(Analysis!$M$48:$M$59,8),"")</f>
        <v/>
      </c>
      <c r="O107" s="1" t="str">
        <f aca="false">IF(N107="","",MIN(1,(COUNT(Analysis!$M$48:$M$59)-8+1)*N107))</f>
        <v/>
      </c>
      <c r="P107" s="1" t="str">
        <f aca="false">IF(O107="","",MAX($O$100:O107))</f>
        <v/>
      </c>
    </row>
    <row r="108" customFormat="false" ht="14.25" hidden="false" customHeight="true" outlineLevel="0" collapsed="false">
      <c r="B108" s="1" t="n">
        <f aca="false">IFERROR(SMALL(Analysis!$M$7:$M$18,9),"")</f>
        <v>0.0344238143253888</v>
      </c>
      <c r="C108" s="1" t="n">
        <f aca="false">IF(B108="","",MIN(1,(COUNT(Analysis!$M$7:$M$18)-9+1)*B108))</f>
        <v>0.137695257301555</v>
      </c>
      <c r="D108" s="1" t="n">
        <f aca="false">IF(C108="","",MAX($C$100:C108))</f>
        <v>0.201538084576661</v>
      </c>
      <c r="F108" s="1" t="n">
        <f aca="false">IFERROR(SMALL(Analysis!$Q$7:$Q$18,9),"")</f>
        <v>0.693376361757653</v>
      </c>
      <c r="G108" s="1" t="n">
        <f aca="false">IF(F108="","",MIN(1,(COUNT(Analysis!$Q$7:$Q$18)-9+1)*F108))</f>
        <v>1</v>
      </c>
      <c r="H108" s="1" t="n">
        <f aca="false">IF(G108="","",MAX($G$100:G108))</f>
        <v>1</v>
      </c>
      <c r="J108" s="1" t="str">
        <f aca="false">IFERROR(SMALL(Analysis!$I$48:$I$59,9),"")</f>
        <v/>
      </c>
      <c r="K108" s="1" t="str">
        <f aca="false">IF(J108="","",MIN(1,(COUNT(Analysis!$I$48:$I$59)-9+1)*J108))</f>
        <v/>
      </c>
      <c r="L108" s="1" t="str">
        <f aca="false">IF(K108="","",MAX($K$100:K108))</f>
        <v/>
      </c>
      <c r="N108" s="1" t="str">
        <f aca="false">IFERROR(SMALL(Analysis!$M$48:$M$59,9),"")</f>
        <v/>
      </c>
      <c r="O108" s="1" t="str">
        <f aca="false">IF(N108="","",MIN(1,(COUNT(Analysis!$M$48:$M$59)-9+1)*N108))</f>
        <v/>
      </c>
      <c r="P108" s="1" t="str">
        <f aca="false">IF(O108="","",MAX($O$100:O108))</f>
        <v/>
      </c>
    </row>
    <row r="109" customFormat="false" ht="14.25" hidden="false" customHeight="true" outlineLevel="0" collapsed="false">
      <c r="B109" s="1" t="n">
        <f aca="false">IFERROR(SMALL(Analysis!$M$7:$M$18,10),"")</f>
        <v>0.076715976787606</v>
      </c>
      <c r="C109" s="1" t="n">
        <f aca="false">IF(B109="","",MIN(1,(COUNT(Analysis!$M$7:$M$18)-10+1)*B109))</f>
        <v>0.230147930362818</v>
      </c>
      <c r="D109" s="1" t="n">
        <f aca="false">IF(C109="","",MAX($C$100:C109))</f>
        <v>0.230147930362818</v>
      </c>
      <c r="F109" s="1" t="n">
        <f aca="false">IFERROR(SMALL(Analysis!$Q$7:$Q$18,10),"")</f>
        <v>0.807731796287729</v>
      </c>
      <c r="G109" s="1" t="n">
        <f aca="false">IF(F109="","",MIN(1,(COUNT(Analysis!$Q$7:$Q$18)-10+1)*F109))</f>
        <v>1</v>
      </c>
      <c r="H109" s="1" t="n">
        <f aca="false">IF(G109="","",MAX($G$100:G109))</f>
        <v>1</v>
      </c>
      <c r="J109" s="1" t="str">
        <f aca="false">IFERROR(SMALL(Analysis!$I$48:$I$59,10),"")</f>
        <v/>
      </c>
      <c r="K109" s="1" t="str">
        <f aca="false">IF(J109="","",MIN(1,(COUNT(Analysis!$I$48:$I$59)-10+1)*J109))</f>
        <v/>
      </c>
      <c r="L109" s="1" t="str">
        <f aca="false">IF(K109="","",MAX($K$100:K109))</f>
        <v/>
      </c>
      <c r="N109" s="1" t="str">
        <f aca="false">IFERROR(SMALL(Analysis!$M$48:$M$59,10),"")</f>
        <v/>
      </c>
      <c r="O109" s="1" t="str">
        <f aca="false">IF(N109="","",MIN(1,(COUNT(Analysis!$M$48:$M$59)-10+1)*N109))</f>
        <v/>
      </c>
      <c r="P109" s="1" t="str">
        <f aca="false">IF(O109="","",MAX($O$100:O109))</f>
        <v/>
      </c>
    </row>
    <row r="110" customFormat="false" ht="14.25" hidden="false" customHeight="true" outlineLevel="0" collapsed="false">
      <c r="B110" s="1" t="n">
        <f aca="false">IFERROR(SMALL(Analysis!$M$7:$M$18,11),"")</f>
        <v>0.076715976787606</v>
      </c>
      <c r="C110" s="1" t="n">
        <f aca="false">IF(B110="","",MIN(1,(COUNT(Analysis!$M$7:$M$18)-11+1)*B110))</f>
        <v>0.153431953575212</v>
      </c>
      <c r="D110" s="1" t="n">
        <f aca="false">IF(C110="","",MAX($C$100:C110))</f>
        <v>0.230147930362818</v>
      </c>
      <c r="F110" s="1" t="n">
        <f aca="false">IFERROR(SMALL(Analysis!$Q$7:$Q$18,11),"")</f>
        <v>0.836982301710675</v>
      </c>
      <c r="G110" s="1" t="n">
        <f aca="false">IF(F110="","",MIN(1,(COUNT(Analysis!$Q$7:$Q$18)-11+1)*F110))</f>
        <v>1</v>
      </c>
      <c r="H110" s="1" t="n">
        <f aca="false">IF(G110="","",MAX($G$100:G110))</f>
        <v>1</v>
      </c>
      <c r="J110" s="1" t="str">
        <f aca="false">IFERROR(SMALL(Analysis!$I$48:$I$59,11),"")</f>
        <v/>
      </c>
      <c r="K110" s="1" t="str">
        <f aca="false">IF(J110="","",MIN(1,(COUNT(Analysis!$I$48:$I$59)-11+1)*J110))</f>
        <v/>
      </c>
      <c r="L110" s="1" t="str">
        <f aca="false">IF(K110="","",MAX($K$100:K110))</f>
        <v/>
      </c>
      <c r="N110" s="1" t="str">
        <f aca="false">IFERROR(SMALL(Analysis!$M$48:$M$59,11),"")</f>
        <v/>
      </c>
      <c r="O110" s="1" t="str">
        <f aca="false">IF(N110="","",MIN(1,(COUNT(Analysis!$M$48:$M$59)-11+1)*N110))</f>
        <v/>
      </c>
      <c r="P110" s="1" t="str">
        <f aca="false">IF(O110="","",MAX($O$100:O110))</f>
        <v/>
      </c>
    </row>
    <row r="111" customFormat="false" ht="14.25" hidden="false" customHeight="true" outlineLevel="0" collapsed="false">
      <c r="B111" s="1" t="n">
        <f aca="false">IFERROR(SMALL(Analysis!$M$7:$M$18,12),"")</f>
        <v>0.076715976787606</v>
      </c>
      <c r="C111" s="1" t="n">
        <f aca="false">IF(B111="","",MIN(1,(COUNT(Analysis!$M$7:$M$18)-12+1)*B111))</f>
        <v>0.076715976787606</v>
      </c>
      <c r="D111" s="1" t="n">
        <f aca="false">IF(C111="","",MAX($C$100:C111))</f>
        <v>0.230147930362818</v>
      </c>
      <c r="F111" s="1" t="n">
        <f aca="false">IFERROR(SMALL(Analysis!$Q$7:$Q$18,12),"")</f>
        <v>1</v>
      </c>
      <c r="G111" s="1" t="n">
        <f aca="false">IF(F111="","",MIN(1,(COUNT(Analysis!$Q$7:$Q$18)-12+1)*F111))</f>
        <v>1</v>
      </c>
      <c r="H111" s="1" t="n">
        <f aca="false">IF(G111="","",MAX($G$100:G111))</f>
        <v>1</v>
      </c>
      <c r="J111" s="1" t="str">
        <f aca="false">IFERROR(SMALL(Analysis!$I$48:$I$59,12),"")</f>
        <v/>
      </c>
      <c r="K111" s="1" t="str">
        <f aca="false">IF(J111="","",MIN(1,(COUNT(Analysis!$I$48:$I$59)-12+1)*J111))</f>
        <v/>
      </c>
      <c r="L111" s="1" t="str">
        <f aca="false">IF(K111="","",MAX($K$100:K111))</f>
        <v/>
      </c>
      <c r="N111" s="1" t="str">
        <f aca="false">IFERROR(SMALL(Analysis!$M$48:$M$59,12),"")</f>
        <v/>
      </c>
      <c r="O111" s="1" t="str">
        <f aca="false">IF(N111="","",MIN(1,(COUNT(Analysis!$M$48:$M$59)-12+1)*N111))</f>
        <v/>
      </c>
      <c r="P111" s="1" t="str">
        <f aca="false">IF(O111="","",MAX($O$100:O111))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2026-10-25T00:00:00Z</dcterms:created>
  <dc:creator>Anonymous</dc:creator>
  <dc:description/>
  <dc:language>en-US</dc:language>
  <cp:lastModifiedBy>Anonymous</cp:lastModifiedBy>
  <dcterms:modified xsi:type="dcterms:W3CDTF">2026-10-25T21:38:58Z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
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vin\Documents\UseCases\2027-modelsward\"/>
    </mc:Choice>
  </mc:AlternateContent>
  <xr:revisionPtr revIDLastSave="0" documentId="13_ncr:1_{016F567B-83F7-4CB8-875D-1BE3713696A8}" xr6:coauthVersionLast="47" xr6:coauthVersionMax="47" xr10:uidLastSave="{00000000-0000-0000-0000-000000000000}"/>
  <bookViews>
    <workbookView xWindow="-108" yWindow="-108" windowWidth="23256" windowHeight="13896" tabRatio="500" firstSheet="1" activeTab="6" xr2:uid="{00000000-000D-0000-FFFF-FFFF00000000}"/>
  </bookViews>
  <sheets>
    <sheet name="Use Case Refinement" sheetId="1" r:id="rId1"/>
    <sheet name="LLM Per-Instance" sheetId="2" r:id="rId2"/>
    <sheet name="LLM Comparison" sheetId="3" r:id="rId3"/>
    <sheet name="Ablation" sheetId="4" r:id="rId4"/>
    <sheet name="Times" sheetId="5" r:id="rId5"/>
    <sheet name="Correctness" sheetId="6" r:id="rId6"/>
    <sheet name="Refinement Analysi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7" l="1"/>
  <c r="B30" i="7"/>
  <c r="B29" i="7"/>
  <c r="B28" i="7"/>
  <c r="B31" i="7" s="1"/>
  <c r="J26" i="7"/>
  <c r="C26" i="7"/>
  <c r="J25" i="7"/>
  <c r="C25" i="7"/>
  <c r="J24" i="7"/>
  <c r="C24" i="7"/>
  <c r="J23" i="7"/>
  <c r="C23" i="7"/>
  <c r="J22" i="7"/>
  <c r="C22" i="7"/>
  <c r="J21" i="7"/>
  <c r="C21" i="7"/>
  <c r="J20" i="7"/>
  <c r="C20" i="7"/>
  <c r="J19" i="7"/>
  <c r="C19" i="7"/>
  <c r="J18" i="7"/>
  <c r="C18" i="7"/>
  <c r="J17" i="7"/>
  <c r="C17" i="7"/>
  <c r="J16" i="7"/>
  <c r="C16" i="7"/>
  <c r="J15" i="7"/>
  <c r="C15" i="7"/>
  <c r="J14" i="7"/>
  <c r="C14" i="7"/>
  <c r="J13" i="7"/>
  <c r="C13" i="7"/>
  <c r="J12" i="7"/>
  <c r="C12" i="7"/>
  <c r="J11" i="7"/>
  <c r="C11" i="7"/>
  <c r="J10" i="7"/>
  <c r="C10" i="7"/>
  <c r="J9" i="7"/>
  <c r="C9" i="7"/>
  <c r="J8" i="7"/>
  <c r="C8" i="7"/>
  <c r="J7" i="7"/>
  <c r="C7" i="7"/>
  <c r="J6" i="7"/>
  <c r="C6" i="7"/>
  <c r="J5" i="7"/>
  <c r="C5" i="7"/>
  <c r="H14" i="6"/>
  <c r="G14" i="6"/>
  <c r="F14" i="6"/>
  <c r="E14" i="6"/>
  <c r="D14" i="6"/>
  <c r="C14" i="6"/>
  <c r="B14" i="6"/>
  <c r="A14" i="6"/>
  <c r="H13" i="6"/>
  <c r="G13" i="6"/>
  <c r="F13" i="6"/>
  <c r="E13" i="6"/>
  <c r="D13" i="6"/>
  <c r="C13" i="6"/>
  <c r="B13" i="6"/>
  <c r="A13" i="6"/>
  <c r="H12" i="6"/>
  <c r="G12" i="6"/>
  <c r="F12" i="6"/>
  <c r="E12" i="6"/>
  <c r="D12" i="6"/>
  <c r="C12" i="6"/>
  <c r="B12" i="6"/>
  <c r="A12" i="6"/>
  <c r="H11" i="6"/>
  <c r="G11" i="6"/>
  <c r="F11" i="6"/>
  <c r="E11" i="6"/>
  <c r="D11" i="6"/>
  <c r="C11" i="6"/>
  <c r="B11" i="6"/>
  <c r="A11" i="6"/>
  <c r="H10" i="6"/>
  <c r="G10" i="6"/>
  <c r="F10" i="6"/>
  <c r="E10" i="6"/>
  <c r="D10" i="6"/>
  <c r="C10" i="6"/>
  <c r="B10" i="6"/>
  <c r="A10" i="6"/>
  <c r="H9" i="6"/>
  <c r="G9" i="6"/>
  <c r="F9" i="6"/>
  <c r="E9" i="6"/>
  <c r="D9" i="6"/>
  <c r="C9" i="6"/>
  <c r="B9" i="6"/>
  <c r="A9" i="6"/>
  <c r="H8" i="6"/>
  <c r="G8" i="6"/>
  <c r="F8" i="6"/>
  <c r="E8" i="6"/>
  <c r="D8" i="6"/>
  <c r="C8" i="6"/>
  <c r="B8" i="6"/>
  <c r="A8" i="6"/>
  <c r="H7" i="6"/>
  <c r="G7" i="6"/>
  <c r="F7" i="6"/>
  <c r="E7" i="6"/>
  <c r="D7" i="6"/>
  <c r="C7" i="6"/>
  <c r="B7" i="6"/>
  <c r="A7" i="6"/>
  <c r="H6" i="6"/>
  <c r="G6" i="6"/>
  <c r="F6" i="6"/>
  <c r="E6" i="6"/>
  <c r="D6" i="6"/>
  <c r="C6" i="6"/>
  <c r="B6" i="6"/>
  <c r="A6" i="6"/>
  <c r="H5" i="6"/>
  <c r="G5" i="6"/>
  <c r="F5" i="6"/>
  <c r="E5" i="6"/>
  <c r="D5" i="6"/>
  <c r="C5" i="6"/>
  <c r="B5" i="6"/>
  <c r="A5" i="6"/>
  <c r="H4" i="6"/>
  <c r="H15" i="6" s="1"/>
  <c r="G4" i="6"/>
  <c r="G15" i="6" s="1"/>
  <c r="G16" i="6" s="1"/>
  <c r="F4" i="6"/>
  <c r="F15" i="6" s="1"/>
  <c r="E4" i="6"/>
  <c r="E15" i="6" s="1"/>
  <c r="D4" i="6"/>
  <c r="D15" i="6" s="1"/>
  <c r="C4" i="6"/>
  <c r="C15" i="6" s="1"/>
  <c r="C16" i="6" s="1"/>
  <c r="B4" i="6"/>
  <c r="A4" i="6"/>
  <c r="I18" i="5"/>
  <c r="H18" i="5"/>
  <c r="G18" i="5"/>
  <c r="F18" i="5"/>
  <c r="E18" i="5"/>
  <c r="D18" i="5"/>
  <c r="I17" i="5"/>
  <c r="H17" i="5"/>
  <c r="G17" i="5"/>
  <c r="F17" i="5"/>
  <c r="E17" i="5"/>
  <c r="D17" i="5"/>
  <c r="I16" i="5"/>
  <c r="H16" i="5"/>
  <c r="G16" i="5"/>
  <c r="F16" i="5"/>
  <c r="E16" i="5"/>
  <c r="D16" i="5"/>
  <c r="I15" i="5"/>
  <c r="H15" i="5"/>
  <c r="G15" i="5"/>
  <c r="F15" i="5"/>
  <c r="E15" i="5"/>
  <c r="D15" i="5"/>
  <c r="I9" i="4"/>
  <c r="H9" i="4"/>
  <c r="I6" i="4"/>
  <c r="H6" i="4"/>
  <c r="H5" i="4"/>
  <c r="H8" i="3"/>
  <c r="G8" i="3"/>
  <c r="F8" i="3"/>
  <c r="E8" i="3"/>
  <c r="D8" i="3"/>
  <c r="C8" i="3"/>
  <c r="H7" i="3"/>
  <c r="G7" i="3"/>
  <c r="I7" i="3" s="1"/>
  <c r="F7" i="3"/>
  <c r="H6" i="3"/>
  <c r="G6" i="3"/>
  <c r="I6" i="3" s="1"/>
  <c r="F6" i="3"/>
  <c r="H5" i="3"/>
  <c r="G5" i="3"/>
  <c r="I5" i="3" s="1"/>
  <c r="F5" i="3"/>
  <c r="AD28" i="2"/>
  <c r="AC28" i="2"/>
  <c r="AB28" i="2"/>
  <c r="AA28" i="2"/>
  <c r="Z28" i="2"/>
  <c r="Y28" i="2"/>
  <c r="X28" i="2"/>
  <c r="W28" i="2"/>
  <c r="V28" i="2"/>
  <c r="V30" i="2" s="1"/>
  <c r="U28" i="2"/>
  <c r="T28" i="2"/>
  <c r="S28" i="2"/>
  <c r="R28" i="2"/>
  <c r="Q28" i="2"/>
  <c r="P28" i="2"/>
  <c r="P30" i="2" s="1"/>
  <c r="J9" i="4" s="1"/>
  <c r="O28" i="2"/>
  <c r="N28" i="2"/>
  <c r="M28" i="2"/>
  <c r="M30" i="2" s="1"/>
  <c r="J6" i="4" s="1"/>
  <c r="L28" i="2"/>
  <c r="K28" i="2"/>
  <c r="J28" i="2"/>
  <c r="J30" i="2" s="1"/>
  <c r="J5" i="4" s="1"/>
  <c r="I28" i="2"/>
  <c r="H28" i="2"/>
  <c r="G28" i="2"/>
  <c r="G30" i="2" s="1"/>
  <c r="F28" i="2"/>
  <c r="D29" i="2" s="1"/>
  <c r="E28" i="2"/>
  <c r="D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H11" i="1"/>
  <c r="G11" i="1"/>
  <c r="F11" i="1"/>
  <c r="E11" i="1"/>
  <c r="G10" i="1"/>
  <c r="F10" i="1"/>
  <c r="H10" i="1" s="1"/>
  <c r="E10" i="1"/>
  <c r="G9" i="1"/>
  <c r="F9" i="1"/>
  <c r="H9" i="1" s="1"/>
  <c r="E9" i="1"/>
  <c r="G29" i="2" l="1"/>
  <c r="V29" i="2"/>
  <c r="S30" i="2"/>
  <c r="Y30" i="2"/>
  <c r="J8" i="4" s="1"/>
  <c r="D30" i="2"/>
  <c r="Y29" i="2"/>
  <c r="F8" i="4" s="1"/>
  <c r="AB29" i="2"/>
  <c r="F7" i="4" s="1"/>
  <c r="M29" i="2"/>
  <c r="J29" i="2"/>
  <c r="I7" i="4"/>
  <c r="H7" i="4"/>
  <c r="I8" i="4"/>
  <c r="H8" i="4"/>
  <c r="E16" i="6"/>
  <c r="I8" i="3"/>
  <c r="AB30" i="2"/>
  <c r="J7" i="4" s="1"/>
  <c r="P29" i="2"/>
  <c r="S29" i="2"/>
</calcChain>
</file>

<file path=xl/sharedStrings.xml><?xml version="1.0" encoding="utf-8"?>
<sst xmlns="http://schemas.openxmlformats.org/spreadsheetml/2006/main" count="364" uniqueCount="171">
  <si>
    <t>Use case "addition of two numbers": validation per iteration (Table 2)</t>
  </si>
  <si>
    <t>N = 6 requirements (4 mandatory, 2 optional), τ = 0.80.</t>
  </si>
  <si>
    <t>Mandatory total</t>
  </si>
  <si>
    <t>Optional total</t>
  </si>
  <si>
    <t>τ</t>
  </si>
  <si>
    <t>Iteration</t>
  </si>
  <si>
    <t>Metamodel</t>
  </si>
  <si>
    <t>Mandatory satisfied</t>
  </si>
  <si>
    <t>Optional satisfied</t>
  </si>
  <si>
    <t>S(B)</t>
  </si>
  <si>
    <t>S_opt(B)</t>
  </si>
  <si>
    <t>All mandatory?</t>
  </si>
  <si>
    <t>Accepted?</t>
  </si>
  <si>
    <t>Initial candidate</t>
  </si>
  <si>
    <t>failed</t>
  </si>
  <si>
    <t>Refinement 1</t>
  </si>
  <si>
    <t>Refinement 2</t>
  </si>
  <si>
    <t>passed</t>
  </si>
  <si>
    <t>Extracted requirements (Table 1)</t>
  </si>
  <si>
    <t>Type</t>
  </si>
  <si>
    <t>Value</t>
  </si>
  <si>
    <t>Completion</t>
  </si>
  <si>
    <t>Priority</t>
  </si>
  <si>
    <t>operation</t>
  </si>
  <si>
    <t>Adder</t>
  </si>
  <si>
    <t>mandatory</t>
  </si>
  <si>
    <t>number</t>
  </si>
  <si>
    <t>x1</t>
  </si>
  <si>
    <t>2</t>
  </si>
  <si>
    <t>x2</t>
  </si>
  <si>
    <t>4</t>
  </si>
  <si>
    <t>measurement</t>
  </si>
  <si>
    <t>Measurement</t>
  </si>
  <si>
    <t>encoding</t>
  </si>
  <si>
    <t>basis</t>
  </si>
  <si>
    <t>optional</t>
  </si>
  <si>
    <t>LLM results per instance and run (1 = correct, 0 = incorrect) – to be filled in from the run logs</t>
  </si>
  <si>
    <t>Qwen3 8B – Direct</t>
  </si>
  <si>
    <t>Qwen3 8B – Pipeline</t>
  </si>
  <si>
    <t>mistral-small-4 – Direct</t>
  </si>
  <si>
    <t>mistral-small-4 – Without Refinement</t>
  </si>
  <si>
    <t>mistral-small-4 – Pipeline</t>
  </si>
  <si>
    <t>Llama 3.3 70B – Direct</t>
  </si>
  <si>
    <t>Llama 3.3 70B – Pipeline</t>
  </si>
  <si>
    <t>No.</t>
  </si>
  <si>
    <t>Task</t>
  </si>
  <si>
    <t>Representation</t>
  </si>
  <si>
    <t>Run 1</t>
  </si>
  <si>
    <t>Run 2</t>
  </si>
  <si>
    <t>Run 3</t>
  </si>
  <si>
    <t>Compact</t>
  </si>
  <si>
    <t>Circuit-level</t>
  </si>
  <si>
    <t>Correct (sum)</t>
  </si>
  <si>
    <t>Mean over 3 runs</t>
  </si>
  <si>
    <t>Std. dev. over 3 runs</t>
  </si>
  <si>
    <t>LLM comparison: direct generation vs. pipeline (Table 3)</t>
  </si>
  <si>
    <t>22 task-representation instances (11 tasks × compact/circuit-level), mean over 3 runs.</t>
  </si>
  <si>
    <t>LLM</t>
  </si>
  <si>
    <t>Hosting</t>
  </si>
  <si>
    <t>Direct LLM (correct)</t>
  </si>
  <si>
    <t>With pipeline (correct)</t>
  </si>
  <si>
    <t>Instances</t>
  </si>
  <si>
    <t>Direct %</t>
  </si>
  <si>
    <t>Pipeline %</t>
  </si>
  <si>
    <t>Δ instances</t>
  </si>
  <si>
    <t>Δ percentage points</t>
  </si>
  <si>
    <t>Qwen3 8B</t>
  </si>
  <si>
    <t>self-hosted</t>
  </si>
  <si>
    <t>mistral-small-4</t>
  </si>
  <si>
    <t>free provider API</t>
  </si>
  <si>
    <t>Llama 3.3 70B Instruct</t>
  </si>
  <si>
    <t>Mean</t>
  </si>
  <si>
    <t>mistral-small-4 was used for all further experiments (ablation, user study).</t>
  </si>
  <si>
    <t>Ablation study with mistral-small-4 (Table 4)</t>
  </si>
  <si>
    <t>22 instances, mean over 3 runs.</t>
  </si>
  <si>
    <t>Configuration</t>
  </si>
  <si>
    <t>Requirements extraction</t>
  </si>
  <si>
    <t>IR + det. synthesis</t>
  </si>
  <si>
    <t>Validation</t>
  </si>
  <si>
    <t>Refinement</t>
  </si>
  <si>
    <t>Correct</t>
  </si>
  <si>
    <t>Share</t>
  </si>
  <si>
    <t>Δ to previous</t>
  </si>
  <si>
    <t>Std. dev. (3 runs)</t>
  </si>
  <si>
    <t>Direct LLM</t>
  </si>
  <si>
    <t>–</t>
  </si>
  <si>
    <t>Without Refinement</t>
  </si>
  <si>
    <t>✓</t>
  </si>
  <si>
    <t>✓ (no feedback)</t>
  </si>
  <si>
    <t>Without Metamodel Validation</t>
  </si>
  <si>
    <t>✓ (syntax + semantic)</t>
  </si>
  <si>
    <t>✓ (N_max = 3)</t>
  </si>
  <si>
    <t>Without Semantic Validation</t>
  </si>
  <si>
    <t>✓ (syntax + metamodel)</t>
  </si>
  <si>
    <t>Full Pipeline</t>
  </si>
  <si>
    <t>Δ for the two validation ablations and the Full Pipeline is given relative to "Without Refinement" (16).</t>
  </si>
  <si>
    <t>Task completion times (mm:ss) – user study vs. pipeline (mistral-small-4)</t>
  </si>
  <si>
    <t>Beginner</t>
  </si>
  <si>
    <t>Expert</t>
  </si>
  <si>
    <t>Pipeline (our approach)</t>
  </si>
  <si>
    <t>Task description</t>
  </si>
  <si>
    <t>Circuit-Level</t>
  </si>
  <si>
    <t>Random qubit state</t>
  </si>
  <si>
    <t>Create a quantum circuit that yields the state |0⟩ with 50% probability and the state |1⟩ with 50% probability.</t>
  </si>
  <si>
    <t>Superposition of 5 qubits</t>
  </si>
  <si>
    <t>Model a uniform superposition of 5 qubits.</t>
  </si>
  <si>
    <t>Bell state</t>
  </si>
  <si>
    <t>Implement the Bell state |Φ+⟩.</t>
  </si>
  <si>
    <t>Addition (2+4)</t>
  </si>
  <si>
    <t>Add the two numbers 2 and 4 and measure the result.</t>
  </si>
  <si>
    <t>GHZ state</t>
  </si>
  <si>
    <t>Create the GHZ state (with a size of 3 qubits).</t>
  </si>
  <si>
    <t>W state</t>
  </si>
  <si>
    <t>Create the W state (with a size of 3 qubits).</t>
  </si>
  <si>
    <t>Phase oracle</t>
  </si>
  <si>
    <t>Create a phase oracle that marks element 4.</t>
  </si>
  <si>
    <t>Boolean oracle</t>
  </si>
  <si>
    <t>Create a Boolean oracle that marks element 6.</t>
  </si>
  <si>
    <t>Quantum Fourier transform</t>
  </si>
  <si>
    <t>Apply a quantum Fourier transform to one qubit and measure the result.</t>
  </si>
  <si>
    <t>QAOA for MaxCut</t>
  </si>
  <si>
    <t>Apply QAOA for MaxCut to the complete graph with 3 nodes (only one QAOA layer needs to be modeled).</t>
  </si>
  <si>
    <t>Grover's search</t>
  </si>
  <si>
    <t>Create a quantum circuit that implements Grover's search algorithm and marks state 3 in a 5-qubit system.</t>
  </si>
  <si>
    <t>Minimum</t>
  </si>
  <si>
    <t>Maximum</t>
  </si>
  <si>
    <t>Count with time (correct)</t>
  </si>
  <si>
    <t>Legend:</t>
  </si>
  <si>
    <t xml:space="preserve">"–" = task not completed correctly; excluded from the mean </t>
  </si>
  <si>
    <t>Pipeline times cover the whole process from prompt to final model, incl. requested parameter input.</t>
  </si>
  <si>
    <t>Model correctness (✓ = executable and satisfies the task requirements)</t>
  </si>
  <si>
    <t>Correct (of 11)</t>
  </si>
  <si>
    <t>Total (of 22)</t>
  </si>
  <si>
    <t>Refinement behavior per task-representation instance (full pipeline, mistral-small-4)</t>
  </si>
  <si>
    <t>N_max = 3 refinement iterations.</t>
  </si>
  <si>
    <t>Refinement needed</t>
  </si>
  <si>
    <t>Iterations</t>
  </si>
  <si>
    <t>Failed stage</t>
  </si>
  <si>
    <t>Error description</t>
  </si>
  <si>
    <t>Error category</t>
  </si>
  <si>
    <t>Requirements (N)</t>
  </si>
  <si>
    <t>Satisfied (initial)</t>
  </si>
  <si>
    <t>S(B) initial</t>
  </si>
  <si>
    <t>S(B) final</t>
  </si>
  <si>
    <t>1 – 50/50 superposition</t>
  </si>
  <si>
    <t>2 – Uniform superposition (5 qubits)</t>
  </si>
  <si>
    <t>3 – Bell state |Φ+⟩</t>
  </si>
  <si>
    <t>4 – Addition 2 + 4</t>
  </si>
  <si>
    <t>Missing encoding: only one of the two encodings added in iteration 1 (see use case, Table 2)</t>
  </si>
  <si>
    <t>Encoding</t>
  </si>
  <si>
    <t>Missing encoding: classical inputs connected directly to quantum addition</t>
  </si>
  <si>
    <t>5 – GHZ state (3 qubits)</t>
  </si>
  <si>
    <t>6 – W state (3 qubits)</t>
  </si>
  <si>
    <t>7 – Phase oracle (element 4)</t>
  </si>
  <si>
    <t>Missing encoding of the marked element</t>
  </si>
  <si>
    <t>8 – Boolean oracle (element 6)</t>
  </si>
  <si>
    <t>9 – QFT on one qubit (without QFT block)</t>
  </si>
  <si>
    <t>10 – QAOA MaxCut (K3, 1 layer)</t>
  </si>
  <si>
    <t>Semantic</t>
  </si>
  <si>
    <t>Mixer layer missing (S &lt; τ)</t>
  </si>
  <si>
    <t>Other</t>
  </si>
  <si>
    <t>11 – Grover (state 3, 5 qubits)</t>
  </si>
  <si>
    <t>Oracle missing (S &lt; τ)</t>
  </si>
  <si>
    <t>Instances with refinement</t>
  </si>
  <si>
    <t>Max. iterations</t>
  </si>
  <si>
    <t>Instances with 2 iterations</t>
  </si>
  <si>
    <t>Share of encoding errors</t>
  </si>
  <si>
    <t>All errors resolved within N_max</t>
  </si>
  <si>
    <t>Operator incorrect</t>
  </si>
  <si>
    <t>mistral-small-4 – Without Semantic Validation</t>
  </si>
  <si>
    <t>mistral-small-4 – Without Metamodel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</si>
</sst>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[m]:ss"/>
  </numFmts>
  <fonts count="13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11"/>
      <name val="Calibri"/>
      <family val="2"/>
    </font>
    <font>
      <i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C00000"/>
      <name val="Arial"/>
      <family val="2"/>
    </font>
    <font>
      <i/>
      <sz val="11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165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/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/>
    <xf numFmtId="0" fontId="4" fillId="0" borderId="1" xfId="0" applyFont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0" fillId="0" borderId="1" xfId="0" applyFont="1" applyBorder="1" applyAlignment="1"/>
    <xf numFmtId="0" fontId="10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/>
    <xf numFmtId="0" fontId="5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2" fillId="0" borderId="0" xfId="0" applyFont="1" applyBorder="1" applyAlignment="1"/>
    <xf numFmtId="0" fontId="5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zoomScaleNormal="100" workbookViewId="0">
      <selection activeCell="G11" sqref="G11"/>
    </sheetView>
  </sheetViews>
  <sheetFormatPr baseColWidth="10" defaultColWidth="8.6640625" defaultRowHeight="14.4" x14ac:dyDescent="0.3"/>
  <cols>
    <col min="1" max="1" width="20" style="1" customWidth="1"/>
    <col min="2" max="8" width="15" style="1" customWidth="1"/>
  </cols>
  <sheetData>
    <row r="1" spans="1:8" ht="15.75" customHeight="1" x14ac:dyDescent="0.3">
      <c r="A1" s="2" t="s">
        <v>0</v>
      </c>
      <c r="B1" s="3"/>
      <c r="C1" s="3"/>
      <c r="D1" s="3"/>
      <c r="E1" s="3"/>
      <c r="F1" s="3"/>
      <c r="G1" s="3"/>
      <c r="H1" s="3"/>
    </row>
    <row r="2" spans="1:8" ht="15" customHeight="1" x14ac:dyDescent="0.3">
      <c r="A2" s="4" t="s">
        <v>1</v>
      </c>
      <c r="B2" s="3"/>
      <c r="C2" s="3"/>
      <c r="D2" s="3"/>
      <c r="E2" s="3"/>
      <c r="F2" s="3"/>
      <c r="G2" s="3"/>
      <c r="H2" s="3"/>
    </row>
    <row r="3" spans="1:8" ht="15" customHeight="1" x14ac:dyDescent="0.3">
      <c r="A3" s="3"/>
      <c r="B3" s="3"/>
      <c r="C3" s="3"/>
      <c r="D3" s="3"/>
      <c r="E3" s="3"/>
      <c r="F3" s="3"/>
      <c r="G3" s="3"/>
      <c r="H3" s="3"/>
    </row>
    <row r="4" spans="1:8" ht="15" customHeight="1" x14ac:dyDescent="0.3">
      <c r="A4" s="5" t="s">
        <v>2</v>
      </c>
      <c r="B4" s="6">
        <v>4</v>
      </c>
      <c r="C4" s="3"/>
      <c r="D4" s="3"/>
      <c r="E4" s="3"/>
      <c r="F4" s="3"/>
      <c r="G4" s="3"/>
      <c r="H4" s="3"/>
    </row>
    <row r="5" spans="1:8" ht="15" customHeight="1" x14ac:dyDescent="0.3">
      <c r="A5" s="5" t="s">
        <v>3</v>
      </c>
      <c r="B5" s="6">
        <v>2</v>
      </c>
      <c r="C5" s="3"/>
      <c r="D5" s="3"/>
      <c r="E5" s="3"/>
      <c r="F5" s="3"/>
      <c r="G5" s="3"/>
      <c r="H5" s="3"/>
    </row>
    <row r="6" spans="1:8" ht="15" customHeight="1" x14ac:dyDescent="0.3">
      <c r="A6" s="5" t="s">
        <v>4</v>
      </c>
      <c r="B6" s="6">
        <v>0.8</v>
      </c>
      <c r="C6" s="3"/>
      <c r="D6" s="3"/>
      <c r="E6" s="3"/>
      <c r="F6" s="3"/>
      <c r="G6" s="3"/>
      <c r="H6" s="3"/>
    </row>
    <row r="7" spans="1:8" ht="15" customHeight="1" x14ac:dyDescent="0.3">
      <c r="A7" s="3"/>
      <c r="B7" s="3"/>
      <c r="C7" s="3"/>
      <c r="D7" s="3"/>
      <c r="E7" s="3"/>
      <c r="F7" s="3"/>
      <c r="G7" s="3"/>
      <c r="H7" s="3"/>
    </row>
    <row r="8" spans="1:8" ht="26.25" customHeight="1" x14ac:dyDescent="0.3">
      <c r="A8" s="7" t="s">
        <v>5</v>
      </c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7" t="s">
        <v>12</v>
      </c>
    </row>
    <row r="9" spans="1:8" ht="15" customHeight="1" x14ac:dyDescent="0.3">
      <c r="A9" s="5" t="s">
        <v>13</v>
      </c>
      <c r="B9" s="6" t="s">
        <v>14</v>
      </c>
      <c r="C9" s="6">
        <v>4</v>
      </c>
      <c r="D9" s="6">
        <v>0</v>
      </c>
      <c r="E9" s="8">
        <f>(C9+D9)/($B$4+$B$5)</f>
        <v>0.66666666666666663</v>
      </c>
      <c r="F9" s="8">
        <f>IF($B$5=0,1,D9/$B$5)</f>
        <v>0</v>
      </c>
      <c r="G9" s="6" t="str">
        <f>IF(C9=$B$4,"yes","no")</f>
        <v>yes</v>
      </c>
      <c r="H9" s="6" t="str">
        <f>IF(AND(B9="passed",C9=$B$4,F9&gt;=$B$6),"yes","no")</f>
        <v>no</v>
      </c>
    </row>
    <row r="10" spans="1:8" ht="15" customHeight="1" x14ac:dyDescent="0.3">
      <c r="A10" s="5" t="s">
        <v>15</v>
      </c>
      <c r="B10" s="6" t="s">
        <v>14</v>
      </c>
      <c r="C10" s="6">
        <v>4</v>
      </c>
      <c r="D10" s="6">
        <v>1</v>
      </c>
      <c r="E10" s="8">
        <f>(C10+D10)/($B$4+$B$5)</f>
        <v>0.83333333333333337</v>
      </c>
      <c r="F10" s="8">
        <f>IF($B$5=0,1,D10/$B$5)</f>
        <v>0.5</v>
      </c>
      <c r="G10" s="6" t="str">
        <f>IF(C10=$B$4,"yes","no")</f>
        <v>yes</v>
      </c>
      <c r="H10" s="6" t="str">
        <f>IF(AND(B10="passed",C10=$B$4,F10&gt;=$B$6),"yes","no")</f>
        <v>no</v>
      </c>
    </row>
    <row r="11" spans="1:8" ht="15" customHeight="1" x14ac:dyDescent="0.3">
      <c r="A11" s="5" t="s">
        <v>16</v>
      </c>
      <c r="B11" s="6" t="s">
        <v>17</v>
      </c>
      <c r="C11" s="6">
        <v>4</v>
      </c>
      <c r="D11" s="6">
        <v>2</v>
      </c>
      <c r="E11" s="8">
        <f>(C11+D11)/($B$4+$B$5)</f>
        <v>1</v>
      </c>
      <c r="F11" s="8">
        <f>IF($B$5=0,1,D11/$B$5)</f>
        <v>1</v>
      </c>
      <c r="G11" s="6" t="str">
        <f>IF(C11=$B$4,"yes","no")</f>
        <v>yes</v>
      </c>
      <c r="H11" s="6" t="str">
        <f>IF(AND(B11="passed",C11=$B$4,F11&gt;=$B$6),"yes","no")</f>
        <v>yes</v>
      </c>
    </row>
    <row r="12" spans="1:8" ht="15" customHeight="1" x14ac:dyDescent="0.3">
      <c r="A12" s="9" t="s">
        <v>18</v>
      </c>
      <c r="B12" s="3"/>
      <c r="C12" s="3"/>
      <c r="D12" s="3"/>
      <c r="E12" s="3"/>
      <c r="F12" s="3"/>
      <c r="G12" s="3"/>
      <c r="H12" s="3"/>
    </row>
    <row r="13" spans="1:8" ht="15" customHeight="1" x14ac:dyDescent="0.3">
      <c r="A13" s="7" t="s">
        <v>19</v>
      </c>
      <c r="B13" s="7" t="s">
        <v>20</v>
      </c>
      <c r="C13" s="7" t="s">
        <v>21</v>
      </c>
      <c r="D13" s="7" t="s">
        <v>22</v>
      </c>
      <c r="E13" s="3"/>
      <c r="F13" s="3"/>
      <c r="G13" s="3"/>
      <c r="H13" s="3"/>
    </row>
    <row r="14" spans="1:8" ht="15" customHeight="1" x14ac:dyDescent="0.3">
      <c r="A14" s="5" t="s">
        <v>23</v>
      </c>
      <c r="B14" s="6" t="s">
        <v>24</v>
      </c>
      <c r="C14" s="6" t="s">
        <v>24</v>
      </c>
      <c r="D14" s="6" t="s">
        <v>25</v>
      </c>
      <c r="E14" s="3"/>
      <c r="F14" s="3"/>
      <c r="G14" s="3"/>
      <c r="H14" s="3"/>
    </row>
    <row r="15" spans="1:8" ht="15" customHeight="1" x14ac:dyDescent="0.3">
      <c r="A15" s="5" t="s">
        <v>26</v>
      </c>
      <c r="B15" s="6" t="s">
        <v>27</v>
      </c>
      <c r="C15" s="6" t="s">
        <v>28</v>
      </c>
      <c r="D15" s="6" t="s">
        <v>25</v>
      </c>
      <c r="E15" s="3"/>
      <c r="F15" s="3"/>
      <c r="G15" s="3"/>
      <c r="H15" s="3"/>
    </row>
    <row r="16" spans="1:8" ht="15" customHeight="1" x14ac:dyDescent="0.3">
      <c r="A16" s="5" t="s">
        <v>26</v>
      </c>
      <c r="B16" s="6" t="s">
        <v>29</v>
      </c>
      <c r="C16" s="6" t="s">
        <v>30</v>
      </c>
      <c r="D16" s="6" t="s">
        <v>25</v>
      </c>
      <c r="E16" s="3"/>
      <c r="F16" s="3"/>
      <c r="G16" s="3"/>
      <c r="H16" s="3"/>
    </row>
    <row r="17" spans="1:8" ht="15" customHeight="1" x14ac:dyDescent="0.3">
      <c r="A17" s="5" t="s">
        <v>31</v>
      </c>
      <c r="B17" s="6" t="s">
        <v>32</v>
      </c>
      <c r="C17" s="6" t="s">
        <v>32</v>
      </c>
      <c r="D17" s="6" t="s">
        <v>25</v>
      </c>
      <c r="E17" s="3"/>
      <c r="F17" s="3"/>
      <c r="G17" s="3"/>
      <c r="H17" s="3"/>
    </row>
    <row r="18" spans="1:8" ht="15" customHeight="1" x14ac:dyDescent="0.3">
      <c r="A18" s="5" t="s">
        <v>33</v>
      </c>
      <c r="B18" s="6" t="s">
        <v>34</v>
      </c>
      <c r="C18" s="6" t="s">
        <v>34</v>
      </c>
      <c r="D18" s="6" t="s">
        <v>35</v>
      </c>
      <c r="E18" s="3"/>
      <c r="F18" s="3"/>
      <c r="G18" s="3"/>
      <c r="H18" s="3"/>
    </row>
    <row r="19" spans="1:8" ht="15" customHeight="1" x14ac:dyDescent="0.3">
      <c r="A19" s="5" t="s">
        <v>33</v>
      </c>
      <c r="B19" s="6" t="s">
        <v>34</v>
      </c>
      <c r="C19" s="6" t="s">
        <v>34</v>
      </c>
      <c r="D19" s="6" t="s">
        <v>35</v>
      </c>
      <c r="E19" s="3"/>
      <c r="F19" s="3"/>
      <c r="G19" s="3"/>
      <c r="H19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2"/>
  <sheetViews>
    <sheetView zoomScale="86" zoomScaleNormal="100" workbookViewId="0">
      <pane xSplit="3" ySplit="5" topLeftCell="M6" activePane="bottomRight" state="frozen"/>
      <selection pane="topRight" activeCell="D1" sqref="D1"/>
      <selection pane="bottomLeft" activeCell="A6" sqref="A6"/>
      <selection pane="bottomRight" activeCell="N35" sqref="N35"/>
    </sheetView>
  </sheetViews>
  <sheetFormatPr baseColWidth="10" defaultColWidth="8.6640625" defaultRowHeight="14.4" x14ac:dyDescent="0.3"/>
  <cols>
    <col min="1" max="1" width="5" style="1" customWidth="1"/>
    <col min="2" max="2" width="28" style="1" customWidth="1"/>
    <col min="3" max="3" width="14" style="1" customWidth="1"/>
    <col min="4" max="24" width="9" style="1" customWidth="1"/>
    <col min="25" max="30" width="13" style="1" customWidth="1"/>
  </cols>
  <sheetData>
    <row r="1" spans="1:30" ht="15.75" customHeight="1" x14ac:dyDescent="0.3">
      <c r="A1" s="2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30" ht="15" customHeight="1" x14ac:dyDescent="0.3">
      <c r="A2" s="10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30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0" ht="26.25" customHeight="1" x14ac:dyDescent="0.3">
      <c r="A4" s="3"/>
      <c r="B4" s="3"/>
      <c r="C4" s="3"/>
      <c r="D4" s="34" t="s">
        <v>37</v>
      </c>
      <c r="E4" s="34"/>
      <c r="F4" s="34"/>
      <c r="G4" s="34" t="s">
        <v>38</v>
      </c>
      <c r="H4" s="34"/>
      <c r="I4" s="34"/>
      <c r="J4" s="34" t="s">
        <v>39</v>
      </c>
      <c r="K4" s="34"/>
      <c r="L4" s="34"/>
      <c r="M4" s="34" t="s">
        <v>40</v>
      </c>
      <c r="N4" s="34"/>
      <c r="O4" s="34"/>
      <c r="P4" s="34" t="s">
        <v>41</v>
      </c>
      <c r="Q4" s="34"/>
      <c r="R4" s="34"/>
      <c r="S4" s="34" t="s">
        <v>42</v>
      </c>
      <c r="T4" s="34"/>
      <c r="U4" s="34"/>
      <c r="V4" s="34" t="s">
        <v>43</v>
      </c>
      <c r="W4" s="34"/>
      <c r="X4" s="34"/>
      <c r="Y4" s="35" t="s">
        <v>169</v>
      </c>
      <c r="Z4" s="34"/>
      <c r="AA4" s="34"/>
      <c r="AB4" s="35" t="s">
        <v>170</v>
      </c>
      <c r="AC4" s="34"/>
      <c r="AD4" s="34"/>
    </row>
    <row r="5" spans="1:30" ht="26.25" customHeight="1" x14ac:dyDescent="0.3">
      <c r="A5" s="7" t="s">
        <v>44</v>
      </c>
      <c r="B5" s="7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47</v>
      </c>
      <c r="H5" s="7" t="s">
        <v>48</v>
      </c>
      <c r="I5" s="7" t="s">
        <v>49</v>
      </c>
      <c r="J5" s="7" t="s">
        <v>47</v>
      </c>
      <c r="K5" s="7" t="s">
        <v>48</v>
      </c>
      <c r="L5" s="7" t="s">
        <v>49</v>
      </c>
      <c r="M5" s="7" t="s">
        <v>47</v>
      </c>
      <c r="N5" s="7" t="s">
        <v>48</v>
      </c>
      <c r="O5" s="7" t="s">
        <v>49</v>
      </c>
      <c r="P5" s="7" t="s">
        <v>47</v>
      </c>
      <c r="Q5" s="7" t="s">
        <v>48</v>
      </c>
      <c r="R5" s="7" t="s">
        <v>49</v>
      </c>
      <c r="S5" s="7" t="s">
        <v>47</v>
      </c>
      <c r="T5" s="7" t="s">
        <v>48</v>
      </c>
      <c r="U5" s="7" t="s">
        <v>49</v>
      </c>
      <c r="V5" s="7" t="s">
        <v>47</v>
      </c>
      <c r="W5" s="7" t="s">
        <v>48</v>
      </c>
      <c r="X5" s="7" t="s">
        <v>49</v>
      </c>
      <c r="Y5" s="7" t="s">
        <v>47</v>
      </c>
      <c r="Z5" s="7" t="s">
        <v>48</v>
      </c>
      <c r="AA5" s="7" t="s">
        <v>49</v>
      </c>
      <c r="AB5" s="7" t="s">
        <v>47</v>
      </c>
      <c r="AC5" s="7" t="s">
        <v>48</v>
      </c>
      <c r="AD5" s="7" t="s">
        <v>49</v>
      </c>
    </row>
    <row r="6" spans="1:30" ht="15" customHeight="1" x14ac:dyDescent="0.3">
      <c r="A6" s="5">
        <v>1</v>
      </c>
      <c r="B6" s="5" t="str">
        <f>Times!B4</f>
        <v>Random qubit state</v>
      </c>
      <c r="C6" s="5" t="s">
        <v>50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29">
        <v>1</v>
      </c>
      <c r="Z6" s="29">
        <v>1</v>
      </c>
      <c r="AA6" s="29">
        <v>1</v>
      </c>
      <c r="AB6" s="29">
        <v>1</v>
      </c>
      <c r="AC6" s="29">
        <v>1</v>
      </c>
      <c r="AD6" s="29">
        <v>1</v>
      </c>
    </row>
    <row r="7" spans="1:30" ht="15" customHeight="1" x14ac:dyDescent="0.3">
      <c r="A7" s="5">
        <v>1</v>
      </c>
      <c r="B7" s="5" t="str">
        <f>Times!B4</f>
        <v>Random qubit state</v>
      </c>
      <c r="C7" s="5" t="s">
        <v>51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29">
        <v>1</v>
      </c>
      <c r="Z7" s="29">
        <v>1</v>
      </c>
      <c r="AA7" s="29">
        <v>1</v>
      </c>
      <c r="AB7" s="29">
        <v>1</v>
      </c>
      <c r="AC7" s="29">
        <v>1</v>
      </c>
      <c r="AD7" s="29">
        <v>1</v>
      </c>
    </row>
    <row r="8" spans="1:30" ht="15" customHeight="1" x14ac:dyDescent="0.3">
      <c r="A8" s="5">
        <v>2</v>
      </c>
      <c r="B8" s="5" t="str">
        <f>Times!B5</f>
        <v>Superposition of 5 qubits</v>
      </c>
      <c r="C8" s="5" t="s">
        <v>50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29">
        <v>1</v>
      </c>
      <c r="Z8" s="29">
        <v>1</v>
      </c>
      <c r="AA8" s="29">
        <v>1</v>
      </c>
      <c r="AB8" s="29">
        <v>1</v>
      </c>
      <c r="AC8" s="29">
        <v>1</v>
      </c>
      <c r="AD8" s="29">
        <v>1</v>
      </c>
    </row>
    <row r="9" spans="1:30" ht="15" customHeight="1" x14ac:dyDescent="0.3">
      <c r="A9" s="5">
        <v>2</v>
      </c>
      <c r="B9" s="5" t="str">
        <f>Times!B5</f>
        <v>Superposition of 5 qubits</v>
      </c>
      <c r="C9" s="5" t="s">
        <v>51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29">
        <v>1</v>
      </c>
      <c r="Z9" s="29">
        <v>1</v>
      </c>
      <c r="AA9" s="29">
        <v>1</v>
      </c>
      <c r="AB9" s="29">
        <v>1</v>
      </c>
      <c r="AC9" s="29">
        <v>1</v>
      </c>
      <c r="AD9" s="29">
        <v>1</v>
      </c>
    </row>
    <row r="10" spans="1:30" ht="15" customHeight="1" x14ac:dyDescent="0.3">
      <c r="A10" s="5">
        <v>3</v>
      </c>
      <c r="B10" s="5" t="str">
        <f>Times!B6</f>
        <v>Bell state</v>
      </c>
      <c r="C10" s="5" t="s">
        <v>50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29">
        <v>1</v>
      </c>
      <c r="Z10" s="29">
        <v>1</v>
      </c>
      <c r="AA10" s="29">
        <v>1</v>
      </c>
      <c r="AB10" s="29">
        <v>1</v>
      </c>
      <c r="AC10" s="29">
        <v>1</v>
      </c>
      <c r="AD10" s="29">
        <v>1</v>
      </c>
    </row>
    <row r="11" spans="1:30" ht="15" customHeight="1" x14ac:dyDescent="0.3">
      <c r="A11" s="5">
        <v>3</v>
      </c>
      <c r="B11" s="5" t="str">
        <f>Times!B6</f>
        <v>Bell state</v>
      </c>
      <c r="C11" s="5" t="s">
        <v>51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0</v>
      </c>
      <c r="V11" s="6">
        <v>1</v>
      </c>
      <c r="W11" s="6">
        <v>1</v>
      </c>
      <c r="X11" s="6">
        <v>1</v>
      </c>
      <c r="Y11" s="29">
        <v>1</v>
      </c>
      <c r="Z11" s="29">
        <v>1</v>
      </c>
      <c r="AA11" s="29">
        <v>1</v>
      </c>
      <c r="AB11" s="29">
        <v>1</v>
      </c>
      <c r="AC11" s="29">
        <v>1</v>
      </c>
      <c r="AD11" s="29">
        <v>1</v>
      </c>
    </row>
    <row r="12" spans="1:30" ht="15" customHeight="1" x14ac:dyDescent="0.3">
      <c r="A12" s="5">
        <v>4</v>
      </c>
      <c r="B12" s="5" t="str">
        <f>Times!B7</f>
        <v>Addition (2+4)</v>
      </c>
      <c r="C12" s="5" t="s">
        <v>50</v>
      </c>
      <c r="D12" s="6">
        <v>1</v>
      </c>
      <c r="E12" s="6">
        <v>1</v>
      </c>
      <c r="F12" s="6">
        <v>0</v>
      </c>
      <c r="G12" s="6">
        <v>1</v>
      </c>
      <c r="H12" s="6">
        <v>1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</v>
      </c>
      <c r="Q12" s="6">
        <v>1</v>
      </c>
      <c r="R12" s="31">
        <v>1</v>
      </c>
      <c r="S12" s="6">
        <v>0</v>
      </c>
      <c r="T12" s="6">
        <v>0</v>
      </c>
      <c r="U12" s="6">
        <v>0</v>
      </c>
      <c r="V12" s="6">
        <v>1</v>
      </c>
      <c r="W12" s="6">
        <v>1</v>
      </c>
      <c r="X12" s="6">
        <v>1</v>
      </c>
      <c r="Y12" s="29">
        <v>1</v>
      </c>
      <c r="Z12" s="29">
        <v>1</v>
      </c>
      <c r="AA12" s="29">
        <v>0</v>
      </c>
      <c r="AB12" s="29">
        <v>0</v>
      </c>
      <c r="AC12" s="29">
        <v>0</v>
      </c>
      <c r="AD12" s="29">
        <v>1</v>
      </c>
    </row>
    <row r="13" spans="1:30" ht="15" customHeight="1" x14ac:dyDescent="0.3">
      <c r="A13" s="5">
        <v>4</v>
      </c>
      <c r="B13" s="5" t="str">
        <f>Times!B7</f>
        <v>Addition (2+4)</v>
      </c>
      <c r="C13" s="5" t="s">
        <v>51</v>
      </c>
      <c r="D13" s="6">
        <v>0</v>
      </c>
      <c r="E13" s="6">
        <v>0</v>
      </c>
      <c r="F13" s="6">
        <v>0</v>
      </c>
      <c r="G13" s="6">
        <v>1</v>
      </c>
      <c r="H13" s="6">
        <v>1</v>
      </c>
      <c r="I13" s="6">
        <v>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1</v>
      </c>
      <c r="Q13" s="6">
        <v>1</v>
      </c>
      <c r="R13" s="6">
        <v>1</v>
      </c>
      <c r="S13" s="6">
        <v>0</v>
      </c>
      <c r="T13" s="6">
        <v>0</v>
      </c>
      <c r="U13" s="6">
        <v>0</v>
      </c>
      <c r="V13" s="6">
        <v>1</v>
      </c>
      <c r="W13" s="6">
        <v>1</v>
      </c>
      <c r="X13" s="6">
        <v>1</v>
      </c>
      <c r="Y13" s="29">
        <v>1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</row>
    <row r="14" spans="1:30" ht="15" customHeight="1" x14ac:dyDescent="0.3">
      <c r="A14" s="5">
        <v>5</v>
      </c>
      <c r="B14" s="5" t="str">
        <f>Times!B8</f>
        <v>GHZ state</v>
      </c>
      <c r="C14" s="5" t="s">
        <v>50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29">
        <v>1</v>
      </c>
      <c r="Z14" s="29">
        <v>1</v>
      </c>
      <c r="AA14" s="29">
        <v>1</v>
      </c>
      <c r="AB14" s="29">
        <v>1</v>
      </c>
      <c r="AC14" s="29">
        <v>1</v>
      </c>
      <c r="AD14" s="29">
        <v>1</v>
      </c>
    </row>
    <row r="15" spans="1:30" ht="15" customHeight="1" x14ac:dyDescent="0.3">
      <c r="A15" s="5">
        <v>5</v>
      </c>
      <c r="B15" s="5" t="str">
        <f>Times!B8</f>
        <v>GHZ state</v>
      </c>
      <c r="C15" s="5" t="s">
        <v>51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0</v>
      </c>
      <c r="K15" s="6">
        <v>0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0</v>
      </c>
      <c r="T15" s="6">
        <v>0</v>
      </c>
      <c r="U15" s="6">
        <v>1</v>
      </c>
      <c r="V15" s="6">
        <v>1</v>
      </c>
      <c r="W15" s="6">
        <v>1</v>
      </c>
      <c r="X15" s="6">
        <v>1</v>
      </c>
      <c r="Y15" s="29">
        <v>1</v>
      </c>
      <c r="Z15" s="29">
        <v>1</v>
      </c>
      <c r="AA15" s="29">
        <v>1</v>
      </c>
      <c r="AB15" s="29">
        <v>1</v>
      </c>
      <c r="AC15" s="29">
        <v>1</v>
      </c>
      <c r="AD15" s="29">
        <v>1</v>
      </c>
    </row>
    <row r="16" spans="1:30" ht="15" customHeight="1" x14ac:dyDescent="0.3">
      <c r="A16" s="5">
        <v>6</v>
      </c>
      <c r="B16" s="5" t="str">
        <f>Times!B9</f>
        <v>W state</v>
      </c>
      <c r="C16" s="5" t="s">
        <v>50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0</v>
      </c>
      <c r="L16" s="6">
        <v>0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0</v>
      </c>
      <c r="U16" s="6">
        <v>1</v>
      </c>
      <c r="V16" s="6">
        <v>1</v>
      </c>
      <c r="W16" s="6">
        <v>1</v>
      </c>
      <c r="X16" s="6">
        <v>1</v>
      </c>
      <c r="Y16" s="29">
        <v>1</v>
      </c>
      <c r="Z16" s="29">
        <v>1</v>
      </c>
      <c r="AA16" s="29">
        <v>1</v>
      </c>
      <c r="AB16" s="29">
        <v>1</v>
      </c>
      <c r="AC16" s="29">
        <v>1</v>
      </c>
      <c r="AD16" s="29">
        <v>1</v>
      </c>
    </row>
    <row r="17" spans="1:30" ht="15" customHeight="1" x14ac:dyDescent="0.3">
      <c r="A17" s="5">
        <v>6</v>
      </c>
      <c r="B17" s="5" t="str">
        <f>Times!B9</f>
        <v>W state</v>
      </c>
      <c r="C17" s="5" t="s">
        <v>51</v>
      </c>
      <c r="D17" s="6">
        <v>0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0</v>
      </c>
      <c r="K17" s="6">
        <v>0</v>
      </c>
      <c r="L17" s="6">
        <v>0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0</v>
      </c>
      <c r="T17" s="6">
        <v>0</v>
      </c>
      <c r="U17" s="6">
        <v>0</v>
      </c>
      <c r="V17" s="6">
        <v>1</v>
      </c>
      <c r="W17" s="6">
        <v>1</v>
      </c>
      <c r="X17" s="6">
        <v>1</v>
      </c>
      <c r="Y17" s="29">
        <v>1</v>
      </c>
      <c r="Z17" s="29">
        <v>1</v>
      </c>
      <c r="AA17" s="29">
        <v>1</v>
      </c>
      <c r="AB17" s="29">
        <v>1</v>
      </c>
      <c r="AC17" s="29">
        <v>1</v>
      </c>
      <c r="AD17" s="29">
        <v>1</v>
      </c>
    </row>
    <row r="18" spans="1:30" ht="15" customHeight="1" x14ac:dyDescent="0.3">
      <c r="A18" s="5">
        <v>7</v>
      </c>
      <c r="B18" s="5" t="str">
        <f>Times!B10</f>
        <v>Phase oracle</v>
      </c>
      <c r="C18" s="5" t="s">
        <v>50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0</v>
      </c>
      <c r="K18" s="6">
        <v>0</v>
      </c>
      <c r="L18" s="6">
        <v>0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0</v>
      </c>
      <c r="T18" s="6">
        <v>0</v>
      </c>
      <c r="U18" s="6">
        <v>0</v>
      </c>
      <c r="V18" s="6">
        <v>1</v>
      </c>
      <c r="W18" s="6">
        <v>1</v>
      </c>
      <c r="X18" s="6">
        <v>1</v>
      </c>
      <c r="Y18" s="29">
        <v>1</v>
      </c>
      <c r="Z18" s="29">
        <v>1</v>
      </c>
      <c r="AA18" s="29">
        <v>1</v>
      </c>
      <c r="AB18" s="29">
        <v>1</v>
      </c>
      <c r="AC18" s="29">
        <v>1</v>
      </c>
      <c r="AD18" s="29">
        <v>1</v>
      </c>
    </row>
    <row r="19" spans="1:30" ht="15" customHeight="1" x14ac:dyDescent="0.3">
      <c r="A19" s="5">
        <v>7</v>
      </c>
      <c r="B19" s="5" t="str">
        <f>Times!B10</f>
        <v>Phase oracle</v>
      </c>
      <c r="C19" s="5" t="s">
        <v>51</v>
      </c>
      <c r="D19" s="6">
        <v>0</v>
      </c>
      <c r="E19" s="6">
        <v>0</v>
      </c>
      <c r="F19" s="6">
        <v>0</v>
      </c>
      <c r="G19" s="6">
        <v>1</v>
      </c>
      <c r="H19" s="6">
        <v>1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1</v>
      </c>
      <c r="Q19" s="6">
        <v>1</v>
      </c>
      <c r="R19" s="6">
        <v>1</v>
      </c>
      <c r="S19" s="6">
        <v>0</v>
      </c>
      <c r="T19" s="6">
        <v>0</v>
      </c>
      <c r="U19" s="6">
        <v>0</v>
      </c>
      <c r="V19" s="6">
        <v>1</v>
      </c>
      <c r="W19" s="6">
        <v>1</v>
      </c>
      <c r="X19" s="6">
        <v>1</v>
      </c>
      <c r="Y19" s="29">
        <v>1</v>
      </c>
      <c r="Z19" s="29">
        <v>1</v>
      </c>
      <c r="AA19" s="29">
        <v>0</v>
      </c>
      <c r="AB19" s="29">
        <v>0</v>
      </c>
      <c r="AC19" s="29">
        <v>0</v>
      </c>
      <c r="AD19" s="29">
        <v>0</v>
      </c>
    </row>
    <row r="20" spans="1:30" ht="15" customHeight="1" x14ac:dyDescent="0.3">
      <c r="A20" s="5">
        <v>8</v>
      </c>
      <c r="B20" s="5" t="str">
        <f>Times!B11</f>
        <v>Boolean oracle</v>
      </c>
      <c r="C20" s="5" t="s">
        <v>50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0</v>
      </c>
      <c r="K20" s="6">
        <v>0</v>
      </c>
      <c r="L20" s="6">
        <v>0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0</v>
      </c>
      <c r="T20" s="6">
        <v>0</v>
      </c>
      <c r="U20" s="6">
        <v>0</v>
      </c>
      <c r="V20" s="6">
        <v>1</v>
      </c>
      <c r="W20" s="6">
        <v>1</v>
      </c>
      <c r="X20" s="6">
        <v>1</v>
      </c>
      <c r="Y20" s="29">
        <v>1</v>
      </c>
      <c r="Z20" s="29">
        <v>1</v>
      </c>
      <c r="AA20" s="29">
        <v>1</v>
      </c>
      <c r="AB20" s="29">
        <v>1</v>
      </c>
      <c r="AC20" s="29">
        <v>1</v>
      </c>
      <c r="AD20" s="29">
        <v>1</v>
      </c>
    </row>
    <row r="21" spans="1:30" ht="15" customHeight="1" x14ac:dyDescent="0.3">
      <c r="A21" s="5">
        <v>8</v>
      </c>
      <c r="B21" s="5" t="str">
        <f>Times!B11</f>
        <v>Boolean oracle</v>
      </c>
      <c r="C21" s="5" t="s">
        <v>51</v>
      </c>
      <c r="D21" s="6">
        <v>0</v>
      </c>
      <c r="E21" s="6">
        <v>0</v>
      </c>
      <c r="F21" s="6">
        <v>0</v>
      </c>
      <c r="G21" s="6">
        <v>1</v>
      </c>
      <c r="H21" s="6">
        <v>1</v>
      </c>
      <c r="I21" s="6">
        <v>1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1</v>
      </c>
      <c r="Q21" s="6">
        <v>1</v>
      </c>
      <c r="R21" s="6">
        <v>1</v>
      </c>
      <c r="S21" s="6">
        <v>0</v>
      </c>
      <c r="T21" s="6">
        <v>0</v>
      </c>
      <c r="U21" s="6">
        <v>0</v>
      </c>
      <c r="V21" s="6">
        <v>1</v>
      </c>
      <c r="W21" s="6">
        <v>1</v>
      </c>
      <c r="X21" s="6">
        <v>1</v>
      </c>
      <c r="Y21" s="29">
        <v>1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</row>
    <row r="22" spans="1:30" ht="15" customHeight="1" x14ac:dyDescent="0.3">
      <c r="A22" s="5">
        <v>9</v>
      </c>
      <c r="B22" s="5" t="str">
        <f>Times!B12</f>
        <v>Quantum Fourier transform</v>
      </c>
      <c r="C22" s="5" t="s">
        <v>50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0</v>
      </c>
      <c r="K22" s="6">
        <v>1</v>
      </c>
      <c r="L22" s="6">
        <v>0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0</v>
      </c>
      <c r="T22" s="6">
        <v>1</v>
      </c>
      <c r="U22" s="6">
        <v>0</v>
      </c>
      <c r="V22" s="6">
        <v>1</v>
      </c>
      <c r="W22" s="6">
        <v>1</v>
      </c>
      <c r="X22" s="6">
        <v>1</v>
      </c>
      <c r="Y22" s="29">
        <v>1</v>
      </c>
      <c r="Z22" s="29">
        <v>1</v>
      </c>
      <c r="AA22" s="29">
        <v>1</v>
      </c>
      <c r="AB22" s="29">
        <v>1</v>
      </c>
      <c r="AC22" s="29">
        <v>1</v>
      </c>
      <c r="AD22" s="29">
        <v>1</v>
      </c>
    </row>
    <row r="23" spans="1:30" ht="15" customHeight="1" x14ac:dyDescent="0.3">
      <c r="A23" s="5">
        <v>9</v>
      </c>
      <c r="B23" s="5" t="str">
        <f>Times!B12</f>
        <v>Quantum Fourier transform</v>
      </c>
      <c r="C23" s="5" t="s">
        <v>51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0</v>
      </c>
      <c r="K23" s="6">
        <v>0</v>
      </c>
      <c r="L23" s="6">
        <v>0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0</v>
      </c>
      <c r="T23" s="6">
        <v>0</v>
      </c>
      <c r="U23" s="6">
        <v>0</v>
      </c>
      <c r="V23" s="6">
        <v>1</v>
      </c>
      <c r="W23" s="6">
        <v>1</v>
      </c>
      <c r="X23" s="6">
        <v>1</v>
      </c>
      <c r="Y23" s="29">
        <v>1</v>
      </c>
      <c r="Z23" s="29">
        <v>1</v>
      </c>
      <c r="AA23" s="29">
        <v>1</v>
      </c>
      <c r="AB23" s="29">
        <v>1</v>
      </c>
      <c r="AC23" s="29">
        <v>1</v>
      </c>
      <c r="AD23" s="29">
        <v>1</v>
      </c>
    </row>
    <row r="24" spans="1:30" ht="15" customHeight="1" x14ac:dyDescent="0.3">
      <c r="A24" s="5">
        <v>10</v>
      </c>
      <c r="B24" s="5" t="str">
        <f>Times!B13</f>
        <v>QAOA for MaxCut</v>
      </c>
      <c r="C24" s="5" t="s">
        <v>50</v>
      </c>
      <c r="D24" s="6">
        <v>1</v>
      </c>
      <c r="E24" s="6">
        <v>0</v>
      </c>
      <c r="F24" s="6">
        <v>1</v>
      </c>
      <c r="G24" s="6">
        <v>1</v>
      </c>
      <c r="H24" s="6">
        <v>1</v>
      </c>
      <c r="I24" s="6">
        <v>1</v>
      </c>
      <c r="J24" s="6">
        <v>0</v>
      </c>
      <c r="K24" s="6">
        <v>0</v>
      </c>
      <c r="L24" s="6">
        <v>0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0</v>
      </c>
      <c r="T24" s="6">
        <v>0</v>
      </c>
      <c r="U24" s="6">
        <v>0</v>
      </c>
      <c r="V24" s="6">
        <v>1</v>
      </c>
      <c r="W24" s="6">
        <v>1</v>
      </c>
      <c r="X24" s="6">
        <v>1</v>
      </c>
      <c r="Y24" s="29">
        <v>1</v>
      </c>
      <c r="Z24" s="29">
        <v>1</v>
      </c>
      <c r="AA24" s="29">
        <v>1</v>
      </c>
      <c r="AB24" s="29">
        <v>1</v>
      </c>
      <c r="AC24" s="29">
        <v>1</v>
      </c>
      <c r="AD24" s="29">
        <v>1</v>
      </c>
    </row>
    <row r="25" spans="1:30" ht="15" customHeight="1" x14ac:dyDescent="0.3">
      <c r="A25" s="5">
        <v>10</v>
      </c>
      <c r="B25" s="5" t="str">
        <f>Times!B13</f>
        <v>QAOA for MaxCut</v>
      </c>
      <c r="C25" s="5" t="s">
        <v>51</v>
      </c>
      <c r="D25" s="6">
        <v>0</v>
      </c>
      <c r="E25" s="6">
        <v>0</v>
      </c>
      <c r="F25" s="6">
        <v>0</v>
      </c>
      <c r="G25" s="6">
        <v>1</v>
      </c>
      <c r="H25" s="6">
        <v>1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6">
        <v>1</v>
      </c>
      <c r="R25" s="6">
        <v>1</v>
      </c>
      <c r="S25" s="6">
        <v>0</v>
      </c>
      <c r="T25" s="6">
        <v>0</v>
      </c>
      <c r="U25" s="6">
        <v>0</v>
      </c>
      <c r="V25" s="6">
        <v>1</v>
      </c>
      <c r="W25" s="6">
        <v>1</v>
      </c>
      <c r="X25" s="6">
        <v>1</v>
      </c>
      <c r="Y25" s="29">
        <v>0</v>
      </c>
      <c r="Z25" s="29">
        <v>0</v>
      </c>
      <c r="AA25" s="29">
        <v>0</v>
      </c>
      <c r="AB25" s="29">
        <v>1</v>
      </c>
      <c r="AC25" s="29">
        <v>1</v>
      </c>
      <c r="AD25" s="29">
        <v>1</v>
      </c>
    </row>
    <row r="26" spans="1:30" ht="15" customHeight="1" x14ac:dyDescent="0.3">
      <c r="A26" s="5">
        <v>11</v>
      </c>
      <c r="B26" s="5" t="str">
        <f>Times!B14</f>
        <v>Grover's search</v>
      </c>
      <c r="C26" s="5" t="s">
        <v>50</v>
      </c>
      <c r="D26" s="6">
        <v>0</v>
      </c>
      <c r="E26" s="6">
        <v>0</v>
      </c>
      <c r="F26" s="6">
        <v>0</v>
      </c>
      <c r="G26" s="6">
        <v>1</v>
      </c>
      <c r="H26" s="6">
        <v>1</v>
      </c>
      <c r="I26" s="6">
        <v>1</v>
      </c>
      <c r="J26" s="6">
        <v>0</v>
      </c>
      <c r="K26" s="6">
        <v>0</v>
      </c>
      <c r="L26" s="6">
        <v>0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0</v>
      </c>
      <c r="T26" s="6">
        <v>0</v>
      </c>
      <c r="U26" s="6">
        <v>0</v>
      </c>
      <c r="V26" s="6">
        <v>1</v>
      </c>
      <c r="W26" s="6">
        <v>1</v>
      </c>
      <c r="X26" s="6">
        <v>1</v>
      </c>
      <c r="Y26" s="29">
        <v>1</v>
      </c>
      <c r="Z26" s="29">
        <v>1</v>
      </c>
      <c r="AA26" s="29">
        <v>1</v>
      </c>
      <c r="AB26" s="29">
        <v>1</v>
      </c>
      <c r="AC26" s="29">
        <v>1</v>
      </c>
      <c r="AD26" s="29">
        <v>1</v>
      </c>
    </row>
    <row r="27" spans="1:30" ht="15" customHeight="1" x14ac:dyDescent="0.3">
      <c r="A27" s="5">
        <v>11</v>
      </c>
      <c r="B27" s="5" t="str">
        <f>Times!B14</f>
        <v>Grover's search</v>
      </c>
      <c r="C27" s="5" t="s">
        <v>51</v>
      </c>
      <c r="D27" s="6">
        <v>0</v>
      </c>
      <c r="E27" s="6">
        <v>0</v>
      </c>
      <c r="F27" s="6">
        <v>0</v>
      </c>
      <c r="G27" s="6">
        <v>1</v>
      </c>
      <c r="H27" s="6">
        <v>1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1</v>
      </c>
      <c r="Q27" s="6">
        <v>1</v>
      </c>
      <c r="R27" s="6">
        <v>1</v>
      </c>
      <c r="S27" s="6">
        <v>0</v>
      </c>
      <c r="T27" s="6">
        <v>0</v>
      </c>
      <c r="U27" s="6">
        <v>0</v>
      </c>
      <c r="V27" s="6">
        <v>1</v>
      </c>
      <c r="W27" s="6">
        <v>1</v>
      </c>
      <c r="X27" s="6">
        <v>1</v>
      </c>
      <c r="Y27" s="29">
        <v>0</v>
      </c>
      <c r="Z27" s="29">
        <v>0</v>
      </c>
      <c r="AA27" s="29">
        <v>0</v>
      </c>
      <c r="AB27" s="29">
        <v>0</v>
      </c>
      <c r="AC27" s="29">
        <v>1</v>
      </c>
      <c r="AD27" s="29">
        <v>1</v>
      </c>
    </row>
    <row r="28" spans="1:30" ht="15" customHeight="1" x14ac:dyDescent="0.3">
      <c r="A28" s="33" t="s">
        <v>52</v>
      </c>
      <c r="B28" s="33"/>
      <c r="C28" s="33"/>
      <c r="D28" s="7">
        <f t="shared" ref="D28:AD28" si="0">IF(COUNT(D6:D27)=0,"open",SUM(D6:D27))</f>
        <v>15</v>
      </c>
      <c r="E28" s="7">
        <f t="shared" si="0"/>
        <v>15</v>
      </c>
      <c r="F28" s="7">
        <f t="shared" si="0"/>
        <v>15</v>
      </c>
      <c r="G28" s="7">
        <f t="shared" si="0"/>
        <v>22</v>
      </c>
      <c r="H28" s="7">
        <f t="shared" si="0"/>
        <v>22</v>
      </c>
      <c r="I28" s="7">
        <f t="shared" si="0"/>
        <v>22</v>
      </c>
      <c r="J28" s="7">
        <f t="shared" si="0"/>
        <v>8</v>
      </c>
      <c r="K28" s="7">
        <f t="shared" si="0"/>
        <v>8</v>
      </c>
      <c r="L28" s="7">
        <f t="shared" si="0"/>
        <v>8</v>
      </c>
      <c r="M28" s="7">
        <f t="shared" si="0"/>
        <v>16</v>
      </c>
      <c r="N28" s="7">
        <f t="shared" si="0"/>
        <v>16</v>
      </c>
      <c r="O28" s="7">
        <f t="shared" si="0"/>
        <v>16</v>
      </c>
      <c r="P28" s="7">
        <f t="shared" si="0"/>
        <v>22</v>
      </c>
      <c r="Q28" s="7">
        <f t="shared" si="0"/>
        <v>22</v>
      </c>
      <c r="R28" s="7">
        <f t="shared" si="0"/>
        <v>22</v>
      </c>
      <c r="S28" s="7">
        <f t="shared" si="0"/>
        <v>8</v>
      </c>
      <c r="T28" s="7">
        <f t="shared" si="0"/>
        <v>8</v>
      </c>
      <c r="U28" s="7">
        <f t="shared" si="0"/>
        <v>8</v>
      </c>
      <c r="V28" s="7">
        <f t="shared" si="0"/>
        <v>22</v>
      </c>
      <c r="W28" s="7">
        <f t="shared" si="0"/>
        <v>22</v>
      </c>
      <c r="X28" s="7">
        <f t="shared" si="0"/>
        <v>22</v>
      </c>
      <c r="Y28" s="7">
        <f t="shared" si="0"/>
        <v>20</v>
      </c>
      <c r="Z28" s="7">
        <f t="shared" si="0"/>
        <v>18</v>
      </c>
      <c r="AA28" s="7">
        <f t="shared" si="0"/>
        <v>16</v>
      </c>
      <c r="AB28" s="7">
        <f t="shared" si="0"/>
        <v>17</v>
      </c>
      <c r="AC28" s="7">
        <f t="shared" si="0"/>
        <v>18</v>
      </c>
      <c r="AD28" s="7">
        <f t="shared" si="0"/>
        <v>19</v>
      </c>
    </row>
    <row r="29" spans="1:30" ht="15" customHeight="1" x14ac:dyDescent="0.3">
      <c r="A29" s="33" t="s">
        <v>53</v>
      </c>
      <c r="B29" s="33"/>
      <c r="C29" s="33"/>
      <c r="D29" s="32">
        <f>IF(COUNT(D28:F28)=0,"open",AVERAGE(D28:F28))</f>
        <v>15</v>
      </c>
      <c r="E29" s="32"/>
      <c r="F29" s="32"/>
      <c r="G29" s="32">
        <f>IF(COUNT(G28:I28)=0,"open",AVERAGE(G28:I28))</f>
        <v>22</v>
      </c>
      <c r="H29" s="32"/>
      <c r="I29" s="32"/>
      <c r="J29" s="32">
        <f>IF(COUNT(J28:L28)=0,"open",AVERAGE(J28:L28))</f>
        <v>8</v>
      </c>
      <c r="K29" s="32"/>
      <c r="L29" s="32"/>
      <c r="M29" s="32">
        <f>IF(COUNT(M28:O28)=0,"open",AVERAGE(M28:O28))</f>
        <v>16</v>
      </c>
      <c r="N29" s="32"/>
      <c r="O29" s="32"/>
      <c r="P29" s="32">
        <f>IF(COUNT(P28:R28)=0,"open",AVERAGE(P28:R28))</f>
        <v>22</v>
      </c>
      <c r="Q29" s="32"/>
      <c r="R29" s="32"/>
      <c r="S29" s="32">
        <f>IF(COUNT(S28:U28)=0,"open",AVERAGE(S28:U28))</f>
        <v>8</v>
      </c>
      <c r="T29" s="32"/>
      <c r="U29" s="32"/>
      <c r="V29" s="32">
        <f>IF(COUNT(V28:X28)=0,"open",AVERAGE(V28:X28))</f>
        <v>22</v>
      </c>
      <c r="W29" s="32"/>
      <c r="X29" s="32"/>
      <c r="Y29" s="32">
        <f>IF(COUNT(Y28:AA28)=0,"open",AVERAGE(Y28:AA28))</f>
        <v>18</v>
      </c>
      <c r="Z29" s="32"/>
      <c r="AA29" s="32"/>
      <c r="AB29" s="32">
        <f>IF(COUNT(AB28:AD28)=0,"open",AVERAGE(AB28:AD28))</f>
        <v>18</v>
      </c>
      <c r="AC29" s="32"/>
      <c r="AD29" s="32"/>
    </row>
    <row r="30" spans="1:30" ht="15" customHeight="1" x14ac:dyDescent="0.3">
      <c r="A30" s="33" t="s">
        <v>54</v>
      </c>
      <c r="B30" s="33"/>
      <c r="C30" s="33"/>
      <c r="D30" s="32">
        <f>IF(COUNT(D28:F28)&lt;2,"open",STDEV(D28:F28))</f>
        <v>0</v>
      </c>
      <c r="E30" s="32"/>
      <c r="F30" s="32"/>
      <c r="G30" s="32">
        <f>IF(COUNT(G28:I28)&lt;2,"open",STDEV(G28:I28))</f>
        <v>0</v>
      </c>
      <c r="H30" s="32"/>
      <c r="I30" s="32"/>
      <c r="J30" s="32">
        <f>IF(COUNT(J28:L28)&lt;2,"open",STDEV(J28:L28))</f>
        <v>0</v>
      </c>
      <c r="K30" s="32"/>
      <c r="L30" s="32"/>
      <c r="M30" s="32">
        <f>IF(COUNT(M28:O28)&lt;2,"open",STDEV(M28:O28))</f>
        <v>0</v>
      </c>
      <c r="N30" s="32"/>
      <c r="O30" s="32"/>
      <c r="P30" s="32">
        <f>IF(COUNT(P28:R28)&lt;2,"open",STDEV(P28:R28))</f>
        <v>0</v>
      </c>
      <c r="Q30" s="32"/>
      <c r="R30" s="32"/>
      <c r="S30" s="32">
        <f>IF(COUNT(S28:U28)&lt;2,"open",STDEV(S28:U28))</f>
        <v>0</v>
      </c>
      <c r="T30" s="32"/>
      <c r="U30" s="32"/>
      <c r="V30" s="32">
        <f>IF(COUNT(V28:X28)&lt;2,"open",STDEV(V28:X28))</f>
        <v>0</v>
      </c>
      <c r="W30" s="32"/>
      <c r="X30" s="32"/>
      <c r="Y30" s="32">
        <f>IF(COUNT(Y28:AA28)&lt;2,"open",STDEV(Y28:AA28))</f>
        <v>2</v>
      </c>
      <c r="Z30" s="32"/>
      <c r="AA30" s="32"/>
      <c r="AB30" s="32">
        <f>IF(COUNT(AB28:AD28)&lt;2,"open",STDEV(AB28:AD28))</f>
        <v>1</v>
      </c>
      <c r="AC30" s="32"/>
      <c r="AD30" s="32"/>
    </row>
    <row r="31" spans="1:30" ht="15" customHeight="1" x14ac:dyDescent="0.3"/>
    <row r="32" spans="1:30" ht="14.25" customHeight="1" x14ac:dyDescent="0.3">
      <c r="A32" s="11"/>
    </row>
  </sheetData>
  <mergeCells count="30">
    <mergeCell ref="S4:U4"/>
    <mergeCell ref="V4:X4"/>
    <mergeCell ref="Y4:AA4"/>
    <mergeCell ref="AB4:AD4"/>
    <mergeCell ref="A28:C28"/>
    <mergeCell ref="D4:F4"/>
    <mergeCell ref="G4:I4"/>
    <mergeCell ref="J4:L4"/>
    <mergeCell ref="M4:O4"/>
    <mergeCell ref="P4:R4"/>
    <mergeCell ref="A29:C29"/>
    <mergeCell ref="D29:F29"/>
    <mergeCell ref="G29:I29"/>
    <mergeCell ref="J29:L29"/>
    <mergeCell ref="M29:O29"/>
    <mergeCell ref="P29:R29"/>
    <mergeCell ref="S29:U29"/>
    <mergeCell ref="V29:X29"/>
    <mergeCell ref="Y29:AA29"/>
    <mergeCell ref="AB29:AD29"/>
    <mergeCell ref="A30:C30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Normal="100" workbookViewId="0">
      <selection activeCell="C32" sqref="C32"/>
    </sheetView>
  </sheetViews>
  <sheetFormatPr baseColWidth="10" defaultColWidth="8.6640625" defaultRowHeight="14.4" x14ac:dyDescent="0.3"/>
  <cols>
    <col min="1" max="1" width="26" style="1" customWidth="1"/>
    <col min="2" max="2" width="20" style="1" customWidth="1"/>
    <col min="3" max="9" width="14" style="1" customWidth="1"/>
  </cols>
  <sheetData>
    <row r="1" spans="1:9" ht="15.75" customHeight="1" x14ac:dyDescent="0.3">
      <c r="A1" s="2" t="s">
        <v>55</v>
      </c>
      <c r="B1" s="3"/>
      <c r="C1" s="3"/>
      <c r="D1" s="3"/>
      <c r="E1" s="3"/>
      <c r="F1" s="3"/>
      <c r="G1" s="3"/>
      <c r="H1" s="3"/>
      <c r="I1" s="3"/>
    </row>
    <row r="2" spans="1:9" ht="15" customHeight="1" x14ac:dyDescent="0.3">
      <c r="A2" s="4" t="s">
        <v>56</v>
      </c>
      <c r="B2" s="3"/>
      <c r="C2" s="3"/>
      <c r="D2" s="3"/>
      <c r="E2" s="3"/>
      <c r="F2" s="3"/>
      <c r="G2" s="3"/>
      <c r="H2" s="3"/>
      <c r="I2" s="3"/>
    </row>
    <row r="3" spans="1:9" ht="15" customHeight="1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26.25" customHeight="1" x14ac:dyDescent="0.3">
      <c r="A4" s="7" t="s">
        <v>57</v>
      </c>
      <c r="B4" s="7" t="s">
        <v>58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63</v>
      </c>
      <c r="H4" s="7" t="s">
        <v>64</v>
      </c>
      <c r="I4" s="7" t="s">
        <v>65</v>
      </c>
    </row>
    <row r="5" spans="1:9" ht="15" customHeight="1" x14ac:dyDescent="0.3">
      <c r="A5" s="5" t="s">
        <v>66</v>
      </c>
      <c r="B5" s="6" t="s">
        <v>67</v>
      </c>
      <c r="C5" s="6">
        <v>15</v>
      </c>
      <c r="D5" s="6">
        <v>22</v>
      </c>
      <c r="E5" s="6">
        <v>22</v>
      </c>
      <c r="F5" s="12">
        <f>C5/E5</f>
        <v>0.68181818181818177</v>
      </c>
      <c r="G5" s="12">
        <f>D5/E5</f>
        <v>1</v>
      </c>
      <c r="H5" s="6">
        <f>D5-C5</f>
        <v>7</v>
      </c>
      <c r="I5" s="12">
        <f>G5-F5</f>
        <v>0.31818181818181823</v>
      </c>
    </row>
    <row r="6" spans="1:9" ht="15" customHeight="1" x14ac:dyDescent="0.3">
      <c r="A6" s="5" t="s">
        <v>68</v>
      </c>
      <c r="B6" s="6" t="s">
        <v>69</v>
      </c>
      <c r="C6" s="6">
        <v>8</v>
      </c>
      <c r="D6" s="6">
        <v>22</v>
      </c>
      <c r="E6" s="6">
        <v>22</v>
      </c>
      <c r="F6" s="12">
        <f>C6/E6</f>
        <v>0.36363636363636365</v>
      </c>
      <c r="G6" s="12">
        <f>D6/E6</f>
        <v>1</v>
      </c>
      <c r="H6" s="6">
        <f>D6-C6</f>
        <v>14</v>
      </c>
      <c r="I6" s="12">
        <f>G6-F6</f>
        <v>0.63636363636363635</v>
      </c>
    </row>
    <row r="7" spans="1:9" ht="15" customHeight="1" x14ac:dyDescent="0.3">
      <c r="A7" s="5" t="s">
        <v>70</v>
      </c>
      <c r="B7" s="6" t="s">
        <v>67</v>
      </c>
      <c r="C7" s="6">
        <v>8</v>
      </c>
      <c r="D7" s="6">
        <v>22</v>
      </c>
      <c r="E7" s="6">
        <v>22</v>
      </c>
      <c r="F7" s="12">
        <f>C7/E7</f>
        <v>0.36363636363636365</v>
      </c>
      <c r="G7" s="12">
        <f>D7/E7</f>
        <v>1</v>
      </c>
      <c r="H7" s="6">
        <f>D7-C7</f>
        <v>14</v>
      </c>
      <c r="I7" s="12">
        <f>G7-F7</f>
        <v>0.63636363636363635</v>
      </c>
    </row>
    <row r="8" spans="1:9" ht="15" customHeight="1" x14ac:dyDescent="0.3">
      <c r="A8" s="13" t="s">
        <v>71</v>
      </c>
      <c r="B8" s="7"/>
      <c r="C8" s="14">
        <f t="shared" ref="C8:I8" si="0">AVERAGE(C5:C7)</f>
        <v>10.333333333333334</v>
      </c>
      <c r="D8" s="14">
        <f t="shared" si="0"/>
        <v>22</v>
      </c>
      <c r="E8" s="14">
        <f t="shared" si="0"/>
        <v>22</v>
      </c>
      <c r="F8" s="15">
        <f t="shared" si="0"/>
        <v>0.46969696969696972</v>
      </c>
      <c r="G8" s="15">
        <f t="shared" si="0"/>
        <v>1</v>
      </c>
      <c r="H8" s="14">
        <f t="shared" si="0"/>
        <v>11.666666666666666</v>
      </c>
      <c r="I8" s="15">
        <f t="shared" si="0"/>
        <v>0.53030303030303028</v>
      </c>
    </row>
    <row r="9" spans="1:9" ht="15" customHeight="1" x14ac:dyDescent="0.3">
      <c r="A9" s="3"/>
      <c r="B9" s="3"/>
      <c r="C9" s="3"/>
      <c r="D9" s="3"/>
      <c r="E9" s="3"/>
      <c r="F9" s="3"/>
      <c r="G9" s="3"/>
      <c r="H9" s="3"/>
      <c r="I9" s="3"/>
    </row>
    <row r="10" spans="1:9" ht="15" customHeight="1" x14ac:dyDescent="0.3">
      <c r="A10" s="4" t="s">
        <v>72</v>
      </c>
      <c r="B10" s="3"/>
      <c r="C10" s="3"/>
      <c r="D10" s="3"/>
      <c r="E10" s="3"/>
      <c r="F10" s="3"/>
      <c r="G10" s="3"/>
      <c r="H10" s="3"/>
      <c r="I10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zoomScaleNormal="100" workbookViewId="0">
      <selection activeCell="F7" sqref="F7"/>
    </sheetView>
  </sheetViews>
  <sheetFormatPr baseColWidth="10" defaultColWidth="8.6640625" defaultRowHeight="14.4" x14ac:dyDescent="0.3"/>
  <cols>
    <col min="1" max="1" width="22" style="1" customWidth="1"/>
    <col min="2" max="10" width="16" style="1" customWidth="1"/>
  </cols>
  <sheetData>
    <row r="1" spans="1:10" ht="15.75" customHeight="1" x14ac:dyDescent="0.3">
      <c r="A1" s="2" t="s">
        <v>73</v>
      </c>
      <c r="B1" s="3"/>
      <c r="C1" s="3"/>
      <c r="D1" s="3"/>
      <c r="E1" s="3"/>
      <c r="F1" s="3"/>
      <c r="G1" s="3"/>
      <c r="H1" s="3"/>
      <c r="I1" s="3"/>
    </row>
    <row r="2" spans="1:10" ht="15" customHeight="1" x14ac:dyDescent="0.3">
      <c r="A2" s="4" t="s">
        <v>74</v>
      </c>
      <c r="B2" s="3"/>
      <c r="C2" s="3"/>
      <c r="D2" s="3"/>
      <c r="E2" s="3"/>
      <c r="F2" s="3"/>
      <c r="G2" s="3"/>
      <c r="H2" s="3"/>
      <c r="I2" s="3"/>
    </row>
    <row r="3" spans="1:10" ht="15" customHeight="1" x14ac:dyDescent="0.3">
      <c r="A3" s="3"/>
      <c r="B3" s="3"/>
      <c r="C3" s="3"/>
      <c r="D3" s="3"/>
      <c r="E3" s="3"/>
      <c r="F3" s="3"/>
      <c r="G3" s="3"/>
      <c r="H3" s="3"/>
      <c r="I3" s="3"/>
    </row>
    <row r="4" spans="1:10" ht="26.25" customHeight="1" x14ac:dyDescent="0.3">
      <c r="A4" s="7" t="s">
        <v>75</v>
      </c>
      <c r="B4" s="7" t="s">
        <v>76</v>
      </c>
      <c r="C4" s="7" t="s">
        <v>77</v>
      </c>
      <c r="D4" s="7" t="s">
        <v>78</v>
      </c>
      <c r="E4" s="7" t="s">
        <v>79</v>
      </c>
      <c r="F4" s="7" t="s">
        <v>80</v>
      </c>
      <c r="G4" s="7" t="s">
        <v>61</v>
      </c>
      <c r="H4" s="7" t="s">
        <v>81</v>
      </c>
      <c r="I4" s="7" t="s">
        <v>82</v>
      </c>
      <c r="J4" s="7" t="s">
        <v>83</v>
      </c>
    </row>
    <row r="5" spans="1:10" ht="15" customHeight="1" x14ac:dyDescent="0.3">
      <c r="A5" s="5" t="s">
        <v>84</v>
      </c>
      <c r="B5" s="6" t="s">
        <v>85</v>
      </c>
      <c r="C5" s="6" t="s">
        <v>85</v>
      </c>
      <c r="D5" s="6" t="s">
        <v>85</v>
      </c>
      <c r="E5" s="6" t="s">
        <v>85</v>
      </c>
      <c r="F5" s="6">
        <v>8</v>
      </c>
      <c r="G5" s="6">
        <v>22</v>
      </c>
      <c r="H5" s="12">
        <f>F5/G5</f>
        <v>0.36363636363636365</v>
      </c>
      <c r="I5" s="6" t="s">
        <v>85</v>
      </c>
      <c r="J5" s="16">
        <f>'LLM Per-Instance'!J30</f>
        <v>0</v>
      </c>
    </row>
    <row r="6" spans="1:10" ht="15" customHeight="1" x14ac:dyDescent="0.3">
      <c r="A6" s="25" t="s">
        <v>86</v>
      </c>
      <c r="B6" s="26" t="s">
        <v>87</v>
      </c>
      <c r="C6" s="26" t="s">
        <v>87</v>
      </c>
      <c r="D6" s="26" t="s">
        <v>88</v>
      </c>
      <c r="E6" s="26" t="s">
        <v>85</v>
      </c>
      <c r="F6" s="26">
        <v>16</v>
      </c>
      <c r="G6" s="26">
        <v>22</v>
      </c>
      <c r="H6" s="27">
        <f>F6/G6</f>
        <v>0.72727272727272729</v>
      </c>
      <c r="I6" s="26">
        <f>F6-F5</f>
        <v>8</v>
      </c>
      <c r="J6" s="28">
        <f>'LLM Per-Instance'!M30</f>
        <v>0</v>
      </c>
    </row>
    <row r="7" spans="1:10" ht="15" customHeight="1" x14ac:dyDescent="0.3">
      <c r="A7" s="29" t="s">
        <v>89</v>
      </c>
      <c r="B7" s="29" t="s">
        <v>87</v>
      </c>
      <c r="C7" s="29" t="s">
        <v>87</v>
      </c>
      <c r="D7" s="29" t="s">
        <v>90</v>
      </c>
      <c r="E7" s="29" t="s">
        <v>91</v>
      </c>
      <c r="F7" s="29">
        <f>'LLM Per-Instance'!AB29</f>
        <v>18</v>
      </c>
      <c r="G7" s="29">
        <v>22</v>
      </c>
      <c r="H7" s="29">
        <f>IF(ISNUMBER(F7),F7/G7,"open")</f>
        <v>0.81818181818181823</v>
      </c>
      <c r="I7" s="29">
        <f>IF(ISNUMBER(F7),F7-$F$6,"open")</f>
        <v>2</v>
      </c>
      <c r="J7" s="29">
        <f>'LLM Per-Instance'!AB30</f>
        <v>1</v>
      </c>
    </row>
    <row r="8" spans="1:10" ht="15" customHeight="1" x14ac:dyDescent="0.3">
      <c r="A8" s="29" t="s">
        <v>92</v>
      </c>
      <c r="B8" s="29" t="s">
        <v>87</v>
      </c>
      <c r="C8" s="29" t="s">
        <v>87</v>
      </c>
      <c r="D8" s="29" t="s">
        <v>93</v>
      </c>
      <c r="E8" s="29" t="s">
        <v>91</v>
      </c>
      <c r="F8" s="29">
        <f>'LLM Per-Instance'!Y29</f>
        <v>18</v>
      </c>
      <c r="G8" s="29">
        <v>22</v>
      </c>
      <c r="H8" s="29">
        <f>IF(ISNUMBER(F8),F8/G8,"open")</f>
        <v>0.81818181818181823</v>
      </c>
      <c r="I8" s="29">
        <f>IF(ISNUMBER(F8),F8-$F$6,"open")</f>
        <v>2</v>
      </c>
      <c r="J8" s="29">
        <f>'LLM Per-Instance'!Y30</f>
        <v>2</v>
      </c>
    </row>
    <row r="9" spans="1:10" ht="15" customHeight="1" x14ac:dyDescent="0.3">
      <c r="A9" s="25" t="s">
        <v>94</v>
      </c>
      <c r="B9" s="26" t="s">
        <v>87</v>
      </c>
      <c r="C9" s="26" t="s">
        <v>87</v>
      </c>
      <c r="D9" s="26" t="s">
        <v>87</v>
      </c>
      <c r="E9" s="26" t="s">
        <v>91</v>
      </c>
      <c r="F9" s="26">
        <v>22</v>
      </c>
      <c r="G9" s="26">
        <v>22</v>
      </c>
      <c r="H9" s="27">
        <f>F9/G9</f>
        <v>1</v>
      </c>
      <c r="I9" s="26">
        <f>F9-F6</f>
        <v>6</v>
      </c>
      <c r="J9" s="28">
        <f>'LLM Per-Instance'!P30</f>
        <v>0</v>
      </c>
    </row>
    <row r="10" spans="1:10" ht="15" customHeight="1" x14ac:dyDescent="0.3">
      <c r="F10" s="3"/>
      <c r="G10" s="3"/>
      <c r="H10" s="3"/>
      <c r="I10" s="3"/>
    </row>
    <row r="11" spans="1:10" ht="15" customHeight="1" x14ac:dyDescent="0.3">
      <c r="A11" s="17" t="s">
        <v>95</v>
      </c>
      <c r="F11" s="3"/>
      <c r="G11" s="3"/>
      <c r="H11" s="3"/>
      <c r="I11" s="3"/>
    </row>
    <row r="12" spans="1:10" ht="15" customHeight="1" x14ac:dyDescent="0.3">
      <c r="A12" s="11"/>
      <c r="F12" s="3"/>
      <c r="G12" s="3"/>
      <c r="H12" s="3"/>
      <c r="I12" s="3"/>
    </row>
    <row r="13" spans="1:10" ht="15" customHeight="1" x14ac:dyDescent="0.3">
      <c r="F13" s="3"/>
      <c r="G13" s="3"/>
      <c r="H13" s="3"/>
      <c r="I13" s="3"/>
    </row>
    <row r="14" spans="1:10" ht="15" customHeight="1" x14ac:dyDescent="0.3">
      <c r="F14" s="3"/>
      <c r="G14" s="3"/>
      <c r="H14" s="3"/>
      <c r="I14" s="3"/>
    </row>
    <row r="15" spans="1:10" ht="15" customHeight="1" x14ac:dyDescent="0.3">
      <c r="F15" s="3"/>
      <c r="G15" s="3"/>
      <c r="H15" s="3"/>
      <c r="I15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24" sqref="C24"/>
    </sheetView>
  </sheetViews>
  <sheetFormatPr baseColWidth="10" defaultColWidth="8.6640625" defaultRowHeight="14.4" x14ac:dyDescent="0.3"/>
  <cols>
    <col min="1" max="1" width="6" style="1" customWidth="1"/>
    <col min="2" max="2" width="28" style="1" customWidth="1"/>
    <col min="3" max="3" width="60" style="1" customWidth="1"/>
    <col min="4" max="9" width="13" style="1" customWidth="1"/>
  </cols>
  <sheetData>
    <row r="1" spans="1:9" ht="15.75" customHeight="1" x14ac:dyDescent="0.3">
      <c r="A1" s="2" t="s">
        <v>96</v>
      </c>
      <c r="B1" s="3"/>
      <c r="C1" s="3"/>
      <c r="D1" s="3"/>
      <c r="E1" s="3"/>
      <c r="F1" s="3"/>
      <c r="G1" s="3"/>
      <c r="H1" s="3"/>
      <c r="I1" s="3"/>
    </row>
    <row r="2" spans="1:9" ht="15" customHeight="1" x14ac:dyDescent="0.3">
      <c r="A2" s="36"/>
      <c r="B2" s="36"/>
      <c r="C2" s="36"/>
      <c r="D2" s="34" t="s">
        <v>97</v>
      </c>
      <c r="E2" s="34"/>
      <c r="F2" s="34" t="s">
        <v>98</v>
      </c>
      <c r="G2" s="34"/>
      <c r="H2" s="34" t="s">
        <v>99</v>
      </c>
      <c r="I2" s="34"/>
    </row>
    <row r="3" spans="1:9" ht="26.25" customHeight="1" x14ac:dyDescent="0.3">
      <c r="A3" s="7" t="s">
        <v>44</v>
      </c>
      <c r="B3" s="7" t="s">
        <v>45</v>
      </c>
      <c r="C3" s="7" t="s">
        <v>100</v>
      </c>
      <c r="D3" s="7" t="s">
        <v>50</v>
      </c>
      <c r="E3" s="7" t="s">
        <v>101</v>
      </c>
      <c r="F3" s="7" t="s">
        <v>50</v>
      </c>
      <c r="G3" s="7" t="s">
        <v>101</v>
      </c>
      <c r="H3" s="7" t="s">
        <v>50</v>
      </c>
      <c r="I3" s="7" t="s">
        <v>101</v>
      </c>
    </row>
    <row r="4" spans="1:9" ht="26.25" customHeight="1" x14ac:dyDescent="0.3">
      <c r="A4" s="6">
        <v>1</v>
      </c>
      <c r="B4" s="18" t="s">
        <v>102</v>
      </c>
      <c r="C4" s="18" t="s">
        <v>103</v>
      </c>
      <c r="D4" s="19">
        <v>8.2175925925925895E-4</v>
      </c>
      <c r="E4" s="19">
        <v>9.8379629629629598E-4</v>
      </c>
      <c r="F4" s="19">
        <v>6.9444444444444501E-4</v>
      </c>
      <c r="G4" s="19">
        <v>6.9444444444444501E-4</v>
      </c>
      <c r="H4" s="19">
        <v>3.4722222222222202E-4</v>
      </c>
      <c r="I4" s="19">
        <v>5.78703703703704E-4</v>
      </c>
    </row>
    <row r="5" spans="1:9" ht="15" customHeight="1" x14ac:dyDescent="0.3">
      <c r="A5" s="6">
        <v>2</v>
      </c>
      <c r="B5" s="18" t="s">
        <v>104</v>
      </c>
      <c r="C5" s="18" t="s">
        <v>105</v>
      </c>
      <c r="D5" s="19">
        <v>8.3333333333333295E-4</v>
      </c>
      <c r="E5" s="19">
        <v>2.0833333333333298E-3</v>
      </c>
      <c r="F5" s="19">
        <v>5.78703703703704E-4</v>
      </c>
      <c r="G5" s="19">
        <v>1.0416666666666699E-3</v>
      </c>
      <c r="H5" s="19">
        <v>4.0509259259259301E-4</v>
      </c>
      <c r="I5" s="19">
        <v>6.3657407407407402E-4</v>
      </c>
    </row>
    <row r="6" spans="1:9" ht="15" customHeight="1" x14ac:dyDescent="0.3">
      <c r="A6" s="6">
        <v>3</v>
      </c>
      <c r="B6" s="18" t="s">
        <v>106</v>
      </c>
      <c r="C6" s="18" t="s">
        <v>107</v>
      </c>
      <c r="D6" s="19">
        <v>7.5231481481481503E-4</v>
      </c>
      <c r="E6" s="6" t="s">
        <v>85</v>
      </c>
      <c r="F6" s="19">
        <v>6.9444444444444501E-4</v>
      </c>
      <c r="G6" s="19">
        <v>9.2592592592592596E-4</v>
      </c>
      <c r="H6" s="19">
        <v>3.9351851851851901E-4</v>
      </c>
      <c r="I6" s="19">
        <v>6.01851851851852E-4</v>
      </c>
    </row>
    <row r="7" spans="1:9" ht="15" customHeight="1" x14ac:dyDescent="0.3">
      <c r="A7" s="6">
        <v>4</v>
      </c>
      <c r="B7" s="18" t="s">
        <v>108</v>
      </c>
      <c r="C7" s="18" t="s">
        <v>109</v>
      </c>
      <c r="D7" s="19">
        <v>1.5046296296296301E-3</v>
      </c>
      <c r="E7" s="6" t="s">
        <v>85</v>
      </c>
      <c r="F7" s="19">
        <v>6.9444444444444501E-4</v>
      </c>
      <c r="G7" s="19">
        <v>3.4722222222222199E-3</v>
      </c>
      <c r="H7" s="19">
        <v>3.8194444444444501E-4</v>
      </c>
      <c r="I7" s="19">
        <v>6.5972222222222203E-4</v>
      </c>
    </row>
    <row r="8" spans="1:9" ht="15" customHeight="1" x14ac:dyDescent="0.3">
      <c r="A8" s="6">
        <v>5</v>
      </c>
      <c r="B8" s="18" t="s">
        <v>110</v>
      </c>
      <c r="C8" s="18" t="s">
        <v>111</v>
      </c>
      <c r="D8" s="19">
        <v>8.1018518518518505E-4</v>
      </c>
      <c r="E8" s="6" t="s">
        <v>85</v>
      </c>
      <c r="F8" s="19">
        <v>6.9444444444444501E-4</v>
      </c>
      <c r="G8" s="19">
        <v>1.38888888888889E-3</v>
      </c>
      <c r="H8" s="19">
        <v>3.4722222222222202E-4</v>
      </c>
      <c r="I8" s="19">
        <v>5.78703703703704E-4</v>
      </c>
    </row>
    <row r="9" spans="1:9" ht="15" customHeight="1" x14ac:dyDescent="0.3">
      <c r="A9" s="6">
        <v>6</v>
      </c>
      <c r="B9" s="18" t="s">
        <v>112</v>
      </c>
      <c r="C9" s="18" t="s">
        <v>113</v>
      </c>
      <c r="D9" s="19">
        <v>8.7962962962963005E-4</v>
      </c>
      <c r="E9" s="6" t="s">
        <v>85</v>
      </c>
      <c r="F9" s="19">
        <v>8.1018518518518505E-4</v>
      </c>
      <c r="G9" s="19">
        <v>3.4722222222222199E-3</v>
      </c>
      <c r="H9" s="19">
        <v>3.9351851851851901E-4</v>
      </c>
      <c r="I9" s="19">
        <v>7.6388888888888904E-4</v>
      </c>
    </row>
    <row r="10" spans="1:9" ht="15" customHeight="1" x14ac:dyDescent="0.3">
      <c r="A10" s="6">
        <v>7</v>
      </c>
      <c r="B10" s="18" t="s">
        <v>114</v>
      </c>
      <c r="C10" s="18" t="s">
        <v>115</v>
      </c>
      <c r="D10" s="19">
        <v>1.1574074074074099E-3</v>
      </c>
      <c r="E10" s="6" t="s">
        <v>85</v>
      </c>
      <c r="F10" s="19">
        <v>1.0995370370370399E-3</v>
      </c>
      <c r="G10" s="19">
        <v>1.38888888888889E-3</v>
      </c>
      <c r="H10" s="19">
        <v>3.9351851851851901E-4</v>
      </c>
      <c r="I10" s="19">
        <v>7.1759259259259302E-4</v>
      </c>
    </row>
    <row r="11" spans="1:9" ht="15" customHeight="1" x14ac:dyDescent="0.3">
      <c r="A11" s="6">
        <v>8</v>
      </c>
      <c r="B11" s="18" t="s">
        <v>116</v>
      </c>
      <c r="C11" s="18" t="s">
        <v>117</v>
      </c>
      <c r="D11" s="19">
        <v>1.0995370370370399E-3</v>
      </c>
      <c r="E11" s="6" t="s">
        <v>85</v>
      </c>
      <c r="F11" s="19">
        <v>1.1574074074074099E-3</v>
      </c>
      <c r="G11" s="19">
        <v>1.41203703703704E-3</v>
      </c>
      <c r="H11" s="19">
        <v>4.2824074074074102E-4</v>
      </c>
      <c r="I11" s="19">
        <v>6.9444444444444501E-4</v>
      </c>
    </row>
    <row r="12" spans="1:9" ht="26.25" customHeight="1" x14ac:dyDescent="0.3">
      <c r="A12" s="6">
        <v>9</v>
      </c>
      <c r="B12" s="18" t="s">
        <v>118</v>
      </c>
      <c r="C12" s="18" t="s">
        <v>119</v>
      </c>
      <c r="D12" s="19">
        <v>1.44675925925926E-3</v>
      </c>
      <c r="E12" s="6" t="s">
        <v>85</v>
      </c>
      <c r="F12" s="19">
        <v>6.9444444444444501E-4</v>
      </c>
      <c r="G12" s="19">
        <v>7.5231481481481503E-4</v>
      </c>
      <c r="H12" s="19">
        <v>3.5879629629629602E-4</v>
      </c>
      <c r="I12" s="19">
        <v>7.4074074074074103E-4</v>
      </c>
    </row>
    <row r="13" spans="1:9" ht="26.25" customHeight="1" x14ac:dyDescent="0.3">
      <c r="A13" s="6">
        <v>10</v>
      </c>
      <c r="B13" s="18" t="s">
        <v>120</v>
      </c>
      <c r="C13" s="18" t="s">
        <v>121</v>
      </c>
      <c r="D13" s="19">
        <v>2.0833333333333298E-3</v>
      </c>
      <c r="E13" s="6" t="s">
        <v>85</v>
      </c>
      <c r="F13" s="19">
        <v>1.79398148148148E-3</v>
      </c>
      <c r="G13" s="19">
        <v>2.1527777777777799E-3</v>
      </c>
      <c r="H13" s="19">
        <v>4.3981481481481503E-4</v>
      </c>
      <c r="I13" s="19">
        <v>7.5231481481481503E-4</v>
      </c>
    </row>
    <row r="14" spans="1:9" ht="26.25" customHeight="1" x14ac:dyDescent="0.3">
      <c r="A14" s="6">
        <v>11</v>
      </c>
      <c r="B14" s="18" t="s">
        <v>122</v>
      </c>
      <c r="C14" s="18" t="s">
        <v>123</v>
      </c>
      <c r="D14" s="19">
        <v>1.38888888888889E-3</v>
      </c>
      <c r="E14" s="6" t="s">
        <v>85</v>
      </c>
      <c r="F14" s="19">
        <v>1.38888888888889E-3</v>
      </c>
      <c r="G14" s="19">
        <v>4.9189814814814799E-3</v>
      </c>
      <c r="H14" s="19">
        <v>4.7453703703703698E-4</v>
      </c>
      <c r="I14" s="19">
        <v>8.1018518518518505E-4</v>
      </c>
    </row>
    <row r="15" spans="1:9" ht="15" customHeight="1" x14ac:dyDescent="0.3">
      <c r="A15" s="33" t="s">
        <v>71</v>
      </c>
      <c r="B15" s="33"/>
      <c r="C15" s="33"/>
      <c r="D15" s="20">
        <f t="shared" ref="D15:I15" si="0">AVERAGE(D4:D14)</f>
        <v>1.1616161616161619E-3</v>
      </c>
      <c r="E15" s="20">
        <f t="shared" si="0"/>
        <v>1.5335648148148129E-3</v>
      </c>
      <c r="F15" s="20">
        <f t="shared" si="0"/>
        <v>9.3644781144781202E-4</v>
      </c>
      <c r="G15" s="20">
        <f t="shared" si="0"/>
        <v>1.9654882154882159E-3</v>
      </c>
      <c r="H15" s="20">
        <f t="shared" si="0"/>
        <v>3.9667508417508442E-4</v>
      </c>
      <c r="I15" s="20">
        <f t="shared" si="0"/>
        <v>6.8497474747474766E-4</v>
      </c>
    </row>
    <row r="16" spans="1:9" ht="15" customHeight="1" x14ac:dyDescent="0.3">
      <c r="A16" s="33" t="s">
        <v>124</v>
      </c>
      <c r="B16" s="33"/>
      <c r="C16" s="33"/>
      <c r="D16" s="20">
        <f t="shared" ref="D16:I16" si="1">MIN(D4:D14)</f>
        <v>7.5231481481481503E-4</v>
      </c>
      <c r="E16" s="20">
        <f t="shared" si="1"/>
        <v>9.8379629629629598E-4</v>
      </c>
      <c r="F16" s="20">
        <f t="shared" si="1"/>
        <v>5.78703703703704E-4</v>
      </c>
      <c r="G16" s="20">
        <f t="shared" si="1"/>
        <v>6.9444444444444501E-4</v>
      </c>
      <c r="H16" s="20">
        <f t="shared" si="1"/>
        <v>3.4722222222222202E-4</v>
      </c>
      <c r="I16" s="20">
        <f t="shared" si="1"/>
        <v>5.78703703703704E-4</v>
      </c>
    </row>
    <row r="17" spans="1:9" ht="15" customHeight="1" x14ac:dyDescent="0.3">
      <c r="A17" s="33" t="s">
        <v>125</v>
      </c>
      <c r="B17" s="33"/>
      <c r="C17" s="33"/>
      <c r="D17" s="20">
        <f t="shared" ref="D17:I17" si="2">MAX(D4:D14)</f>
        <v>2.0833333333333298E-3</v>
      </c>
      <c r="E17" s="20">
        <f t="shared" si="2"/>
        <v>2.0833333333333298E-3</v>
      </c>
      <c r="F17" s="20">
        <f t="shared" si="2"/>
        <v>1.79398148148148E-3</v>
      </c>
      <c r="G17" s="20">
        <f t="shared" si="2"/>
        <v>4.9189814814814799E-3</v>
      </c>
      <c r="H17" s="20">
        <f t="shared" si="2"/>
        <v>4.7453703703703698E-4</v>
      </c>
      <c r="I17" s="20">
        <f t="shared" si="2"/>
        <v>8.1018518518518505E-4</v>
      </c>
    </row>
    <row r="18" spans="1:9" ht="15" customHeight="1" x14ac:dyDescent="0.3">
      <c r="A18" s="33" t="s">
        <v>126</v>
      </c>
      <c r="B18" s="33"/>
      <c r="C18" s="33"/>
      <c r="D18" s="21">
        <f t="shared" ref="D18:I18" si="3">COUNT(D4:D14)</f>
        <v>11</v>
      </c>
      <c r="E18" s="21">
        <f t="shared" si="3"/>
        <v>2</v>
      </c>
      <c r="F18" s="21">
        <f t="shared" si="3"/>
        <v>11</v>
      </c>
      <c r="G18" s="21">
        <f t="shared" si="3"/>
        <v>11</v>
      </c>
      <c r="H18" s="21">
        <f t="shared" si="3"/>
        <v>11</v>
      </c>
      <c r="I18" s="21">
        <f t="shared" si="3"/>
        <v>11</v>
      </c>
    </row>
    <row r="19" spans="1:9" ht="15" customHeight="1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ht="15" customHeight="1" x14ac:dyDescent="0.3">
      <c r="A20" s="22" t="s">
        <v>127</v>
      </c>
      <c r="B20" s="3"/>
      <c r="C20" s="3"/>
      <c r="D20" s="3"/>
      <c r="E20" s="3"/>
      <c r="F20" s="3"/>
      <c r="G20" s="3"/>
      <c r="H20" s="3"/>
      <c r="I20" s="3"/>
    </row>
    <row r="21" spans="1:9" ht="15" customHeight="1" x14ac:dyDescent="0.3">
      <c r="A21" s="4"/>
      <c r="B21" s="3"/>
      <c r="C21" s="3"/>
      <c r="D21" s="3"/>
      <c r="E21" s="3"/>
      <c r="F21" s="3"/>
      <c r="G21" s="3"/>
      <c r="H21" s="3"/>
      <c r="I21" s="3"/>
    </row>
    <row r="22" spans="1:9" ht="15" customHeight="1" x14ac:dyDescent="0.3">
      <c r="A22" s="4" t="s">
        <v>128</v>
      </c>
      <c r="B22" s="3"/>
      <c r="C22" s="3"/>
      <c r="D22" s="3"/>
      <c r="E22" s="3"/>
      <c r="F22" s="3"/>
      <c r="G22" s="3"/>
      <c r="H22" s="3"/>
      <c r="I22" s="3"/>
    </row>
    <row r="23" spans="1:9" ht="15" customHeight="1" x14ac:dyDescent="0.3">
      <c r="A23" s="4"/>
      <c r="B23" s="3"/>
      <c r="C23" s="3"/>
      <c r="D23" s="3"/>
      <c r="E23" s="3"/>
      <c r="F23" s="3"/>
      <c r="G23" s="3"/>
      <c r="H23" s="3"/>
      <c r="I23" s="3"/>
    </row>
    <row r="24" spans="1:9" ht="15" customHeight="1" x14ac:dyDescent="0.3">
      <c r="A24" s="4" t="s">
        <v>129</v>
      </c>
      <c r="B24" s="3"/>
      <c r="C24" s="3"/>
      <c r="D24" s="3"/>
      <c r="E24" s="3"/>
      <c r="F24" s="3"/>
      <c r="G24" s="3"/>
      <c r="H24" s="3"/>
      <c r="I24" s="3"/>
    </row>
  </sheetData>
  <mergeCells count="8">
    <mergeCell ref="F2:G2"/>
    <mergeCell ref="H2:I2"/>
    <mergeCell ref="A15:C15"/>
    <mergeCell ref="A16:C16"/>
    <mergeCell ref="A17:C17"/>
    <mergeCell ref="A18:C18"/>
    <mergeCell ref="A2:C2"/>
    <mergeCell ref="D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zoomScaleNormal="100" workbookViewId="0">
      <selection activeCell="D32" sqref="D32"/>
    </sheetView>
  </sheetViews>
  <sheetFormatPr baseColWidth="10" defaultColWidth="8.6640625" defaultRowHeight="14.4" x14ac:dyDescent="0.3"/>
  <cols>
    <col min="1" max="1" width="6" style="1" customWidth="1"/>
    <col min="2" max="2" width="30" style="1" customWidth="1"/>
    <col min="3" max="8" width="13" style="1" customWidth="1"/>
  </cols>
  <sheetData>
    <row r="1" spans="1:8" ht="15.75" customHeight="1" x14ac:dyDescent="0.3">
      <c r="A1" s="2" t="s">
        <v>130</v>
      </c>
      <c r="B1" s="3"/>
      <c r="C1" s="3"/>
      <c r="D1" s="3"/>
      <c r="E1" s="3"/>
      <c r="F1" s="3"/>
      <c r="G1" s="3"/>
      <c r="H1" s="3"/>
    </row>
    <row r="2" spans="1:8" ht="15" customHeight="1" x14ac:dyDescent="0.3">
      <c r="A2" s="3"/>
      <c r="B2" s="3"/>
      <c r="C2" s="34" t="s">
        <v>97</v>
      </c>
      <c r="D2" s="34"/>
      <c r="E2" s="34" t="s">
        <v>98</v>
      </c>
      <c r="F2" s="34"/>
      <c r="G2" s="34" t="s">
        <v>99</v>
      </c>
      <c r="H2" s="34"/>
    </row>
    <row r="3" spans="1:8" ht="26.25" customHeight="1" x14ac:dyDescent="0.3">
      <c r="A3" s="7" t="s">
        <v>44</v>
      </c>
      <c r="B3" s="7" t="s">
        <v>45</v>
      </c>
      <c r="C3" s="7" t="s">
        <v>50</v>
      </c>
      <c r="D3" s="7" t="s">
        <v>101</v>
      </c>
      <c r="E3" s="7" t="s">
        <v>50</v>
      </c>
      <c r="F3" s="7" t="s">
        <v>101</v>
      </c>
      <c r="G3" s="7" t="s">
        <v>50</v>
      </c>
      <c r="H3" s="7" t="s">
        <v>101</v>
      </c>
    </row>
    <row r="4" spans="1:8" ht="15" customHeight="1" x14ac:dyDescent="0.3">
      <c r="A4" s="23">
        <f>Times!A4</f>
        <v>1</v>
      </c>
      <c r="B4" s="24" t="str">
        <f>Times!B4</f>
        <v>Random qubit state</v>
      </c>
      <c r="C4" s="23" t="str">
        <f>IF(ISNUMBER(Times!D4),"✓","✗")</f>
        <v>✓</v>
      </c>
      <c r="D4" s="23" t="str">
        <f>IF(ISNUMBER(Times!E4),"✓","✗")</f>
        <v>✓</v>
      </c>
      <c r="E4" s="23" t="str">
        <f>IF(ISNUMBER(Times!F4),"✓","✗")</f>
        <v>✓</v>
      </c>
      <c r="F4" s="23" t="str">
        <f>IF(ISNUMBER(Times!G4),"✓","✗")</f>
        <v>✓</v>
      </c>
      <c r="G4" s="23" t="str">
        <f>IF(ISNUMBER(Times!H4),"✓","✗")</f>
        <v>✓</v>
      </c>
      <c r="H4" s="23" t="str">
        <f>IF(ISNUMBER(Times!I4),"✓","✗")</f>
        <v>✓</v>
      </c>
    </row>
    <row r="5" spans="1:8" ht="15" customHeight="1" x14ac:dyDescent="0.3">
      <c r="A5" s="23">
        <f>Times!A5</f>
        <v>2</v>
      </c>
      <c r="B5" s="24" t="str">
        <f>Times!B5</f>
        <v>Superposition of 5 qubits</v>
      </c>
      <c r="C5" s="23" t="str">
        <f>IF(ISNUMBER(Times!D5),"✓","✗")</f>
        <v>✓</v>
      </c>
      <c r="D5" s="23" t="str">
        <f>IF(ISNUMBER(Times!E5),"✓","✗")</f>
        <v>✓</v>
      </c>
      <c r="E5" s="23" t="str">
        <f>IF(ISNUMBER(Times!F5),"✓","✗")</f>
        <v>✓</v>
      </c>
      <c r="F5" s="23" t="str">
        <f>IF(ISNUMBER(Times!G5),"✓","✗")</f>
        <v>✓</v>
      </c>
      <c r="G5" s="23" t="str">
        <f>IF(ISNUMBER(Times!H5),"✓","✗")</f>
        <v>✓</v>
      </c>
      <c r="H5" s="23" t="str">
        <f>IF(ISNUMBER(Times!I5),"✓","✗")</f>
        <v>✓</v>
      </c>
    </row>
    <row r="6" spans="1:8" ht="15" customHeight="1" x14ac:dyDescent="0.3">
      <c r="A6" s="23">
        <f>Times!A6</f>
        <v>3</v>
      </c>
      <c r="B6" s="24" t="str">
        <f>Times!B6</f>
        <v>Bell state</v>
      </c>
      <c r="C6" s="23" t="str">
        <f>IF(ISNUMBER(Times!D6),"✓","✗")</f>
        <v>✓</v>
      </c>
      <c r="D6" s="23" t="str">
        <f>IF(ISNUMBER(Times!E6),"✓","✗")</f>
        <v>✗</v>
      </c>
      <c r="E6" s="23" t="str">
        <f>IF(ISNUMBER(Times!F6),"✓","✗")</f>
        <v>✓</v>
      </c>
      <c r="F6" s="23" t="str">
        <f>IF(ISNUMBER(Times!G6),"✓","✗")</f>
        <v>✓</v>
      </c>
      <c r="G6" s="23" t="str">
        <f>IF(ISNUMBER(Times!H6),"✓","✗")</f>
        <v>✓</v>
      </c>
      <c r="H6" s="23" t="str">
        <f>IF(ISNUMBER(Times!I6),"✓","✗")</f>
        <v>✓</v>
      </c>
    </row>
    <row r="7" spans="1:8" ht="15" customHeight="1" x14ac:dyDescent="0.3">
      <c r="A7" s="23">
        <f>Times!A7</f>
        <v>4</v>
      </c>
      <c r="B7" s="24" t="str">
        <f>Times!B7</f>
        <v>Addition (2+4)</v>
      </c>
      <c r="C7" s="23" t="str">
        <f>IF(ISNUMBER(Times!D7),"✓","✗")</f>
        <v>✓</v>
      </c>
      <c r="D7" s="23" t="str">
        <f>IF(ISNUMBER(Times!E7),"✓","✗")</f>
        <v>✗</v>
      </c>
      <c r="E7" s="23" t="str">
        <f>IF(ISNUMBER(Times!F7),"✓","✗")</f>
        <v>✓</v>
      </c>
      <c r="F7" s="23" t="str">
        <f>IF(ISNUMBER(Times!G7),"✓","✗")</f>
        <v>✓</v>
      </c>
      <c r="G7" s="23" t="str">
        <f>IF(ISNUMBER(Times!H7),"✓","✗")</f>
        <v>✓</v>
      </c>
      <c r="H7" s="23" t="str">
        <f>IF(ISNUMBER(Times!I7),"✓","✗")</f>
        <v>✓</v>
      </c>
    </row>
    <row r="8" spans="1:8" ht="15" customHeight="1" x14ac:dyDescent="0.3">
      <c r="A8" s="23">
        <f>Times!A8</f>
        <v>5</v>
      </c>
      <c r="B8" s="24" t="str">
        <f>Times!B8</f>
        <v>GHZ state</v>
      </c>
      <c r="C8" s="23" t="str">
        <f>IF(ISNUMBER(Times!D8),"✓","✗")</f>
        <v>✓</v>
      </c>
      <c r="D8" s="23" t="str">
        <f>IF(ISNUMBER(Times!E8),"✓","✗")</f>
        <v>✗</v>
      </c>
      <c r="E8" s="23" t="str">
        <f>IF(ISNUMBER(Times!F8),"✓","✗")</f>
        <v>✓</v>
      </c>
      <c r="F8" s="23" t="str">
        <f>IF(ISNUMBER(Times!G8),"✓","✗")</f>
        <v>✓</v>
      </c>
      <c r="G8" s="23" t="str">
        <f>IF(ISNUMBER(Times!H8),"✓","✗")</f>
        <v>✓</v>
      </c>
      <c r="H8" s="23" t="str">
        <f>IF(ISNUMBER(Times!I8),"✓","✗")</f>
        <v>✓</v>
      </c>
    </row>
    <row r="9" spans="1:8" ht="15" customHeight="1" x14ac:dyDescent="0.3">
      <c r="A9" s="23">
        <f>Times!A9</f>
        <v>6</v>
      </c>
      <c r="B9" s="24" t="str">
        <f>Times!B9</f>
        <v>W state</v>
      </c>
      <c r="C9" s="23" t="str">
        <f>IF(ISNUMBER(Times!D9),"✓","✗")</f>
        <v>✓</v>
      </c>
      <c r="D9" s="23" t="str">
        <f>IF(ISNUMBER(Times!E9),"✓","✗")</f>
        <v>✗</v>
      </c>
      <c r="E9" s="23" t="str">
        <f>IF(ISNUMBER(Times!F9),"✓","✗")</f>
        <v>✓</v>
      </c>
      <c r="F9" s="23" t="str">
        <f>IF(ISNUMBER(Times!G9),"✓","✗")</f>
        <v>✓</v>
      </c>
      <c r="G9" s="23" t="str">
        <f>IF(ISNUMBER(Times!H9),"✓","✗")</f>
        <v>✓</v>
      </c>
      <c r="H9" s="23" t="str">
        <f>IF(ISNUMBER(Times!I9),"✓","✗")</f>
        <v>✓</v>
      </c>
    </row>
    <row r="10" spans="1:8" ht="15" customHeight="1" x14ac:dyDescent="0.3">
      <c r="A10" s="23">
        <f>Times!A10</f>
        <v>7</v>
      </c>
      <c r="B10" s="24" t="str">
        <f>Times!B10</f>
        <v>Phase oracle</v>
      </c>
      <c r="C10" s="23" t="str">
        <f>IF(ISNUMBER(Times!D10),"✓","✗")</f>
        <v>✓</v>
      </c>
      <c r="D10" s="23" t="str">
        <f>IF(ISNUMBER(Times!E10),"✓","✗")</f>
        <v>✗</v>
      </c>
      <c r="E10" s="23" t="str">
        <f>IF(ISNUMBER(Times!F10),"✓","✗")</f>
        <v>✓</v>
      </c>
      <c r="F10" s="23" t="str">
        <f>IF(ISNUMBER(Times!G10),"✓","✗")</f>
        <v>✓</v>
      </c>
      <c r="G10" s="23" t="str">
        <f>IF(ISNUMBER(Times!H10),"✓","✗")</f>
        <v>✓</v>
      </c>
      <c r="H10" s="23" t="str">
        <f>IF(ISNUMBER(Times!I10),"✓","✗")</f>
        <v>✓</v>
      </c>
    </row>
    <row r="11" spans="1:8" ht="15" customHeight="1" x14ac:dyDescent="0.3">
      <c r="A11" s="23">
        <f>Times!A11</f>
        <v>8</v>
      </c>
      <c r="B11" s="24" t="str">
        <f>Times!B11</f>
        <v>Boolean oracle</v>
      </c>
      <c r="C11" s="23" t="str">
        <f>IF(ISNUMBER(Times!D11),"✓","✗")</f>
        <v>✓</v>
      </c>
      <c r="D11" s="23" t="str">
        <f>IF(ISNUMBER(Times!E11),"✓","✗")</f>
        <v>✗</v>
      </c>
      <c r="E11" s="23" t="str">
        <f>IF(ISNUMBER(Times!F11),"✓","✗")</f>
        <v>✓</v>
      </c>
      <c r="F11" s="23" t="str">
        <f>IF(ISNUMBER(Times!G11),"✓","✗")</f>
        <v>✓</v>
      </c>
      <c r="G11" s="23" t="str">
        <f>IF(ISNUMBER(Times!H11),"✓","✗")</f>
        <v>✓</v>
      </c>
      <c r="H11" s="23" t="str">
        <f>IF(ISNUMBER(Times!I11),"✓","✗")</f>
        <v>✓</v>
      </c>
    </row>
    <row r="12" spans="1:8" ht="15" customHeight="1" x14ac:dyDescent="0.3">
      <c r="A12" s="23">
        <f>Times!A12</f>
        <v>9</v>
      </c>
      <c r="B12" s="24" t="str">
        <f>Times!B12</f>
        <v>Quantum Fourier transform</v>
      </c>
      <c r="C12" s="23" t="str">
        <f>IF(ISNUMBER(Times!D12),"✓","✗")</f>
        <v>✓</v>
      </c>
      <c r="D12" s="23" t="str">
        <f>IF(ISNUMBER(Times!E12),"✓","✗")</f>
        <v>✗</v>
      </c>
      <c r="E12" s="23" t="str">
        <f>IF(ISNUMBER(Times!F12),"✓","✗")</f>
        <v>✓</v>
      </c>
      <c r="F12" s="23" t="str">
        <f>IF(ISNUMBER(Times!G12),"✓","✗")</f>
        <v>✓</v>
      </c>
      <c r="G12" s="23" t="str">
        <f>IF(ISNUMBER(Times!H12),"✓","✗")</f>
        <v>✓</v>
      </c>
      <c r="H12" s="23" t="str">
        <f>IF(ISNUMBER(Times!I12),"✓","✗")</f>
        <v>✓</v>
      </c>
    </row>
    <row r="13" spans="1:8" ht="15" customHeight="1" x14ac:dyDescent="0.3">
      <c r="A13" s="23">
        <f>Times!A13</f>
        <v>10</v>
      </c>
      <c r="B13" s="24" t="str">
        <f>Times!B13</f>
        <v>QAOA for MaxCut</v>
      </c>
      <c r="C13" s="23" t="str">
        <f>IF(ISNUMBER(Times!D13),"✓","✗")</f>
        <v>✓</v>
      </c>
      <c r="D13" s="23" t="str">
        <f>IF(ISNUMBER(Times!E13),"✓","✗")</f>
        <v>✗</v>
      </c>
      <c r="E13" s="23" t="str">
        <f>IF(ISNUMBER(Times!F13),"✓","✗")</f>
        <v>✓</v>
      </c>
      <c r="F13" s="23" t="str">
        <f>IF(ISNUMBER(Times!G13),"✓","✗")</f>
        <v>✓</v>
      </c>
      <c r="G13" s="23" t="str">
        <f>IF(ISNUMBER(Times!H13),"✓","✗")</f>
        <v>✓</v>
      </c>
      <c r="H13" s="23" t="str">
        <f>IF(ISNUMBER(Times!I13),"✓","✗")</f>
        <v>✓</v>
      </c>
    </row>
    <row r="14" spans="1:8" ht="15" customHeight="1" x14ac:dyDescent="0.3">
      <c r="A14" s="23">
        <f>Times!A14</f>
        <v>11</v>
      </c>
      <c r="B14" s="24" t="str">
        <f>Times!B14</f>
        <v>Grover's search</v>
      </c>
      <c r="C14" s="23" t="str">
        <f>IF(ISNUMBER(Times!D14),"✓","✗")</f>
        <v>✓</v>
      </c>
      <c r="D14" s="23" t="str">
        <f>IF(ISNUMBER(Times!E14),"✓","✗")</f>
        <v>✗</v>
      </c>
      <c r="E14" s="23" t="str">
        <f>IF(ISNUMBER(Times!F14),"✓","✗")</f>
        <v>✓</v>
      </c>
      <c r="F14" s="23" t="str">
        <f>IF(ISNUMBER(Times!G14),"✓","✗")</f>
        <v>✓</v>
      </c>
      <c r="G14" s="23" t="str">
        <f>IF(ISNUMBER(Times!H14),"✓","✗")</f>
        <v>✓</v>
      </c>
      <c r="H14" s="23" t="str">
        <f>IF(ISNUMBER(Times!I14),"✓","✗")</f>
        <v>✓</v>
      </c>
    </row>
    <row r="15" spans="1:8" ht="15" customHeight="1" x14ac:dyDescent="0.3">
      <c r="A15" s="33" t="s">
        <v>131</v>
      </c>
      <c r="B15" s="33"/>
      <c r="C15" s="7">
        <f t="shared" ref="C15:H15" si="0">COUNTIF(C4:C14,"✓")</f>
        <v>11</v>
      </c>
      <c r="D15" s="7">
        <f t="shared" si="0"/>
        <v>2</v>
      </c>
      <c r="E15" s="7">
        <f t="shared" si="0"/>
        <v>11</v>
      </c>
      <c r="F15" s="7">
        <f t="shared" si="0"/>
        <v>11</v>
      </c>
      <c r="G15" s="7">
        <f t="shared" si="0"/>
        <v>11</v>
      </c>
      <c r="H15" s="7">
        <f t="shared" si="0"/>
        <v>11</v>
      </c>
    </row>
    <row r="16" spans="1:8" ht="15" customHeight="1" x14ac:dyDescent="0.3">
      <c r="A16" s="33" t="s">
        <v>132</v>
      </c>
      <c r="B16" s="33"/>
      <c r="C16" s="37">
        <f>C15+D15</f>
        <v>13</v>
      </c>
      <c r="D16" s="37"/>
      <c r="E16" s="37">
        <f>E15+F15</f>
        <v>22</v>
      </c>
      <c r="F16" s="37"/>
      <c r="G16" s="37">
        <f>G15+H15</f>
        <v>22</v>
      </c>
      <c r="H16" s="37"/>
    </row>
  </sheetData>
  <mergeCells count="8">
    <mergeCell ref="C2:D2"/>
    <mergeCell ref="E2:F2"/>
    <mergeCell ref="G2:H2"/>
    <mergeCell ref="A15:B15"/>
    <mergeCell ref="A16:B16"/>
    <mergeCell ref="C16:D16"/>
    <mergeCell ref="E16:F16"/>
    <mergeCell ref="G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tabSelected="1" zoomScaleNormal="100" workbookViewId="0">
      <pane xSplit="2" ySplit="4" topLeftCell="C12" activePane="bottomRight" state="frozen"/>
      <selection pane="topRight" activeCell="C1" sqref="C1"/>
      <selection pane="bottomLeft" activeCell="A5" sqref="A5"/>
      <selection pane="bottomRight" activeCell="F34" sqref="F34"/>
    </sheetView>
  </sheetViews>
  <sheetFormatPr baseColWidth="10" defaultColWidth="8.6640625" defaultRowHeight="14.4" x14ac:dyDescent="0.3"/>
  <cols>
    <col min="1" max="1" width="38" style="1" customWidth="1"/>
    <col min="2" max="2" width="14" style="1" customWidth="1"/>
    <col min="3" max="3" width="12" style="1" customWidth="1"/>
    <col min="4" max="4" width="10" style="1" customWidth="1"/>
    <col min="5" max="5" width="13" style="1" customWidth="1"/>
    <col min="6" max="6" width="52" style="1" customWidth="1"/>
    <col min="7" max="9" width="13" style="1" customWidth="1"/>
    <col min="10" max="11" width="11" style="1" customWidth="1"/>
  </cols>
  <sheetData>
    <row r="1" spans="1:11" ht="15.75" customHeight="1" x14ac:dyDescent="0.3">
      <c r="A1" s="2" t="s">
        <v>133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" customHeight="1" x14ac:dyDescent="0.3">
      <c r="A2" s="4" t="s">
        <v>134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26.25" customHeight="1" x14ac:dyDescent="0.3">
      <c r="A4" s="7" t="s">
        <v>45</v>
      </c>
      <c r="B4" s="7" t="s">
        <v>46</v>
      </c>
      <c r="C4" s="7" t="s">
        <v>135</v>
      </c>
      <c r="D4" s="7" t="s">
        <v>136</v>
      </c>
      <c r="E4" s="7" t="s">
        <v>137</v>
      </c>
      <c r="F4" s="7" t="s">
        <v>138</v>
      </c>
      <c r="G4" s="7" t="s">
        <v>139</v>
      </c>
      <c r="H4" s="7" t="s">
        <v>140</v>
      </c>
      <c r="I4" s="7" t="s">
        <v>141</v>
      </c>
      <c r="J4" s="7" t="s">
        <v>142</v>
      </c>
      <c r="K4" s="7" t="s">
        <v>143</v>
      </c>
    </row>
    <row r="5" spans="1:11" ht="15" customHeight="1" x14ac:dyDescent="0.3">
      <c r="A5" s="18" t="s">
        <v>144</v>
      </c>
      <c r="B5" s="6" t="s">
        <v>50</v>
      </c>
      <c r="C5" s="6" t="str">
        <f t="shared" ref="C5:C26" si="0">IF(D5&gt;0,"Yes","No")</f>
        <v>No</v>
      </c>
      <c r="D5" s="6">
        <v>0</v>
      </c>
      <c r="E5" s="6" t="s">
        <v>85</v>
      </c>
      <c r="F5" s="18" t="s">
        <v>85</v>
      </c>
      <c r="G5" s="6" t="s">
        <v>85</v>
      </c>
      <c r="H5" s="6">
        <v>2</v>
      </c>
      <c r="I5" s="6">
        <v>2</v>
      </c>
      <c r="J5" s="8">
        <f t="shared" ref="J5:J26" si="1">I5/H5</f>
        <v>1</v>
      </c>
      <c r="K5" s="8">
        <v>1</v>
      </c>
    </row>
    <row r="6" spans="1:11" ht="15" customHeight="1" x14ac:dyDescent="0.3">
      <c r="A6" s="18" t="s">
        <v>144</v>
      </c>
      <c r="B6" s="6" t="s">
        <v>51</v>
      </c>
      <c r="C6" s="6" t="str">
        <f t="shared" si="0"/>
        <v>No</v>
      </c>
      <c r="D6" s="6">
        <v>0</v>
      </c>
      <c r="E6" s="6" t="s">
        <v>85</v>
      </c>
      <c r="F6" s="18" t="s">
        <v>85</v>
      </c>
      <c r="G6" s="6" t="s">
        <v>85</v>
      </c>
      <c r="H6" s="6">
        <v>2</v>
      </c>
      <c r="I6" s="6">
        <v>2</v>
      </c>
      <c r="J6" s="8">
        <f t="shared" si="1"/>
        <v>1</v>
      </c>
      <c r="K6" s="8">
        <v>1</v>
      </c>
    </row>
    <row r="7" spans="1:11" ht="15" customHeight="1" x14ac:dyDescent="0.3">
      <c r="A7" s="18" t="s">
        <v>145</v>
      </c>
      <c r="B7" s="6" t="s">
        <v>50</v>
      </c>
      <c r="C7" s="6" t="str">
        <f t="shared" si="0"/>
        <v>No</v>
      </c>
      <c r="D7" s="6">
        <v>0</v>
      </c>
      <c r="E7" s="6" t="s">
        <v>85</v>
      </c>
      <c r="F7" s="18" t="s">
        <v>85</v>
      </c>
      <c r="G7" s="6" t="s">
        <v>85</v>
      </c>
      <c r="H7" s="6">
        <v>2</v>
      </c>
      <c r="I7" s="6">
        <v>2</v>
      </c>
      <c r="J7" s="8">
        <f t="shared" si="1"/>
        <v>1</v>
      </c>
      <c r="K7" s="8">
        <v>1</v>
      </c>
    </row>
    <row r="8" spans="1:11" ht="15" customHeight="1" x14ac:dyDescent="0.3">
      <c r="A8" s="18" t="s">
        <v>145</v>
      </c>
      <c r="B8" s="6" t="s">
        <v>51</v>
      </c>
      <c r="C8" s="6" t="str">
        <f t="shared" si="0"/>
        <v>No</v>
      </c>
      <c r="D8" s="6">
        <v>0</v>
      </c>
      <c r="E8" s="6" t="s">
        <v>85</v>
      </c>
      <c r="F8" s="18" t="s">
        <v>85</v>
      </c>
      <c r="G8" s="6" t="s">
        <v>85</v>
      </c>
      <c r="H8" s="6">
        <v>2</v>
      </c>
      <c r="I8" s="6">
        <v>2</v>
      </c>
      <c r="J8" s="8">
        <f t="shared" si="1"/>
        <v>1</v>
      </c>
      <c r="K8" s="8">
        <v>1</v>
      </c>
    </row>
    <row r="9" spans="1:11" ht="15" customHeight="1" x14ac:dyDescent="0.3">
      <c r="A9" s="18" t="s">
        <v>146</v>
      </c>
      <c r="B9" s="6" t="s">
        <v>50</v>
      </c>
      <c r="C9" s="6" t="str">
        <f t="shared" si="0"/>
        <v>No</v>
      </c>
      <c r="D9" s="6">
        <v>0</v>
      </c>
      <c r="E9" s="6" t="s">
        <v>85</v>
      </c>
      <c r="F9" s="18" t="s">
        <v>85</v>
      </c>
      <c r="G9" s="6" t="s">
        <v>85</v>
      </c>
      <c r="H9" s="6">
        <v>3</v>
      </c>
      <c r="I9" s="6">
        <v>3</v>
      </c>
      <c r="J9" s="8">
        <f t="shared" si="1"/>
        <v>1</v>
      </c>
      <c r="K9" s="8">
        <v>1</v>
      </c>
    </row>
    <row r="10" spans="1:11" ht="15" customHeight="1" x14ac:dyDescent="0.3">
      <c r="A10" s="18" t="s">
        <v>146</v>
      </c>
      <c r="B10" s="6" t="s">
        <v>51</v>
      </c>
      <c r="C10" s="6" t="str">
        <f t="shared" si="0"/>
        <v>No</v>
      </c>
      <c r="D10" s="6">
        <v>0</v>
      </c>
      <c r="E10" s="6" t="s">
        <v>85</v>
      </c>
      <c r="F10" s="18" t="s">
        <v>85</v>
      </c>
      <c r="G10" s="6" t="s">
        <v>85</v>
      </c>
      <c r="H10" s="6">
        <v>3</v>
      </c>
      <c r="I10" s="6">
        <v>3</v>
      </c>
      <c r="J10" s="8">
        <f t="shared" si="1"/>
        <v>1</v>
      </c>
      <c r="K10" s="8">
        <v>1</v>
      </c>
    </row>
    <row r="11" spans="1:11" ht="26.25" customHeight="1" x14ac:dyDescent="0.3">
      <c r="A11" s="18" t="s">
        <v>147</v>
      </c>
      <c r="B11" s="6" t="s">
        <v>50</v>
      </c>
      <c r="C11" s="6" t="str">
        <f t="shared" si="0"/>
        <v>Yes</v>
      </c>
      <c r="D11" s="6">
        <v>2</v>
      </c>
      <c r="E11" s="6" t="s">
        <v>6</v>
      </c>
      <c r="F11" s="18" t="s">
        <v>148</v>
      </c>
      <c r="G11" s="6" t="s">
        <v>149</v>
      </c>
      <c r="H11" s="6">
        <v>6</v>
      </c>
      <c r="I11" s="6">
        <v>4</v>
      </c>
      <c r="J11" s="8">
        <f t="shared" si="1"/>
        <v>0.66666666666666663</v>
      </c>
      <c r="K11" s="8">
        <v>1</v>
      </c>
    </row>
    <row r="12" spans="1:11" ht="26.25" customHeight="1" x14ac:dyDescent="0.3">
      <c r="A12" s="18" t="s">
        <v>147</v>
      </c>
      <c r="B12" s="6" t="s">
        <v>51</v>
      </c>
      <c r="C12" s="6" t="str">
        <f t="shared" si="0"/>
        <v>Yes</v>
      </c>
      <c r="D12" s="6">
        <v>1</v>
      </c>
      <c r="E12" s="6" t="s">
        <v>6</v>
      </c>
      <c r="F12" s="18" t="s">
        <v>150</v>
      </c>
      <c r="G12" s="6" t="s">
        <v>149</v>
      </c>
      <c r="H12" s="6">
        <v>6</v>
      </c>
      <c r="I12" s="6">
        <v>4</v>
      </c>
      <c r="J12" s="8">
        <f t="shared" si="1"/>
        <v>0.66666666666666663</v>
      </c>
      <c r="K12" s="8">
        <v>1</v>
      </c>
    </row>
    <row r="13" spans="1:11" ht="15" customHeight="1" x14ac:dyDescent="0.3">
      <c r="A13" s="18" t="s">
        <v>151</v>
      </c>
      <c r="B13" s="6" t="s">
        <v>50</v>
      </c>
      <c r="C13" s="6" t="str">
        <f t="shared" si="0"/>
        <v>No</v>
      </c>
      <c r="D13" s="6">
        <v>0</v>
      </c>
      <c r="E13" s="6" t="s">
        <v>85</v>
      </c>
      <c r="F13" s="18" t="s">
        <v>85</v>
      </c>
      <c r="G13" s="6" t="s">
        <v>85</v>
      </c>
      <c r="H13" s="6">
        <v>3</v>
      </c>
      <c r="I13" s="6">
        <v>3</v>
      </c>
      <c r="J13" s="8">
        <f t="shared" si="1"/>
        <v>1</v>
      </c>
      <c r="K13" s="8">
        <v>1</v>
      </c>
    </row>
    <row r="14" spans="1:11" ht="15" customHeight="1" x14ac:dyDescent="0.3">
      <c r="A14" s="18" t="s">
        <v>151</v>
      </c>
      <c r="B14" s="6" t="s">
        <v>51</v>
      </c>
      <c r="C14" s="6" t="str">
        <f t="shared" si="0"/>
        <v>No</v>
      </c>
      <c r="D14" s="6">
        <v>0</v>
      </c>
      <c r="E14" s="6" t="s">
        <v>85</v>
      </c>
      <c r="F14" s="18" t="s">
        <v>85</v>
      </c>
      <c r="G14" s="6" t="s">
        <v>85</v>
      </c>
      <c r="H14" s="6">
        <v>3</v>
      </c>
      <c r="I14" s="6">
        <v>3</v>
      </c>
      <c r="J14" s="8">
        <f t="shared" si="1"/>
        <v>1</v>
      </c>
      <c r="K14" s="8">
        <v>1</v>
      </c>
    </row>
    <row r="15" spans="1:11" ht="15" customHeight="1" x14ac:dyDescent="0.3">
      <c r="A15" s="18" t="s">
        <v>152</v>
      </c>
      <c r="B15" s="6" t="s">
        <v>50</v>
      </c>
      <c r="C15" s="6" t="str">
        <f t="shared" si="0"/>
        <v>No</v>
      </c>
      <c r="D15" s="6">
        <v>0</v>
      </c>
      <c r="E15" s="6" t="s">
        <v>85</v>
      </c>
      <c r="F15" s="18" t="s">
        <v>85</v>
      </c>
      <c r="G15" s="6" t="s">
        <v>85</v>
      </c>
      <c r="H15" s="6">
        <v>3</v>
      </c>
      <c r="I15" s="6">
        <v>3</v>
      </c>
      <c r="J15" s="8">
        <f t="shared" si="1"/>
        <v>1</v>
      </c>
      <c r="K15" s="8">
        <v>1</v>
      </c>
    </row>
    <row r="16" spans="1:11" ht="15" customHeight="1" x14ac:dyDescent="0.3">
      <c r="A16" s="18" t="s">
        <v>152</v>
      </c>
      <c r="B16" s="6" t="s">
        <v>51</v>
      </c>
      <c r="C16" s="6" t="str">
        <f t="shared" si="0"/>
        <v>No</v>
      </c>
      <c r="D16" s="6">
        <v>0</v>
      </c>
      <c r="E16" s="6" t="s">
        <v>85</v>
      </c>
      <c r="F16" s="18" t="s">
        <v>85</v>
      </c>
      <c r="G16" s="6" t="s">
        <v>85</v>
      </c>
      <c r="H16" s="6">
        <v>3</v>
      </c>
      <c r="I16" s="6">
        <v>3</v>
      </c>
      <c r="J16" s="8">
        <f t="shared" si="1"/>
        <v>1</v>
      </c>
      <c r="K16" s="8">
        <v>1</v>
      </c>
    </row>
    <row r="17" spans="1:11" ht="15" customHeight="1" x14ac:dyDescent="0.3">
      <c r="A17" s="18" t="s">
        <v>153</v>
      </c>
      <c r="B17" s="6" t="s">
        <v>50</v>
      </c>
      <c r="C17" s="6" t="str">
        <f t="shared" si="0"/>
        <v>No</v>
      </c>
      <c r="D17" s="6">
        <v>0</v>
      </c>
      <c r="E17" s="6" t="s">
        <v>85</v>
      </c>
      <c r="F17" s="18" t="s">
        <v>85</v>
      </c>
      <c r="G17" s="6" t="s">
        <v>85</v>
      </c>
      <c r="H17" s="6">
        <v>3</v>
      </c>
      <c r="I17" s="6">
        <v>3</v>
      </c>
      <c r="J17" s="8">
        <f t="shared" si="1"/>
        <v>1</v>
      </c>
      <c r="K17" s="8">
        <v>1</v>
      </c>
    </row>
    <row r="18" spans="1:11" ht="15" customHeight="1" x14ac:dyDescent="0.3">
      <c r="A18" s="18" t="s">
        <v>153</v>
      </c>
      <c r="B18" s="6" t="s">
        <v>51</v>
      </c>
      <c r="C18" s="6" t="str">
        <f t="shared" si="0"/>
        <v>Yes</v>
      </c>
      <c r="D18" s="6">
        <v>1</v>
      </c>
      <c r="E18" s="6" t="s">
        <v>6</v>
      </c>
      <c r="F18" s="18" t="s">
        <v>154</v>
      </c>
      <c r="G18" s="6" t="s">
        <v>149</v>
      </c>
      <c r="H18" s="6">
        <v>3</v>
      </c>
      <c r="I18" s="6">
        <v>3</v>
      </c>
      <c r="J18" s="8">
        <f t="shared" si="1"/>
        <v>1</v>
      </c>
      <c r="K18" s="8">
        <v>1</v>
      </c>
    </row>
    <row r="19" spans="1:11" ht="15" customHeight="1" x14ac:dyDescent="0.3">
      <c r="A19" s="18" t="s">
        <v>155</v>
      </c>
      <c r="B19" s="6" t="s">
        <v>50</v>
      </c>
      <c r="C19" s="6" t="str">
        <f t="shared" si="0"/>
        <v>No</v>
      </c>
      <c r="D19" s="6">
        <v>0</v>
      </c>
      <c r="E19" s="6" t="s">
        <v>85</v>
      </c>
      <c r="F19" s="18" t="s">
        <v>85</v>
      </c>
      <c r="G19" s="6" t="s">
        <v>85</v>
      </c>
      <c r="H19" s="6">
        <v>3</v>
      </c>
      <c r="I19" s="6">
        <v>3</v>
      </c>
      <c r="J19" s="8">
        <f t="shared" si="1"/>
        <v>1</v>
      </c>
      <c r="K19" s="8">
        <v>1</v>
      </c>
    </row>
    <row r="20" spans="1:11" ht="26.25" customHeight="1" x14ac:dyDescent="0.3">
      <c r="A20" s="18" t="s">
        <v>155</v>
      </c>
      <c r="B20" s="6" t="s">
        <v>51</v>
      </c>
      <c r="C20" s="6" t="str">
        <f t="shared" si="0"/>
        <v>Yes</v>
      </c>
      <c r="D20" s="6">
        <v>2</v>
      </c>
      <c r="E20" s="6" t="s">
        <v>6</v>
      </c>
      <c r="F20" s="30" t="s">
        <v>168</v>
      </c>
      <c r="G20" s="6" t="s">
        <v>149</v>
      </c>
      <c r="H20" s="6">
        <v>3</v>
      </c>
      <c r="I20" s="6">
        <v>3</v>
      </c>
      <c r="J20" s="8">
        <f t="shared" si="1"/>
        <v>1</v>
      </c>
      <c r="K20" s="8">
        <v>1</v>
      </c>
    </row>
    <row r="21" spans="1:11" ht="26.25" customHeight="1" x14ac:dyDescent="0.3">
      <c r="A21" s="18" t="s">
        <v>156</v>
      </c>
      <c r="B21" s="6" t="s">
        <v>50</v>
      </c>
      <c r="C21" s="6" t="str">
        <f t="shared" si="0"/>
        <v>No</v>
      </c>
      <c r="D21" s="6">
        <v>0</v>
      </c>
      <c r="E21" s="6" t="s">
        <v>85</v>
      </c>
      <c r="F21" s="18" t="s">
        <v>85</v>
      </c>
      <c r="G21" s="6" t="s">
        <v>85</v>
      </c>
      <c r="H21" s="6">
        <v>3</v>
      </c>
      <c r="I21" s="6">
        <v>3</v>
      </c>
      <c r="J21" s="8">
        <f t="shared" si="1"/>
        <v>1</v>
      </c>
      <c r="K21" s="8">
        <v>1</v>
      </c>
    </row>
    <row r="22" spans="1:11" ht="26.25" customHeight="1" x14ac:dyDescent="0.3">
      <c r="A22" s="18" t="s">
        <v>156</v>
      </c>
      <c r="B22" s="6" t="s">
        <v>51</v>
      </c>
      <c r="C22" s="6" t="str">
        <f t="shared" si="0"/>
        <v>No</v>
      </c>
      <c r="D22" s="6">
        <v>0</v>
      </c>
      <c r="E22" s="6" t="s">
        <v>85</v>
      </c>
      <c r="F22" s="18" t="s">
        <v>85</v>
      </c>
      <c r="G22" s="6" t="s">
        <v>85</v>
      </c>
      <c r="H22" s="6">
        <v>3</v>
      </c>
      <c r="I22" s="6">
        <v>3</v>
      </c>
      <c r="J22" s="8">
        <f t="shared" si="1"/>
        <v>1</v>
      </c>
      <c r="K22" s="8">
        <v>1</v>
      </c>
    </row>
    <row r="23" spans="1:11" ht="15" customHeight="1" x14ac:dyDescent="0.3">
      <c r="A23" s="18" t="s">
        <v>157</v>
      </c>
      <c r="B23" s="6" t="s">
        <v>50</v>
      </c>
      <c r="C23" s="6" t="str">
        <f t="shared" si="0"/>
        <v>No</v>
      </c>
      <c r="D23" s="6">
        <v>0</v>
      </c>
      <c r="E23" s="6" t="s">
        <v>85</v>
      </c>
      <c r="F23" s="18" t="s">
        <v>85</v>
      </c>
      <c r="G23" s="6" t="s">
        <v>85</v>
      </c>
      <c r="H23" s="6">
        <v>4</v>
      </c>
      <c r="I23" s="6">
        <v>4</v>
      </c>
      <c r="J23" s="8">
        <f t="shared" si="1"/>
        <v>1</v>
      </c>
      <c r="K23" s="8">
        <v>1</v>
      </c>
    </row>
    <row r="24" spans="1:11" ht="15" customHeight="1" x14ac:dyDescent="0.3">
      <c r="A24" s="18" t="s">
        <v>157</v>
      </c>
      <c r="B24" s="6" t="s">
        <v>51</v>
      </c>
      <c r="C24" s="6" t="str">
        <f t="shared" si="0"/>
        <v>Yes</v>
      </c>
      <c r="D24" s="6">
        <v>1</v>
      </c>
      <c r="E24" s="6" t="s">
        <v>158</v>
      </c>
      <c r="F24" s="18" t="s">
        <v>159</v>
      </c>
      <c r="G24" s="6" t="s">
        <v>160</v>
      </c>
      <c r="H24" s="6">
        <v>4</v>
      </c>
      <c r="I24" s="6">
        <v>3</v>
      </c>
      <c r="J24" s="8">
        <f t="shared" si="1"/>
        <v>0.75</v>
      </c>
      <c r="K24" s="8">
        <v>1</v>
      </c>
    </row>
    <row r="25" spans="1:11" ht="15" customHeight="1" x14ac:dyDescent="0.3">
      <c r="A25" s="18" t="s">
        <v>161</v>
      </c>
      <c r="B25" s="6" t="s">
        <v>50</v>
      </c>
      <c r="C25" s="6" t="str">
        <f t="shared" si="0"/>
        <v>No</v>
      </c>
      <c r="D25" s="6">
        <v>0</v>
      </c>
      <c r="E25" s="6" t="s">
        <v>85</v>
      </c>
      <c r="F25" s="18" t="s">
        <v>85</v>
      </c>
      <c r="G25" s="6" t="s">
        <v>85</v>
      </c>
      <c r="H25" s="6">
        <v>4</v>
      </c>
      <c r="I25" s="6">
        <v>4</v>
      </c>
      <c r="J25" s="8">
        <f t="shared" si="1"/>
        <v>1</v>
      </c>
      <c r="K25" s="8">
        <v>1</v>
      </c>
    </row>
    <row r="26" spans="1:11" ht="15" customHeight="1" x14ac:dyDescent="0.3">
      <c r="A26" s="18" t="s">
        <v>161</v>
      </c>
      <c r="B26" s="6" t="s">
        <v>51</v>
      </c>
      <c r="C26" s="6" t="str">
        <f t="shared" si="0"/>
        <v>Yes</v>
      </c>
      <c r="D26" s="6">
        <v>1</v>
      </c>
      <c r="E26" s="6" t="s">
        <v>158</v>
      </c>
      <c r="F26" s="18" t="s">
        <v>162</v>
      </c>
      <c r="G26" s="6" t="s">
        <v>160</v>
      </c>
      <c r="H26" s="6">
        <v>4</v>
      </c>
      <c r="I26" s="6">
        <v>3</v>
      </c>
      <c r="J26" s="8">
        <f t="shared" si="1"/>
        <v>0.75</v>
      </c>
      <c r="K26" s="8">
        <v>1</v>
      </c>
    </row>
    <row r="27" spans="1:11" ht="1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5" customHeight="1" x14ac:dyDescent="0.3">
      <c r="A28" s="13" t="s">
        <v>163</v>
      </c>
      <c r="B28" s="21">
        <f>COUNTIF(D5:D26,"&gt;0")</f>
        <v>6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 ht="15" customHeight="1" x14ac:dyDescent="0.3">
      <c r="A29" s="13" t="s">
        <v>164</v>
      </c>
      <c r="B29" s="21">
        <f>MAX(D5:D26)</f>
        <v>2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ht="15" customHeight="1" x14ac:dyDescent="0.3">
      <c r="A30" s="13" t="s">
        <v>165</v>
      </c>
      <c r="B30" s="21">
        <f>COUNTIF(D5:D26,2)</f>
        <v>2</v>
      </c>
      <c r="C30" s="3"/>
      <c r="D30" s="3"/>
      <c r="E30" s="3"/>
      <c r="F30" s="3"/>
      <c r="G30" s="3"/>
      <c r="H30" s="3"/>
      <c r="I30" s="3"/>
      <c r="J30" s="3"/>
      <c r="K30" s="3"/>
    </row>
    <row r="31" spans="1:11" ht="15" customHeight="1" x14ac:dyDescent="0.3">
      <c r="A31" s="13" t="s">
        <v>166</v>
      </c>
      <c r="B31" s="15">
        <f>COUNTIF(G5:G26,"Encoding")/B28</f>
        <v>0.66666666666666663</v>
      </c>
      <c r="C31" s="3"/>
      <c r="D31" s="3"/>
      <c r="E31" s="3"/>
      <c r="F31" s="3"/>
      <c r="G31" s="3"/>
      <c r="H31" s="3"/>
      <c r="I31" s="3"/>
      <c r="J31" s="3"/>
      <c r="K31" s="3"/>
    </row>
    <row r="32" spans="1:11" ht="15" customHeight="1" x14ac:dyDescent="0.3">
      <c r="A32" s="13" t="s">
        <v>167</v>
      </c>
      <c r="B32" s="7" t="str">
        <f>IF(AND(MAX(D5:D26)&lt;=3,COUNTIF(K5:K26,"&lt;1")=0),"Yes","No")</f>
        <v>Yes</v>
      </c>
      <c r="C32" s="3"/>
      <c r="D32" s="3"/>
      <c r="E32" s="3"/>
      <c r="F32" s="3"/>
      <c r="G32" s="3"/>
      <c r="H32" s="3"/>
      <c r="I32" s="3"/>
      <c r="J32" s="3"/>
      <c r="K32" s="3"/>
    </row>
    <row r="33" spans="3:11" ht="15" customHeight="1" x14ac:dyDescent="0.3">
      <c r="C33" s="3"/>
      <c r="D33" s="3"/>
      <c r="E33" s="3"/>
      <c r="F33" s="3"/>
      <c r="G33" s="3"/>
      <c r="H33" s="3"/>
      <c r="I33" s="3"/>
      <c r="J33" s="3"/>
      <c r="K33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Use Case Refinement</vt:lpstr>
      <vt:lpstr>LLM Per-Instance</vt:lpstr>
      <vt:lpstr>LLM Comparison</vt:lpstr>
      <vt:lpstr>Ablation</vt:lpstr>
      <vt:lpstr>Times</vt:lpstr>
      <vt:lpstr>Correctness</vt:lpstr>
      <vt:lpstr>Refinement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lavinia.stiliadou@iaas.uni-stuttgart.de</dc:creator>
  <dc:description/>
  <cp:lastModifiedBy>lavinia.stiliadou@iaas.uni-stuttgart.de</cp:lastModifiedBy>
  <cp:revision>0</cp:revision>
  <dcterms:created xsi:type="dcterms:W3CDTF">2026-10-10T19:46:05Z</dcterms:created>
  <dcterms:modified xsi:type="dcterms:W3CDTF">2026-10-13T20:48:57Z</dcterms:modified>
  <dc:language>en-US</dc:language>
</cp:coreProperties>
</file>